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lgarpredio\Downloads\Recibos\"/>
    </mc:Choice>
  </mc:AlternateContent>
  <xr:revisionPtr revIDLastSave="0" documentId="13_ncr:1_{E18DD498-588B-48AE-9CBB-220E8769D30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dos" sheetId="1" r:id="rId1"/>
    <sheet name="Instruções" sheetId="2" r:id="rId2"/>
    <sheet name="Resumo BD" sheetId="3" r:id="rId3"/>
    <sheet name="Plano de melhoria" sheetId="4" r:id="rId4"/>
    <sheet name="Candidatos Compset" sheetId="5" r:id="rId5"/>
    <sheet name="Critérios Pesos" sheetId="6" r:id="rId6"/>
    <sheet name="Candidatos Estrutura" sheetId="7" r:id="rId7"/>
    <sheet name="Benchmark_Mercado" sheetId="8" r:id="rId8"/>
    <sheet name="Contexto_Mercado" sheetId="9" r:id="rId9"/>
    <sheet name="Saramago_2024_Convertido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30" i="1" l="1"/>
  <c r="W231" i="1"/>
  <c r="W232" i="1"/>
  <c r="W233" i="1"/>
  <c r="W234" i="1"/>
  <c r="W235" i="1"/>
  <c r="W236" i="1"/>
  <c r="W237" i="1"/>
  <c r="X237" i="1" s="1"/>
  <c r="W238" i="1"/>
  <c r="X238" i="1" s="1"/>
  <c r="W239" i="1"/>
  <c r="X239" i="1" s="1"/>
  <c r="W240" i="1"/>
  <c r="X240" i="1" s="1"/>
  <c r="W241" i="1"/>
  <c r="X241" i="1" s="1"/>
  <c r="W242" i="1"/>
  <c r="X242" i="1" s="1"/>
  <c r="W243" i="1"/>
  <c r="X243" i="1" s="1"/>
  <c r="W244" i="1"/>
  <c r="W245" i="1"/>
  <c r="W246" i="1"/>
  <c r="W247" i="1"/>
  <c r="W248" i="1"/>
  <c r="W249" i="1"/>
  <c r="W250" i="1"/>
  <c r="W251" i="1"/>
  <c r="X251" i="1" s="1"/>
  <c r="W252" i="1"/>
  <c r="X252" i="1" s="1"/>
  <c r="W253" i="1"/>
  <c r="X253" i="1" s="1"/>
  <c r="W254" i="1"/>
  <c r="X254" i="1" s="1"/>
  <c r="W255" i="1"/>
  <c r="X255" i="1" s="1"/>
  <c r="W256" i="1"/>
  <c r="X256" i="1" s="1"/>
  <c r="W257" i="1"/>
  <c r="X257" i="1" s="1"/>
  <c r="W258" i="1"/>
  <c r="W259" i="1"/>
  <c r="W260" i="1"/>
  <c r="W261" i="1"/>
  <c r="W262" i="1"/>
  <c r="W263" i="1"/>
  <c r="W264" i="1"/>
  <c r="W265" i="1"/>
  <c r="X265" i="1" s="1"/>
  <c r="W266" i="1"/>
  <c r="X266" i="1" s="1"/>
  <c r="W267" i="1"/>
  <c r="X267" i="1" s="1"/>
  <c r="W268" i="1"/>
  <c r="X268" i="1" s="1"/>
  <c r="W269" i="1"/>
  <c r="X269" i="1" s="1"/>
  <c r="W270" i="1"/>
  <c r="X270" i="1" s="1"/>
  <c r="W271" i="1"/>
  <c r="X271" i="1" s="1"/>
  <c r="W272" i="1"/>
  <c r="W273" i="1"/>
  <c r="W274" i="1"/>
  <c r="W275" i="1"/>
  <c r="W276" i="1"/>
  <c r="W277" i="1"/>
  <c r="W278" i="1"/>
  <c r="W279" i="1"/>
  <c r="X279" i="1" s="1"/>
  <c r="W280" i="1"/>
  <c r="X280" i="1" s="1"/>
  <c r="W281" i="1"/>
  <c r="X281" i="1" s="1"/>
  <c r="W282" i="1"/>
  <c r="X282" i="1" s="1"/>
  <c r="W283" i="1"/>
  <c r="X283" i="1" s="1"/>
  <c r="W284" i="1"/>
  <c r="X284" i="1" s="1"/>
  <c r="W285" i="1"/>
  <c r="X285" i="1" s="1"/>
  <c r="W286" i="1"/>
  <c r="W287" i="1"/>
  <c r="W288" i="1"/>
  <c r="W289" i="1"/>
  <c r="W290" i="1"/>
  <c r="W291" i="1"/>
  <c r="W292" i="1"/>
  <c r="W293" i="1"/>
  <c r="X293" i="1" s="1"/>
  <c r="W294" i="1"/>
  <c r="X294" i="1" s="1"/>
  <c r="W295" i="1"/>
  <c r="X295" i="1" s="1"/>
  <c r="W296" i="1"/>
  <c r="X296" i="1" s="1"/>
  <c r="W297" i="1"/>
  <c r="X297" i="1" s="1"/>
  <c r="W298" i="1"/>
  <c r="X298" i="1" s="1"/>
  <c r="W299" i="1"/>
  <c r="X299" i="1" s="1"/>
  <c r="W300" i="1"/>
  <c r="W301" i="1"/>
  <c r="W302" i="1"/>
  <c r="W303" i="1"/>
  <c r="W304" i="1"/>
  <c r="W305" i="1"/>
  <c r="W306" i="1"/>
  <c r="X230" i="1"/>
  <c r="X231" i="1"/>
  <c r="X232" i="1"/>
  <c r="X233" i="1"/>
  <c r="X234" i="1"/>
  <c r="X235" i="1"/>
  <c r="X236" i="1"/>
  <c r="X244" i="1"/>
  <c r="X245" i="1"/>
  <c r="X246" i="1"/>
  <c r="X247" i="1"/>
  <c r="X248" i="1"/>
  <c r="X249" i="1"/>
  <c r="X250" i="1"/>
  <c r="X258" i="1"/>
  <c r="X259" i="1"/>
  <c r="X260" i="1"/>
  <c r="X261" i="1"/>
  <c r="X262" i="1"/>
  <c r="X263" i="1"/>
  <c r="X264" i="1"/>
  <c r="X272" i="1"/>
  <c r="X273" i="1"/>
  <c r="X274" i="1"/>
  <c r="X275" i="1"/>
  <c r="X276" i="1"/>
  <c r="X277" i="1"/>
  <c r="X278" i="1"/>
  <c r="X286" i="1"/>
  <c r="X287" i="1"/>
  <c r="X288" i="1"/>
  <c r="X289" i="1"/>
  <c r="X290" i="1"/>
  <c r="X291" i="1"/>
  <c r="X292" i="1"/>
  <c r="X300" i="1"/>
  <c r="X301" i="1"/>
  <c r="X302" i="1"/>
  <c r="X303" i="1"/>
  <c r="X304" i="1"/>
  <c r="X305" i="1"/>
  <c r="X306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L306" i="1"/>
  <c r="K306" i="1"/>
  <c r="L305" i="1"/>
  <c r="K305" i="1"/>
  <c r="L304" i="1"/>
  <c r="K304" i="1"/>
  <c r="L303" i="1"/>
  <c r="K303" i="1"/>
  <c r="L302" i="1"/>
  <c r="K302" i="1"/>
  <c r="L301" i="1"/>
  <c r="K301" i="1"/>
  <c r="L300" i="1"/>
  <c r="K300" i="1"/>
  <c r="L299" i="1"/>
  <c r="K299" i="1"/>
  <c r="L298" i="1"/>
  <c r="K298" i="1"/>
  <c r="L297" i="1"/>
  <c r="K297" i="1"/>
  <c r="L296" i="1"/>
  <c r="K296" i="1"/>
  <c r="L295" i="1"/>
  <c r="K295" i="1"/>
  <c r="L294" i="1"/>
  <c r="K294" i="1"/>
  <c r="L293" i="1"/>
  <c r="K293" i="1"/>
  <c r="L292" i="1"/>
  <c r="K292" i="1"/>
  <c r="L291" i="1"/>
  <c r="K291" i="1"/>
  <c r="L290" i="1"/>
  <c r="K290" i="1"/>
  <c r="L289" i="1"/>
  <c r="K289" i="1"/>
  <c r="L288" i="1"/>
  <c r="K288" i="1"/>
  <c r="L287" i="1"/>
  <c r="K287" i="1"/>
  <c r="L286" i="1"/>
  <c r="K286" i="1"/>
  <c r="L285" i="1"/>
  <c r="K285" i="1"/>
  <c r="L284" i="1"/>
  <c r="K284" i="1"/>
  <c r="L283" i="1"/>
  <c r="K283" i="1"/>
  <c r="L282" i="1"/>
  <c r="K282" i="1"/>
  <c r="L281" i="1"/>
  <c r="K281" i="1"/>
  <c r="L280" i="1"/>
  <c r="K280" i="1"/>
  <c r="L279" i="1"/>
  <c r="K279" i="1"/>
  <c r="L278" i="1"/>
  <c r="K278" i="1"/>
  <c r="L277" i="1"/>
  <c r="K277" i="1"/>
  <c r="L276" i="1"/>
  <c r="K276" i="1"/>
  <c r="L275" i="1"/>
  <c r="K275" i="1"/>
  <c r="L274" i="1"/>
  <c r="K274" i="1"/>
  <c r="L273" i="1"/>
  <c r="K273" i="1"/>
  <c r="L272" i="1"/>
  <c r="K272" i="1"/>
  <c r="L271" i="1"/>
  <c r="K271" i="1"/>
  <c r="L270" i="1"/>
  <c r="K270" i="1"/>
  <c r="L269" i="1"/>
  <c r="K269" i="1"/>
  <c r="L268" i="1"/>
  <c r="K268" i="1"/>
  <c r="L267" i="1"/>
  <c r="K267" i="1"/>
  <c r="L266" i="1"/>
  <c r="K266" i="1"/>
  <c r="L265" i="1"/>
  <c r="K265" i="1"/>
  <c r="L264" i="1"/>
  <c r="K264" i="1"/>
  <c r="L263" i="1"/>
  <c r="K263" i="1"/>
  <c r="L262" i="1"/>
  <c r="K262" i="1"/>
  <c r="L261" i="1"/>
  <c r="K261" i="1"/>
  <c r="L260" i="1"/>
  <c r="K260" i="1"/>
  <c r="L259" i="1"/>
  <c r="K259" i="1"/>
  <c r="L258" i="1"/>
  <c r="K258" i="1"/>
  <c r="L257" i="1"/>
  <c r="K257" i="1"/>
  <c r="L256" i="1"/>
  <c r="K256" i="1"/>
  <c r="L255" i="1"/>
  <c r="K255" i="1"/>
  <c r="L254" i="1"/>
  <c r="K254" i="1"/>
  <c r="L253" i="1"/>
  <c r="K253" i="1"/>
  <c r="L252" i="1"/>
  <c r="K252" i="1"/>
  <c r="L251" i="1"/>
  <c r="K251" i="1"/>
  <c r="L250" i="1"/>
  <c r="K250" i="1"/>
  <c r="L249" i="1"/>
  <c r="K249" i="1"/>
  <c r="L248" i="1"/>
  <c r="K248" i="1"/>
  <c r="L247" i="1"/>
  <c r="K247" i="1"/>
  <c r="L246" i="1"/>
  <c r="K246" i="1"/>
  <c r="L245" i="1"/>
  <c r="K245" i="1"/>
  <c r="L244" i="1"/>
  <c r="K244" i="1"/>
  <c r="L243" i="1"/>
  <c r="K243" i="1"/>
  <c r="L242" i="1"/>
  <c r="K242" i="1"/>
  <c r="L241" i="1"/>
  <c r="K241" i="1"/>
  <c r="L240" i="1"/>
  <c r="K240" i="1"/>
  <c r="L239" i="1"/>
  <c r="K239" i="1"/>
  <c r="L238" i="1"/>
  <c r="K238" i="1"/>
  <c r="L237" i="1"/>
  <c r="K237" i="1"/>
  <c r="L236" i="1"/>
  <c r="K236" i="1"/>
  <c r="L235" i="1"/>
  <c r="K235" i="1"/>
  <c r="L234" i="1"/>
  <c r="K234" i="1"/>
  <c r="L233" i="1"/>
  <c r="K233" i="1"/>
  <c r="L232" i="1"/>
  <c r="K232" i="1"/>
  <c r="L231" i="1"/>
  <c r="K231" i="1"/>
  <c r="L230" i="1"/>
  <c r="K230" i="1"/>
  <c r="G268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W186" i="1" s="1"/>
  <c r="X186" i="1" s="1"/>
  <c r="Q187" i="1"/>
  <c r="W187" i="1" s="1"/>
  <c r="X187" i="1" s="1"/>
  <c r="Q188" i="1"/>
  <c r="Q189" i="1"/>
  <c r="Q190" i="1"/>
  <c r="Q191" i="1"/>
  <c r="Q192" i="1"/>
  <c r="Q193" i="1"/>
  <c r="Q194" i="1"/>
  <c r="Q195" i="1"/>
  <c r="Q196" i="1"/>
  <c r="Q197" i="1"/>
  <c r="Q198" i="1"/>
  <c r="W174" i="1"/>
  <c r="X174" i="1" s="1"/>
  <c r="W175" i="1"/>
  <c r="X175" i="1" s="1"/>
  <c r="W176" i="1"/>
  <c r="X176" i="1" s="1"/>
  <c r="W189" i="1"/>
  <c r="X189" i="1" s="1"/>
  <c r="W190" i="1"/>
  <c r="X190" i="1" s="1"/>
  <c r="W200" i="1"/>
  <c r="X200" i="1"/>
  <c r="W201" i="1"/>
  <c r="X201" i="1"/>
  <c r="W202" i="1"/>
  <c r="X202" i="1"/>
  <c r="W203" i="1"/>
  <c r="X203" i="1"/>
  <c r="W215" i="1"/>
  <c r="X215" i="1"/>
  <c r="W216" i="1"/>
  <c r="X216" i="1"/>
  <c r="Q49" i="1"/>
  <c r="Q50" i="1"/>
  <c r="Q51" i="1"/>
  <c r="Q52" i="1"/>
  <c r="Q53" i="1"/>
  <c r="Q54" i="1"/>
  <c r="W54" i="1" s="1"/>
  <c r="X54" i="1" s="1"/>
  <c r="Q55" i="1"/>
  <c r="Q56" i="1"/>
  <c r="Q57" i="1"/>
  <c r="Q58" i="1"/>
  <c r="Q59" i="1"/>
  <c r="Q60" i="1"/>
  <c r="W60" i="1" s="1"/>
  <c r="X60" i="1" s="1"/>
  <c r="Q61" i="1"/>
  <c r="Q62" i="1"/>
  <c r="Q63" i="1"/>
  <c r="Q64" i="1"/>
  <c r="Q65" i="1"/>
  <c r="Q66" i="1"/>
  <c r="Q67" i="1"/>
  <c r="Q68" i="1"/>
  <c r="Q69" i="1"/>
  <c r="Q70" i="1"/>
  <c r="W70" i="1" s="1"/>
  <c r="X70" i="1" s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W84" i="1" s="1"/>
  <c r="X84" i="1" s="1"/>
  <c r="Q85" i="1"/>
  <c r="Q86" i="1"/>
  <c r="Q87" i="1"/>
  <c r="Q88" i="1"/>
  <c r="Q89" i="1"/>
  <c r="Q90" i="1"/>
  <c r="Q91" i="1"/>
  <c r="Q92" i="1"/>
  <c r="Q93" i="1"/>
  <c r="Q94" i="1"/>
  <c r="W94" i="1" s="1"/>
  <c r="X94" i="1" s="1"/>
  <c r="Q95" i="1"/>
  <c r="Q96" i="1"/>
  <c r="Q97" i="1"/>
  <c r="Q98" i="1"/>
  <c r="W98" i="1" s="1"/>
  <c r="X98" i="1" s="1"/>
  <c r="Q99" i="1"/>
  <c r="Q100" i="1"/>
  <c r="W100" i="1" s="1"/>
  <c r="X100" i="1" s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W148" i="1" s="1"/>
  <c r="X148" i="1" s="1"/>
  <c r="Q149" i="1"/>
  <c r="Q150" i="1"/>
  <c r="Q151" i="1"/>
  <c r="Q152" i="1"/>
  <c r="Q153" i="1"/>
  <c r="W153" i="1" s="1"/>
  <c r="X153" i="1" s="1"/>
  <c r="Q154" i="1"/>
  <c r="W154" i="1" s="1"/>
  <c r="X154" i="1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W168" i="1" s="1"/>
  <c r="X168" i="1" s="1"/>
  <c r="Q169" i="1"/>
  <c r="Q170" i="1"/>
  <c r="Q171" i="1"/>
  <c r="Q172" i="1"/>
  <c r="Q173" i="1"/>
  <c r="M174" i="1"/>
  <c r="M175" i="1"/>
  <c r="M176" i="1"/>
  <c r="M177" i="1"/>
  <c r="W177" i="1" s="1"/>
  <c r="X177" i="1" s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W191" i="1" s="1"/>
  <c r="X191" i="1" s="1"/>
  <c r="M192" i="1"/>
  <c r="W192" i="1" s="1"/>
  <c r="X192" i="1" s="1"/>
  <c r="M193" i="1"/>
  <c r="M194" i="1"/>
  <c r="M195" i="1"/>
  <c r="M196" i="1"/>
  <c r="M197" i="1"/>
  <c r="M198" i="1"/>
  <c r="M199" i="1"/>
  <c r="W199" i="1" s="1"/>
  <c r="X199" i="1" s="1"/>
  <c r="M200" i="1"/>
  <c r="M201" i="1"/>
  <c r="M202" i="1"/>
  <c r="M203" i="1"/>
  <c r="M204" i="1"/>
  <c r="W204" i="1" s="1"/>
  <c r="X204" i="1" s="1"/>
  <c r="M205" i="1"/>
  <c r="W205" i="1" s="1"/>
  <c r="X205" i="1" s="1"/>
  <c r="M206" i="1"/>
  <c r="W206" i="1" s="1"/>
  <c r="X206" i="1" s="1"/>
  <c r="M207" i="1"/>
  <c r="W207" i="1" s="1"/>
  <c r="X207" i="1" s="1"/>
  <c r="M208" i="1"/>
  <c r="W208" i="1" s="1"/>
  <c r="X208" i="1" s="1"/>
  <c r="M209" i="1"/>
  <c r="W209" i="1" s="1"/>
  <c r="X209" i="1" s="1"/>
  <c r="M210" i="1"/>
  <c r="W210" i="1" s="1"/>
  <c r="X210" i="1" s="1"/>
  <c r="M211" i="1"/>
  <c r="W211" i="1" s="1"/>
  <c r="X211" i="1" s="1"/>
  <c r="M212" i="1"/>
  <c r="W212" i="1" s="1"/>
  <c r="X212" i="1" s="1"/>
  <c r="M213" i="1"/>
  <c r="W213" i="1" s="1"/>
  <c r="X213" i="1" s="1"/>
  <c r="M214" i="1"/>
  <c r="W214" i="1" s="1"/>
  <c r="X214" i="1" s="1"/>
  <c r="M215" i="1"/>
  <c r="M216" i="1"/>
  <c r="M217" i="1"/>
  <c r="W217" i="1" s="1"/>
  <c r="X217" i="1" s="1"/>
  <c r="M218" i="1"/>
  <c r="W218" i="1" s="1"/>
  <c r="X218" i="1" s="1"/>
  <c r="M219" i="1"/>
  <c r="W219" i="1" s="1"/>
  <c r="X219" i="1" s="1"/>
  <c r="M220" i="1"/>
  <c r="W220" i="1" s="1"/>
  <c r="X220" i="1" s="1"/>
  <c r="M221" i="1"/>
  <c r="W221" i="1" s="1"/>
  <c r="X221" i="1" s="1"/>
  <c r="M222" i="1"/>
  <c r="W222" i="1" s="1"/>
  <c r="X222" i="1" s="1"/>
  <c r="M223" i="1"/>
  <c r="W223" i="1" s="1"/>
  <c r="X223" i="1" s="1"/>
  <c r="M224" i="1"/>
  <c r="W224" i="1" s="1"/>
  <c r="X224" i="1" s="1"/>
  <c r="M225" i="1"/>
  <c r="W225" i="1" s="1"/>
  <c r="X225" i="1" s="1"/>
  <c r="M226" i="1"/>
  <c r="W226" i="1" s="1"/>
  <c r="X226" i="1" s="1"/>
  <c r="M227" i="1"/>
  <c r="W227" i="1" s="1"/>
  <c r="X227" i="1" s="1"/>
  <c r="M228" i="1"/>
  <c r="W228" i="1" s="1"/>
  <c r="X228" i="1" s="1"/>
  <c r="M229" i="1"/>
  <c r="W229" i="1" s="1"/>
  <c r="X229" i="1" s="1"/>
  <c r="B23" i="9"/>
  <c r="B8" i="9"/>
  <c r="B11" i="9" s="1"/>
  <c r="B7" i="9"/>
  <c r="B10" i="9" s="1"/>
  <c r="B6" i="9"/>
  <c r="B9" i="9" s="1"/>
  <c r="L9" i="7"/>
  <c r="K9" i="7"/>
  <c r="L8" i="7"/>
  <c r="K8" i="7"/>
  <c r="L7" i="7"/>
  <c r="K7" i="7"/>
  <c r="L6" i="7"/>
  <c r="K6" i="7"/>
  <c r="L5" i="7"/>
  <c r="K5" i="7"/>
  <c r="L4" i="7"/>
  <c r="K4" i="7"/>
  <c r="L3" i="7"/>
  <c r="K3" i="7"/>
  <c r="L2" i="7"/>
  <c r="K2" i="7"/>
  <c r="Y173" i="1"/>
  <c r="AB173" i="1" s="1"/>
  <c r="M173" i="1"/>
  <c r="W173" i="1" s="1"/>
  <c r="X173" i="1" s="1"/>
  <c r="Y172" i="1"/>
  <c r="AB172" i="1" s="1"/>
  <c r="M172" i="1"/>
  <c r="Y171" i="1"/>
  <c r="AB171" i="1" s="1"/>
  <c r="M171" i="1"/>
  <c r="Y170" i="1"/>
  <c r="AB170" i="1" s="1"/>
  <c r="M170" i="1"/>
  <c r="Y169" i="1"/>
  <c r="AB169" i="1" s="1"/>
  <c r="M169" i="1"/>
  <c r="Y168" i="1"/>
  <c r="AB168" i="1" s="1"/>
  <c r="M168" i="1"/>
  <c r="Y167" i="1"/>
  <c r="AB167" i="1" s="1"/>
  <c r="M167" i="1"/>
  <c r="Y166" i="1"/>
  <c r="AB166" i="1" s="1"/>
  <c r="M166" i="1"/>
  <c r="Y165" i="1"/>
  <c r="AB165" i="1" s="1"/>
  <c r="M165" i="1"/>
  <c r="Y164" i="1"/>
  <c r="AB164" i="1" s="1"/>
  <c r="M164" i="1"/>
  <c r="Y163" i="1"/>
  <c r="AB163" i="1" s="1"/>
  <c r="M163" i="1"/>
  <c r="Y162" i="1"/>
  <c r="AB162" i="1" s="1"/>
  <c r="M162" i="1"/>
  <c r="Y161" i="1"/>
  <c r="AB161" i="1" s="1"/>
  <c r="M161" i="1"/>
  <c r="Y160" i="1"/>
  <c r="AB160" i="1" s="1"/>
  <c r="M160" i="1"/>
  <c r="Y159" i="1"/>
  <c r="AB159" i="1" s="1"/>
  <c r="M159" i="1"/>
  <c r="Y158" i="1"/>
  <c r="AB158" i="1" s="1"/>
  <c r="M158" i="1"/>
  <c r="W158" i="1" s="1"/>
  <c r="X158" i="1" s="1"/>
  <c r="Y157" i="1"/>
  <c r="AB157" i="1" s="1"/>
  <c r="M157" i="1"/>
  <c r="Y156" i="1"/>
  <c r="AB156" i="1" s="1"/>
  <c r="M156" i="1"/>
  <c r="Y155" i="1"/>
  <c r="AB155" i="1" s="1"/>
  <c r="M155" i="1"/>
  <c r="Y154" i="1"/>
  <c r="AB154" i="1" s="1"/>
  <c r="M154" i="1"/>
  <c r="Y153" i="1"/>
  <c r="AB153" i="1" s="1"/>
  <c r="M153" i="1"/>
  <c r="Y152" i="1"/>
  <c r="AB152" i="1" s="1"/>
  <c r="M152" i="1"/>
  <c r="Y151" i="1"/>
  <c r="AB151" i="1" s="1"/>
  <c r="M151" i="1"/>
  <c r="Y150" i="1"/>
  <c r="AB150" i="1" s="1"/>
  <c r="M150" i="1"/>
  <c r="W150" i="1" s="1"/>
  <c r="X150" i="1" s="1"/>
  <c r="Y149" i="1"/>
  <c r="AB149" i="1" s="1"/>
  <c r="M149" i="1"/>
  <c r="Y148" i="1"/>
  <c r="AB148" i="1" s="1"/>
  <c r="M148" i="1"/>
  <c r="Y147" i="1"/>
  <c r="AB147" i="1" s="1"/>
  <c r="M147" i="1"/>
  <c r="AB146" i="1"/>
  <c r="AA146" i="1"/>
  <c r="Y146" i="1"/>
  <c r="X146" i="1"/>
  <c r="W146" i="1"/>
  <c r="M146" i="1"/>
  <c r="AB145" i="1"/>
  <c r="AA145" i="1"/>
  <c r="Y145" i="1"/>
  <c r="X145" i="1"/>
  <c r="W145" i="1"/>
  <c r="M145" i="1"/>
  <c r="AB144" i="1"/>
  <c r="AA144" i="1"/>
  <c r="Y144" i="1"/>
  <c r="X144" i="1"/>
  <c r="W144" i="1"/>
  <c r="M144" i="1"/>
  <c r="AB143" i="1"/>
  <c r="AA143" i="1"/>
  <c r="Y143" i="1"/>
  <c r="X143" i="1"/>
  <c r="W143" i="1"/>
  <c r="M143" i="1"/>
  <c r="AB142" i="1"/>
  <c r="AA142" i="1"/>
  <c r="Y142" i="1"/>
  <c r="X142" i="1"/>
  <c r="W142" i="1"/>
  <c r="M142" i="1"/>
  <c r="AB141" i="1"/>
  <c r="AA141" i="1"/>
  <c r="Y141" i="1"/>
  <c r="X141" i="1"/>
  <c r="W141" i="1"/>
  <c r="M141" i="1"/>
  <c r="AB140" i="1"/>
  <c r="AA140" i="1"/>
  <c r="Y140" i="1"/>
  <c r="X140" i="1"/>
  <c r="W140" i="1"/>
  <c r="M140" i="1"/>
  <c r="AB139" i="1"/>
  <c r="AA139" i="1"/>
  <c r="Y139" i="1"/>
  <c r="X139" i="1"/>
  <c r="W139" i="1"/>
  <c r="M139" i="1"/>
  <c r="AB138" i="1"/>
  <c r="AA138" i="1"/>
  <c r="Y138" i="1"/>
  <c r="X138" i="1"/>
  <c r="W138" i="1"/>
  <c r="M138" i="1"/>
  <c r="AB137" i="1"/>
  <c r="AA137" i="1"/>
  <c r="Y137" i="1"/>
  <c r="X137" i="1"/>
  <c r="W137" i="1"/>
  <c r="M137" i="1"/>
  <c r="AB136" i="1"/>
  <c r="AA136" i="1"/>
  <c r="Y136" i="1"/>
  <c r="X136" i="1"/>
  <c r="W136" i="1"/>
  <c r="M136" i="1"/>
  <c r="AB135" i="1"/>
  <c r="AA135" i="1"/>
  <c r="Y135" i="1"/>
  <c r="X135" i="1"/>
  <c r="W135" i="1"/>
  <c r="M135" i="1"/>
  <c r="AB134" i="1"/>
  <c r="AA134" i="1"/>
  <c r="Y134" i="1"/>
  <c r="X134" i="1"/>
  <c r="W134" i="1"/>
  <c r="M134" i="1"/>
  <c r="AB133" i="1"/>
  <c r="AA133" i="1"/>
  <c r="Y133" i="1"/>
  <c r="X133" i="1"/>
  <c r="W133" i="1"/>
  <c r="M133" i="1"/>
  <c r="AB132" i="1"/>
  <c r="AA132" i="1"/>
  <c r="Y132" i="1"/>
  <c r="X132" i="1"/>
  <c r="W132" i="1"/>
  <c r="M132" i="1"/>
  <c r="AB131" i="1"/>
  <c r="AA131" i="1"/>
  <c r="Y131" i="1"/>
  <c r="X131" i="1"/>
  <c r="W131" i="1"/>
  <c r="M131" i="1"/>
  <c r="AB130" i="1"/>
  <c r="AA130" i="1"/>
  <c r="Y130" i="1"/>
  <c r="X130" i="1"/>
  <c r="W130" i="1"/>
  <c r="M130" i="1"/>
  <c r="AB129" i="1"/>
  <c r="AA129" i="1"/>
  <c r="Y129" i="1"/>
  <c r="X129" i="1"/>
  <c r="W129" i="1"/>
  <c r="M129" i="1"/>
  <c r="AB128" i="1"/>
  <c r="AA128" i="1"/>
  <c r="Y128" i="1"/>
  <c r="X128" i="1"/>
  <c r="W128" i="1"/>
  <c r="M128" i="1"/>
  <c r="AB127" i="1"/>
  <c r="AA127" i="1"/>
  <c r="Y127" i="1"/>
  <c r="X127" i="1"/>
  <c r="W127" i="1"/>
  <c r="M127" i="1"/>
  <c r="AB126" i="1"/>
  <c r="AA126" i="1"/>
  <c r="Y126" i="1"/>
  <c r="X126" i="1"/>
  <c r="W126" i="1"/>
  <c r="M126" i="1"/>
  <c r="AB125" i="1"/>
  <c r="AA125" i="1"/>
  <c r="Y125" i="1"/>
  <c r="X125" i="1"/>
  <c r="W125" i="1"/>
  <c r="M125" i="1"/>
  <c r="AB124" i="1"/>
  <c r="AA124" i="1"/>
  <c r="Y124" i="1"/>
  <c r="X124" i="1"/>
  <c r="W124" i="1"/>
  <c r="M124" i="1"/>
  <c r="AB123" i="1"/>
  <c r="AA123" i="1"/>
  <c r="Y123" i="1"/>
  <c r="X123" i="1"/>
  <c r="W123" i="1"/>
  <c r="M123" i="1"/>
  <c r="AB122" i="1"/>
  <c r="AA122" i="1"/>
  <c r="Y122" i="1"/>
  <c r="X122" i="1"/>
  <c r="W122" i="1"/>
  <c r="M122" i="1"/>
  <c r="AB121" i="1"/>
  <c r="AA121" i="1"/>
  <c r="Y121" i="1"/>
  <c r="X121" i="1"/>
  <c r="W121" i="1"/>
  <c r="M121" i="1"/>
  <c r="AB120" i="1"/>
  <c r="AA120" i="1"/>
  <c r="Y120" i="1"/>
  <c r="X120" i="1"/>
  <c r="W120" i="1"/>
  <c r="M120" i="1"/>
  <c r="AB119" i="1"/>
  <c r="AA119" i="1"/>
  <c r="Y119" i="1"/>
  <c r="X119" i="1"/>
  <c r="W119" i="1"/>
  <c r="M119" i="1"/>
  <c r="AB118" i="1"/>
  <c r="AA118" i="1"/>
  <c r="Y118" i="1"/>
  <c r="X118" i="1"/>
  <c r="W118" i="1"/>
  <c r="M118" i="1"/>
  <c r="AB117" i="1"/>
  <c r="AA117" i="1"/>
  <c r="Y117" i="1"/>
  <c r="X117" i="1"/>
  <c r="W117" i="1"/>
  <c r="M117" i="1"/>
  <c r="AB116" i="1"/>
  <c r="AA116" i="1"/>
  <c r="Y116" i="1"/>
  <c r="X116" i="1"/>
  <c r="W116" i="1"/>
  <c r="M116" i="1"/>
  <c r="AB115" i="1"/>
  <c r="AA115" i="1"/>
  <c r="Y115" i="1"/>
  <c r="X115" i="1"/>
  <c r="W115" i="1"/>
  <c r="M115" i="1"/>
  <c r="AB114" i="1"/>
  <c r="AA114" i="1"/>
  <c r="Y114" i="1"/>
  <c r="X114" i="1"/>
  <c r="W114" i="1"/>
  <c r="M114" i="1"/>
  <c r="AB113" i="1"/>
  <c r="AA113" i="1"/>
  <c r="Y113" i="1"/>
  <c r="X113" i="1"/>
  <c r="W113" i="1"/>
  <c r="M113" i="1"/>
  <c r="AB112" i="1"/>
  <c r="AA112" i="1"/>
  <c r="Y112" i="1"/>
  <c r="X112" i="1"/>
  <c r="W112" i="1"/>
  <c r="M112" i="1"/>
  <c r="AB111" i="1"/>
  <c r="AA111" i="1"/>
  <c r="Y111" i="1"/>
  <c r="X111" i="1"/>
  <c r="W111" i="1"/>
  <c r="M111" i="1"/>
  <c r="AB110" i="1"/>
  <c r="AA110" i="1"/>
  <c r="Y110" i="1"/>
  <c r="X110" i="1"/>
  <c r="W110" i="1"/>
  <c r="M110" i="1"/>
  <c r="AB109" i="1"/>
  <c r="AA109" i="1"/>
  <c r="Y109" i="1"/>
  <c r="X109" i="1"/>
  <c r="W109" i="1"/>
  <c r="M109" i="1"/>
  <c r="AB108" i="1"/>
  <c r="AA108" i="1"/>
  <c r="Y108" i="1"/>
  <c r="X108" i="1"/>
  <c r="W108" i="1"/>
  <c r="M108" i="1"/>
  <c r="AA107" i="1"/>
  <c r="Y107" i="1"/>
  <c r="AB107" i="1" s="1"/>
  <c r="M107" i="1"/>
  <c r="AA106" i="1"/>
  <c r="Y106" i="1"/>
  <c r="AB106" i="1" s="1"/>
  <c r="M106" i="1"/>
  <c r="W106" i="1" s="1"/>
  <c r="X106" i="1" s="1"/>
  <c r="AA105" i="1"/>
  <c r="Y105" i="1"/>
  <c r="AB105" i="1" s="1"/>
  <c r="M105" i="1"/>
  <c r="AA104" i="1"/>
  <c r="Y104" i="1"/>
  <c r="AB104" i="1" s="1"/>
  <c r="M104" i="1"/>
  <c r="AA103" i="1"/>
  <c r="Y103" i="1"/>
  <c r="AB103" i="1" s="1"/>
  <c r="M103" i="1"/>
  <c r="AA102" i="1"/>
  <c r="Y102" i="1"/>
  <c r="AB102" i="1" s="1"/>
  <c r="M102" i="1"/>
  <c r="AA101" i="1"/>
  <c r="Y101" i="1"/>
  <c r="AB101" i="1" s="1"/>
  <c r="M101" i="1"/>
  <c r="AA100" i="1"/>
  <c r="Y100" i="1"/>
  <c r="AB100" i="1" s="1"/>
  <c r="M100" i="1"/>
  <c r="AA99" i="1"/>
  <c r="Y99" i="1"/>
  <c r="AB99" i="1" s="1"/>
  <c r="M99" i="1"/>
  <c r="AA98" i="1"/>
  <c r="Y98" i="1"/>
  <c r="AB98" i="1" s="1"/>
  <c r="M98" i="1"/>
  <c r="AA97" i="1"/>
  <c r="Y97" i="1"/>
  <c r="AB97" i="1" s="1"/>
  <c r="M97" i="1"/>
  <c r="AA96" i="1"/>
  <c r="Y96" i="1"/>
  <c r="AB96" i="1" s="1"/>
  <c r="M96" i="1"/>
  <c r="W96" i="1" s="1"/>
  <c r="X96" i="1" s="1"/>
  <c r="AA95" i="1"/>
  <c r="Y95" i="1"/>
  <c r="AB95" i="1" s="1"/>
  <c r="M95" i="1"/>
  <c r="AA94" i="1"/>
  <c r="Y94" i="1"/>
  <c r="AB94" i="1" s="1"/>
  <c r="M94" i="1"/>
  <c r="AA93" i="1"/>
  <c r="Y93" i="1"/>
  <c r="AB93" i="1" s="1"/>
  <c r="M93" i="1"/>
  <c r="AA92" i="1"/>
  <c r="Y92" i="1"/>
  <c r="AB92" i="1" s="1"/>
  <c r="M92" i="1"/>
  <c r="W92" i="1" s="1"/>
  <c r="X92" i="1" s="1"/>
  <c r="AA91" i="1"/>
  <c r="Y91" i="1"/>
  <c r="AB91" i="1" s="1"/>
  <c r="M91" i="1"/>
  <c r="AA90" i="1"/>
  <c r="Y90" i="1"/>
  <c r="AB90" i="1" s="1"/>
  <c r="M90" i="1"/>
  <c r="AA89" i="1"/>
  <c r="Y89" i="1"/>
  <c r="AB89" i="1" s="1"/>
  <c r="M89" i="1"/>
  <c r="AA88" i="1"/>
  <c r="Y88" i="1"/>
  <c r="AB88" i="1" s="1"/>
  <c r="M88" i="1"/>
  <c r="AA87" i="1"/>
  <c r="Y87" i="1"/>
  <c r="AB87" i="1" s="1"/>
  <c r="M87" i="1"/>
  <c r="AA86" i="1"/>
  <c r="Y86" i="1"/>
  <c r="AB86" i="1" s="1"/>
  <c r="M86" i="1"/>
  <c r="AA85" i="1"/>
  <c r="Y85" i="1"/>
  <c r="AB85" i="1" s="1"/>
  <c r="M85" i="1"/>
  <c r="AA84" i="1"/>
  <c r="Y84" i="1"/>
  <c r="AB84" i="1" s="1"/>
  <c r="M84" i="1"/>
  <c r="AA83" i="1"/>
  <c r="Y83" i="1"/>
  <c r="AB83" i="1" s="1"/>
  <c r="M83" i="1"/>
  <c r="AA82" i="1"/>
  <c r="Y82" i="1"/>
  <c r="AB82" i="1" s="1"/>
  <c r="M82" i="1"/>
  <c r="AA81" i="1"/>
  <c r="Y81" i="1"/>
  <c r="AB81" i="1" s="1"/>
  <c r="M81" i="1"/>
  <c r="AA80" i="1"/>
  <c r="Y80" i="1"/>
  <c r="AB80" i="1" s="1"/>
  <c r="M80" i="1"/>
  <c r="AA79" i="1"/>
  <c r="Y79" i="1"/>
  <c r="AB79" i="1" s="1"/>
  <c r="M79" i="1"/>
  <c r="AA78" i="1"/>
  <c r="Y78" i="1"/>
  <c r="AB78" i="1" s="1"/>
  <c r="M78" i="1"/>
  <c r="AA77" i="1"/>
  <c r="Y77" i="1"/>
  <c r="AB77" i="1" s="1"/>
  <c r="M77" i="1"/>
  <c r="AA76" i="1"/>
  <c r="Y76" i="1"/>
  <c r="AB76" i="1" s="1"/>
  <c r="M76" i="1"/>
  <c r="Y75" i="1"/>
  <c r="AB75" i="1" s="1"/>
  <c r="M75" i="1"/>
  <c r="AA74" i="1"/>
  <c r="Y74" i="1"/>
  <c r="AB74" i="1" s="1"/>
  <c r="M74" i="1"/>
  <c r="AA73" i="1"/>
  <c r="Y73" i="1"/>
  <c r="AB73" i="1" s="1"/>
  <c r="M73" i="1"/>
  <c r="AA72" i="1"/>
  <c r="Y72" i="1"/>
  <c r="AB72" i="1" s="1"/>
  <c r="M72" i="1"/>
  <c r="W72" i="1" s="1"/>
  <c r="X72" i="1" s="1"/>
  <c r="Y71" i="1"/>
  <c r="AB71" i="1" s="1"/>
  <c r="M71" i="1"/>
  <c r="AA70" i="1"/>
  <c r="Y70" i="1"/>
  <c r="AB70" i="1" s="1"/>
  <c r="M70" i="1"/>
  <c r="Y69" i="1"/>
  <c r="AB69" i="1" s="1"/>
  <c r="M69" i="1"/>
  <c r="AA68" i="1"/>
  <c r="Y68" i="1"/>
  <c r="AB68" i="1" s="1"/>
  <c r="M68" i="1"/>
  <c r="AA67" i="1"/>
  <c r="Y67" i="1"/>
  <c r="AB67" i="1" s="1"/>
  <c r="M67" i="1"/>
  <c r="Y66" i="1"/>
  <c r="AB66" i="1" s="1"/>
  <c r="M66" i="1"/>
  <c r="AA65" i="1"/>
  <c r="Y65" i="1"/>
  <c r="AB65" i="1" s="1"/>
  <c r="M65" i="1"/>
  <c r="AA64" i="1"/>
  <c r="Y64" i="1"/>
  <c r="AB64" i="1" s="1"/>
  <c r="M64" i="1"/>
  <c r="Y63" i="1"/>
  <c r="AB63" i="1" s="1"/>
  <c r="M63" i="1"/>
  <c r="AA62" i="1"/>
  <c r="Y62" i="1"/>
  <c r="AB62" i="1" s="1"/>
  <c r="M62" i="1"/>
  <c r="W62" i="1" s="1"/>
  <c r="X62" i="1" s="1"/>
  <c r="AA61" i="1"/>
  <c r="Y61" i="1"/>
  <c r="AB61" i="1" s="1"/>
  <c r="M61" i="1"/>
  <c r="AA60" i="1"/>
  <c r="Y60" i="1"/>
  <c r="AB60" i="1" s="1"/>
  <c r="M60" i="1"/>
  <c r="AA59" i="1"/>
  <c r="Y59" i="1"/>
  <c r="AB59" i="1" s="1"/>
  <c r="M59" i="1"/>
  <c r="AA58" i="1"/>
  <c r="Y58" i="1"/>
  <c r="AB58" i="1" s="1"/>
  <c r="M58" i="1"/>
  <c r="AA57" i="1"/>
  <c r="Y57" i="1"/>
  <c r="AB57" i="1" s="1"/>
  <c r="M57" i="1"/>
  <c r="AA56" i="1"/>
  <c r="Y56" i="1"/>
  <c r="AB56" i="1" s="1"/>
  <c r="M56" i="1"/>
  <c r="AA55" i="1"/>
  <c r="Y55" i="1"/>
  <c r="AB55" i="1" s="1"/>
  <c r="M55" i="1"/>
  <c r="AA54" i="1"/>
  <c r="Y54" i="1"/>
  <c r="AB54" i="1" s="1"/>
  <c r="M54" i="1"/>
  <c r="AA53" i="1"/>
  <c r="Y53" i="1"/>
  <c r="AB53" i="1" s="1"/>
  <c r="M53" i="1"/>
  <c r="AA52" i="1"/>
  <c r="Y52" i="1"/>
  <c r="AB52" i="1" s="1"/>
  <c r="M52" i="1"/>
  <c r="W52" i="1" s="1"/>
  <c r="X52" i="1" s="1"/>
  <c r="Y51" i="1"/>
  <c r="AB51" i="1" s="1"/>
  <c r="M51" i="1"/>
  <c r="AA50" i="1"/>
  <c r="Y50" i="1"/>
  <c r="AB50" i="1" s="1"/>
  <c r="M50" i="1"/>
  <c r="Y49" i="1"/>
  <c r="AB49" i="1" s="1"/>
  <c r="M49" i="1"/>
  <c r="AA48" i="1"/>
  <c r="Y48" i="1"/>
  <c r="AB48" i="1" s="1"/>
  <c r="Q48" i="1"/>
  <c r="M48" i="1"/>
  <c r="Y47" i="1"/>
  <c r="AB47" i="1" s="1"/>
  <c r="Q47" i="1"/>
  <c r="M47" i="1"/>
  <c r="AA46" i="1"/>
  <c r="Y46" i="1"/>
  <c r="AB46" i="1" s="1"/>
  <c r="Q46" i="1"/>
  <c r="M46" i="1"/>
  <c r="AA45" i="1"/>
  <c r="Y45" i="1"/>
  <c r="AB45" i="1" s="1"/>
  <c r="Q45" i="1"/>
  <c r="M45" i="1"/>
  <c r="AA44" i="1"/>
  <c r="Y44" i="1"/>
  <c r="AB44" i="1" s="1"/>
  <c r="Q44" i="1"/>
  <c r="M44" i="1"/>
  <c r="AA43" i="1"/>
  <c r="Y43" i="1"/>
  <c r="AB43" i="1" s="1"/>
  <c r="Q43" i="1"/>
  <c r="M43" i="1"/>
  <c r="Y42" i="1"/>
  <c r="AB42" i="1" s="1"/>
  <c r="Q42" i="1"/>
  <c r="M42" i="1"/>
  <c r="AA41" i="1"/>
  <c r="Y41" i="1"/>
  <c r="AB41" i="1" s="1"/>
  <c r="Q41" i="1"/>
  <c r="M41" i="1"/>
  <c r="Y40" i="1"/>
  <c r="AB40" i="1" s="1"/>
  <c r="Q40" i="1"/>
  <c r="M40" i="1"/>
  <c r="AA39" i="1"/>
  <c r="Y39" i="1"/>
  <c r="AB39" i="1" s="1"/>
  <c r="Q39" i="1"/>
  <c r="M39" i="1"/>
  <c r="AA38" i="1"/>
  <c r="Y38" i="1"/>
  <c r="AB38" i="1" s="1"/>
  <c r="Q38" i="1"/>
  <c r="M38" i="1"/>
  <c r="AA37" i="1"/>
  <c r="Y37" i="1"/>
  <c r="AB37" i="1" s="1"/>
  <c r="Q37" i="1"/>
  <c r="M37" i="1"/>
  <c r="Y36" i="1"/>
  <c r="AB36" i="1" s="1"/>
  <c r="Q36" i="1"/>
  <c r="M36" i="1"/>
  <c r="AA35" i="1"/>
  <c r="Y35" i="1"/>
  <c r="AB35" i="1" s="1"/>
  <c r="Q35" i="1"/>
  <c r="M35" i="1"/>
  <c r="AA34" i="1"/>
  <c r="Y34" i="1"/>
  <c r="AB34" i="1" s="1"/>
  <c r="Q34" i="1"/>
  <c r="M34" i="1"/>
  <c r="Y33" i="1"/>
  <c r="AB33" i="1" s="1"/>
  <c r="Q33" i="1"/>
  <c r="M33" i="1"/>
  <c r="Y32" i="1"/>
  <c r="AB32" i="1" s="1"/>
  <c r="Q32" i="1"/>
  <c r="M32" i="1"/>
  <c r="Y31" i="1"/>
  <c r="AB31" i="1" s="1"/>
  <c r="Q31" i="1"/>
  <c r="M31" i="1"/>
  <c r="AA30" i="1"/>
  <c r="Y30" i="1"/>
  <c r="AB30" i="1" s="1"/>
  <c r="Q30" i="1"/>
  <c r="M30" i="1"/>
  <c r="AA29" i="1"/>
  <c r="Y29" i="1"/>
  <c r="AB29" i="1" s="1"/>
  <c r="Q29" i="1"/>
  <c r="M29" i="1"/>
  <c r="AA28" i="1"/>
  <c r="Y28" i="1"/>
  <c r="AB28" i="1" s="1"/>
  <c r="Q28" i="1"/>
  <c r="M28" i="1"/>
  <c r="AA27" i="1"/>
  <c r="Y27" i="1"/>
  <c r="AB27" i="1" s="1"/>
  <c r="Q27" i="1"/>
  <c r="M27" i="1"/>
  <c r="AA26" i="1"/>
  <c r="Y26" i="1"/>
  <c r="AB26" i="1" s="1"/>
  <c r="Q26" i="1"/>
  <c r="M26" i="1"/>
  <c r="Y25" i="1"/>
  <c r="AB25" i="1" s="1"/>
  <c r="Q25" i="1"/>
  <c r="M25" i="1"/>
  <c r="Y24" i="1"/>
  <c r="AB24" i="1" s="1"/>
  <c r="Q24" i="1"/>
  <c r="M24" i="1"/>
  <c r="Y23" i="1"/>
  <c r="AB23" i="1" s="1"/>
  <c r="Q23" i="1"/>
  <c r="M23" i="1"/>
  <c r="Y22" i="1"/>
  <c r="AB22" i="1" s="1"/>
  <c r="Q22" i="1"/>
  <c r="M22" i="1"/>
  <c r="W22" i="1" s="1"/>
  <c r="X22" i="1" s="1"/>
  <c r="AA21" i="1"/>
  <c r="Y21" i="1"/>
  <c r="AB21" i="1" s="1"/>
  <c r="Q21" i="1"/>
  <c r="M21" i="1"/>
  <c r="Y20" i="1"/>
  <c r="AB20" i="1" s="1"/>
  <c r="Q20" i="1"/>
  <c r="M20" i="1"/>
  <c r="AA19" i="1"/>
  <c r="Y19" i="1"/>
  <c r="AB19" i="1" s="1"/>
  <c r="Q19" i="1"/>
  <c r="M19" i="1"/>
  <c r="AA18" i="1"/>
  <c r="Y18" i="1"/>
  <c r="AB18" i="1" s="1"/>
  <c r="Q18" i="1"/>
  <c r="M18" i="1"/>
  <c r="AA17" i="1"/>
  <c r="Y17" i="1"/>
  <c r="AB17" i="1" s="1"/>
  <c r="Q17" i="1"/>
  <c r="M17" i="1"/>
  <c r="Y16" i="1"/>
  <c r="AB16" i="1" s="1"/>
  <c r="Q16" i="1"/>
  <c r="M16" i="1"/>
  <c r="AA15" i="1"/>
  <c r="Y15" i="1"/>
  <c r="AB15" i="1" s="1"/>
  <c r="Q15" i="1"/>
  <c r="M15" i="1"/>
  <c r="AA14" i="1"/>
  <c r="Y14" i="1"/>
  <c r="AB14" i="1" s="1"/>
  <c r="Q14" i="1"/>
  <c r="M14" i="1"/>
  <c r="AA13" i="1"/>
  <c r="Y13" i="1"/>
  <c r="AB13" i="1" s="1"/>
  <c r="Q13" i="1"/>
  <c r="M13" i="1"/>
  <c r="AA12" i="1"/>
  <c r="Y12" i="1"/>
  <c r="AB12" i="1" s="1"/>
  <c r="Q12" i="1"/>
  <c r="M12" i="1"/>
  <c r="Y11" i="1"/>
  <c r="AB11" i="1" s="1"/>
  <c r="Q11" i="1"/>
  <c r="M11" i="1"/>
  <c r="Y10" i="1"/>
  <c r="AB10" i="1" s="1"/>
  <c r="Q10" i="1"/>
  <c r="M10" i="1"/>
  <c r="AA9" i="1"/>
  <c r="Y9" i="1"/>
  <c r="AB9" i="1" s="1"/>
  <c r="Q9" i="1"/>
  <c r="M9" i="1"/>
  <c r="Y8" i="1"/>
  <c r="AB8" i="1" s="1"/>
  <c r="Q8" i="1"/>
  <c r="M8" i="1"/>
  <c r="Y7" i="1"/>
  <c r="AA7" i="1" s="1"/>
  <c r="Q7" i="1"/>
  <c r="M7" i="1"/>
  <c r="Y6" i="1"/>
  <c r="AB6" i="1" s="1"/>
  <c r="Q6" i="1"/>
  <c r="M6" i="1"/>
  <c r="W6" i="1" s="1"/>
  <c r="X6" i="1" s="1"/>
  <c r="AA5" i="1"/>
  <c r="Y5" i="1"/>
  <c r="AB5" i="1" s="1"/>
  <c r="Q5" i="1"/>
  <c r="M5" i="1"/>
  <c r="AA4" i="1"/>
  <c r="Y4" i="1"/>
  <c r="AB4" i="1" s="1"/>
  <c r="Q4" i="1"/>
  <c r="M4" i="1"/>
  <c r="Y3" i="1"/>
  <c r="AB3" i="1" s="1"/>
  <c r="Q3" i="1"/>
  <c r="M3" i="1"/>
  <c r="Y2" i="1"/>
  <c r="AB2" i="1" s="1"/>
  <c r="Q2" i="1"/>
  <c r="M2" i="1"/>
  <c r="W16" i="1" l="1"/>
  <c r="X16" i="1" s="1"/>
  <c r="W32" i="1"/>
  <c r="X32" i="1" s="1"/>
  <c r="W184" i="1"/>
  <c r="X184" i="1" s="1"/>
  <c r="W17" i="1"/>
  <c r="X17" i="1" s="1"/>
  <c r="W58" i="1"/>
  <c r="X58" i="1" s="1"/>
  <c r="W83" i="1"/>
  <c r="X83" i="1" s="1"/>
  <c r="W183" i="1"/>
  <c r="X183" i="1" s="1"/>
  <c r="W152" i="1"/>
  <c r="X152" i="1" s="1"/>
  <c r="W182" i="1"/>
  <c r="X182" i="1" s="1"/>
  <c r="W181" i="1"/>
  <c r="X181" i="1" s="1"/>
  <c r="W26" i="1"/>
  <c r="X26" i="1" s="1"/>
  <c r="W164" i="1"/>
  <c r="X164" i="1" s="1"/>
  <c r="W194" i="1"/>
  <c r="X194" i="1" s="1"/>
  <c r="W180" i="1"/>
  <c r="X180" i="1" s="1"/>
  <c r="W149" i="1"/>
  <c r="X149" i="1" s="1"/>
  <c r="W193" i="1"/>
  <c r="X193" i="1" s="1"/>
  <c r="W80" i="1"/>
  <c r="X80" i="1" s="1"/>
  <c r="W78" i="1"/>
  <c r="X78" i="1" s="1"/>
  <c r="W64" i="1"/>
  <c r="X64" i="1" s="1"/>
  <c r="W50" i="1"/>
  <c r="X50" i="1" s="1"/>
  <c r="W162" i="1"/>
  <c r="X162" i="1" s="1"/>
  <c r="W169" i="1"/>
  <c r="X169" i="1" s="1"/>
  <c r="W161" i="1"/>
  <c r="X161" i="1" s="1"/>
  <c r="W28" i="1"/>
  <c r="X28" i="1" s="1"/>
  <c r="W185" i="1"/>
  <c r="X185" i="1" s="1"/>
  <c r="W198" i="1"/>
  <c r="X198" i="1" s="1"/>
  <c r="W197" i="1"/>
  <c r="X197" i="1" s="1"/>
  <c r="W166" i="1"/>
  <c r="X166" i="1" s="1"/>
  <c r="W68" i="1"/>
  <c r="X68" i="1" s="1"/>
  <c r="W165" i="1"/>
  <c r="X165" i="1" s="1"/>
  <c r="W160" i="1"/>
  <c r="X160" i="1" s="1"/>
  <c r="W104" i="1"/>
  <c r="X104" i="1" s="1"/>
  <c r="W82" i="1"/>
  <c r="X82" i="1" s="1"/>
  <c r="W172" i="1"/>
  <c r="X172" i="1" s="1"/>
  <c r="W74" i="1"/>
  <c r="X74" i="1" s="1"/>
  <c r="W188" i="1"/>
  <c r="X188" i="1" s="1"/>
  <c r="W56" i="1"/>
  <c r="X56" i="1" s="1"/>
  <c r="W14" i="1"/>
  <c r="X14" i="1" s="1"/>
  <c r="W40" i="1"/>
  <c r="X40" i="1" s="1"/>
  <c r="W29" i="1"/>
  <c r="X29" i="1" s="1"/>
  <c r="W48" i="1"/>
  <c r="X48" i="1" s="1"/>
  <c r="AA6" i="1"/>
  <c r="W18" i="1"/>
  <c r="X18" i="1" s="1"/>
  <c r="W3" i="1"/>
  <c r="X3" i="1" s="1"/>
  <c r="W45" i="1"/>
  <c r="X45" i="1" s="1"/>
  <c r="W196" i="1"/>
  <c r="X196" i="1" s="1"/>
  <c r="W34" i="1"/>
  <c r="X34" i="1" s="1"/>
  <c r="W195" i="1"/>
  <c r="X195" i="1" s="1"/>
  <c r="W4" i="1"/>
  <c r="X4" i="1" s="1"/>
  <c r="W90" i="1"/>
  <c r="X90" i="1" s="1"/>
  <c r="W8" i="1"/>
  <c r="X8" i="1" s="1"/>
  <c r="AA23" i="1"/>
  <c r="W46" i="1"/>
  <c r="X46" i="1" s="1"/>
  <c r="W178" i="1"/>
  <c r="X178" i="1" s="1"/>
  <c r="W157" i="1"/>
  <c r="X157" i="1" s="1"/>
  <c r="W101" i="1"/>
  <c r="X101" i="1" s="1"/>
  <c r="W24" i="1"/>
  <c r="X24" i="1" s="1"/>
  <c r="W39" i="1"/>
  <c r="X39" i="1" s="1"/>
  <c r="W170" i="1"/>
  <c r="X170" i="1" s="1"/>
  <c r="W156" i="1"/>
  <c r="X156" i="1" s="1"/>
  <c r="W86" i="1"/>
  <c r="X86" i="1" s="1"/>
  <c r="W36" i="1"/>
  <c r="X36" i="1" s="1"/>
  <c r="W2" i="1"/>
  <c r="X2" i="1" s="1"/>
  <c r="W10" i="1"/>
  <c r="X10" i="1" s="1"/>
  <c r="W44" i="1"/>
  <c r="X44" i="1" s="1"/>
  <c r="W66" i="1"/>
  <c r="X66" i="1" s="1"/>
  <c r="W30" i="1"/>
  <c r="X30" i="1" s="1"/>
  <c r="W12" i="1"/>
  <c r="X12" i="1" s="1"/>
  <c r="W38" i="1"/>
  <c r="X38" i="1" s="1"/>
  <c r="W76" i="1"/>
  <c r="X76" i="1" s="1"/>
  <c r="W42" i="1"/>
  <c r="X42" i="1" s="1"/>
  <c r="W179" i="1"/>
  <c r="X179" i="1" s="1"/>
  <c r="W102" i="1"/>
  <c r="X102" i="1" s="1"/>
  <c r="W88" i="1"/>
  <c r="X88" i="1" s="1"/>
  <c r="W27" i="1"/>
  <c r="X27" i="1" s="1"/>
  <c r="W33" i="1"/>
  <c r="X33" i="1" s="1"/>
  <c r="W55" i="1"/>
  <c r="X55" i="1" s="1"/>
  <c r="W77" i="1"/>
  <c r="X77" i="1" s="1"/>
  <c r="W105" i="1"/>
  <c r="X105" i="1" s="1"/>
  <c r="W37" i="1"/>
  <c r="X37" i="1" s="1"/>
  <c r="W87" i="1"/>
  <c r="X87" i="1" s="1"/>
  <c r="W81" i="1"/>
  <c r="X81" i="1" s="1"/>
  <c r="W75" i="1"/>
  <c r="X75" i="1" s="1"/>
  <c r="W103" i="1"/>
  <c r="X103" i="1" s="1"/>
  <c r="W9" i="1"/>
  <c r="X9" i="1" s="1"/>
  <c r="W69" i="1"/>
  <c r="X69" i="1" s="1"/>
  <c r="W97" i="1"/>
  <c r="X97" i="1" s="1"/>
  <c r="W147" i="1"/>
  <c r="X147" i="1" s="1"/>
  <c r="W151" i="1"/>
  <c r="X151" i="1" s="1"/>
  <c r="W155" i="1"/>
  <c r="X155" i="1" s="1"/>
  <c r="W159" i="1"/>
  <c r="X159" i="1" s="1"/>
  <c r="W163" i="1"/>
  <c r="X163" i="1" s="1"/>
  <c r="W167" i="1"/>
  <c r="X167" i="1" s="1"/>
  <c r="W171" i="1"/>
  <c r="X171" i="1" s="1"/>
  <c r="AA31" i="1"/>
  <c r="W41" i="1"/>
  <c r="X41" i="1" s="1"/>
  <c r="W91" i="1"/>
  <c r="X91" i="1" s="1"/>
  <c r="W19" i="1"/>
  <c r="X19" i="1" s="1"/>
  <c r="W35" i="1"/>
  <c r="X35" i="1" s="1"/>
  <c r="AA47" i="1"/>
  <c r="W85" i="1"/>
  <c r="X85" i="1" s="1"/>
  <c r="W13" i="1"/>
  <c r="X13" i="1" s="1"/>
  <c r="AA22" i="1"/>
  <c r="W51" i="1"/>
  <c r="X51" i="1" s="1"/>
  <c r="W57" i="1"/>
  <c r="X57" i="1" s="1"/>
  <c r="W63" i="1"/>
  <c r="X63" i="1" s="1"/>
  <c r="W73" i="1"/>
  <c r="X73" i="1" s="1"/>
  <c r="W79" i="1"/>
  <c r="X79" i="1" s="1"/>
  <c r="W107" i="1"/>
  <c r="X107" i="1" s="1"/>
  <c r="W61" i="1"/>
  <c r="X61" i="1" s="1"/>
  <c r="AA20" i="1"/>
  <c r="W43" i="1"/>
  <c r="X43" i="1" s="1"/>
  <c r="W49" i="1"/>
  <c r="X49" i="1" s="1"/>
  <c r="W71" i="1"/>
  <c r="X71" i="1" s="1"/>
  <c r="AA11" i="1"/>
  <c r="W21" i="1"/>
  <c r="X21" i="1" s="1"/>
  <c r="W5" i="1"/>
  <c r="X5" i="1" s="1"/>
  <c r="W15" i="1"/>
  <c r="X15" i="1" s="1"/>
  <c r="W25" i="1"/>
  <c r="X25" i="1" s="1"/>
  <c r="W67" i="1"/>
  <c r="X67" i="1" s="1"/>
  <c r="W95" i="1"/>
  <c r="X95" i="1" s="1"/>
  <c r="W99" i="1"/>
  <c r="X99" i="1" s="1"/>
  <c r="W93" i="1"/>
  <c r="X93" i="1" s="1"/>
  <c r="W65" i="1"/>
  <c r="X65" i="1" s="1"/>
  <c r="W53" i="1"/>
  <c r="X53" i="1" s="1"/>
  <c r="W59" i="1"/>
  <c r="X59" i="1" s="1"/>
  <c r="W7" i="1"/>
  <c r="X7" i="1" s="1"/>
  <c r="W20" i="1"/>
  <c r="X20" i="1" s="1"/>
  <c r="W89" i="1"/>
  <c r="X89" i="1" s="1"/>
  <c r="W47" i="1"/>
  <c r="X47" i="1" s="1"/>
  <c r="W31" i="1"/>
  <c r="X31" i="1" s="1"/>
  <c r="W23" i="1"/>
  <c r="X23" i="1" s="1"/>
  <c r="W11" i="1"/>
  <c r="X11" i="1" s="1"/>
  <c r="AA3" i="1"/>
  <c r="AA25" i="1"/>
  <c r="AA33" i="1"/>
  <c r="AA49" i="1"/>
  <c r="AA51" i="1"/>
  <c r="AA63" i="1"/>
  <c r="AA69" i="1"/>
  <c r="AA71" i="1"/>
  <c r="AA75" i="1"/>
  <c r="AA147" i="1"/>
  <c r="AA149" i="1"/>
  <c r="AA151" i="1"/>
  <c r="AA153" i="1"/>
  <c r="AA155" i="1"/>
  <c r="AA157" i="1"/>
  <c r="AA159" i="1"/>
  <c r="AA161" i="1"/>
  <c r="AA163" i="1"/>
  <c r="AA165" i="1"/>
  <c r="AA167" i="1"/>
  <c r="AA169" i="1"/>
  <c r="AA171" i="1"/>
  <c r="AA173" i="1"/>
  <c r="AB7" i="1"/>
  <c r="AA10" i="1"/>
  <c r="AA32" i="1"/>
  <c r="AA36" i="1"/>
  <c r="AA40" i="1"/>
  <c r="AA42" i="1"/>
  <c r="AA66" i="1"/>
  <c r="AA148" i="1"/>
  <c r="AA150" i="1"/>
  <c r="AA152" i="1"/>
  <c r="AA154" i="1"/>
  <c r="AA156" i="1"/>
  <c r="AA158" i="1"/>
  <c r="AA160" i="1"/>
  <c r="AA162" i="1"/>
  <c r="AA164" i="1"/>
  <c r="AA166" i="1"/>
  <c r="AA168" i="1"/>
  <c r="AA170" i="1"/>
  <c r="AA172" i="1"/>
  <c r="AA2" i="1"/>
  <c r="AA8" i="1"/>
  <c r="AA16" i="1"/>
  <c r="AA24" i="1"/>
</calcChain>
</file>

<file path=xl/sharedStrings.xml><?xml version="1.0" encoding="utf-8"?>
<sst xmlns="http://schemas.openxmlformats.org/spreadsheetml/2006/main" count="1964" uniqueCount="679">
  <si>
    <t>Empreendimento</t>
  </si>
  <si>
    <t>Fração</t>
  </si>
  <si>
    <t>Piso</t>
  </si>
  <si>
    <t>Tipologia</t>
  </si>
  <si>
    <t>Vista</t>
  </si>
  <si>
    <t>ABP</t>
  </si>
  <si>
    <t>Varanda/Terraço</t>
  </si>
  <si>
    <t>Área Total</t>
  </si>
  <si>
    <t>PVP</t>
  </si>
  <si>
    <t>Ano Referência</t>
  </si>
  <si>
    <t>Sem Varanda/Terraço</t>
  </si>
  <si>
    <t>Com Varanda/Terraço</t>
  </si>
  <si>
    <t>Del Mar Waterfront</t>
  </si>
  <si>
    <t>A</t>
  </si>
  <si>
    <t>R/C</t>
  </si>
  <si>
    <t>T2</t>
  </si>
  <si>
    <t>B</t>
  </si>
  <si>
    <t>G</t>
  </si>
  <si>
    <t>H</t>
  </si>
  <si>
    <t>K</t>
  </si>
  <si>
    <t>L</t>
  </si>
  <si>
    <t>M</t>
  </si>
  <si>
    <t>Q</t>
  </si>
  <si>
    <t>U</t>
  </si>
  <si>
    <t>W</t>
  </si>
  <si>
    <t>T1</t>
  </si>
  <si>
    <t>X</t>
  </si>
  <si>
    <t>Y</t>
  </si>
  <si>
    <t>Z</t>
  </si>
  <si>
    <t>D</t>
  </si>
  <si>
    <t>AI</t>
  </si>
  <si>
    <t>AK</t>
  </si>
  <si>
    <t>AL</t>
  </si>
  <si>
    <t>AS</t>
  </si>
  <si>
    <t>AW</t>
  </si>
  <si>
    <t>AX</t>
  </si>
  <si>
    <t>BK</t>
  </si>
  <si>
    <t>BL</t>
  </si>
  <si>
    <t>BN</t>
  </si>
  <si>
    <t>BO</t>
  </si>
  <si>
    <t>BQ</t>
  </si>
  <si>
    <t>BS</t>
  </si>
  <si>
    <t>BU</t>
  </si>
  <si>
    <t>BW</t>
  </si>
  <si>
    <t>BX</t>
  </si>
  <si>
    <t>BY</t>
  </si>
  <si>
    <t>BZ</t>
  </si>
  <si>
    <t>T3</t>
  </si>
  <si>
    <t>CF</t>
  </si>
  <si>
    <t>CG</t>
  </si>
  <si>
    <t>CI</t>
  </si>
  <si>
    <t>CJ</t>
  </si>
  <si>
    <t>CK</t>
  </si>
  <si>
    <t>CL</t>
  </si>
  <si>
    <t>CO</t>
  </si>
  <si>
    <t>CR</t>
  </si>
  <si>
    <t>CT</t>
  </si>
  <si>
    <t>CV</t>
  </si>
  <si>
    <t>DB</t>
  </si>
  <si>
    <t>DD</t>
  </si>
  <si>
    <t>DE</t>
  </si>
  <si>
    <t>DH</t>
  </si>
  <si>
    <t>DO</t>
  </si>
  <si>
    <t>DS</t>
  </si>
  <si>
    <t>Le Parc</t>
  </si>
  <si>
    <t>1.1</t>
  </si>
  <si>
    <t>1.2</t>
  </si>
  <si>
    <t>2.1</t>
  </si>
  <si>
    <t>2.2</t>
  </si>
  <si>
    <t>3.1</t>
  </si>
  <si>
    <t>3.2</t>
  </si>
  <si>
    <t>4.1</t>
  </si>
  <si>
    <t>4.2</t>
  </si>
  <si>
    <t>1.3</t>
  </si>
  <si>
    <t>1.4</t>
  </si>
  <si>
    <t>1.5</t>
  </si>
  <si>
    <t>1.6</t>
  </si>
  <si>
    <t>2.3</t>
  </si>
  <si>
    <t>2.4</t>
  </si>
  <si>
    <t>2.5</t>
  </si>
  <si>
    <t>2.6</t>
  </si>
  <si>
    <t>3.3</t>
  </si>
  <si>
    <t>3.4</t>
  </si>
  <si>
    <t>3.5</t>
  </si>
  <si>
    <t>3.6</t>
  </si>
  <si>
    <t>4.3</t>
  </si>
  <si>
    <t>4.4</t>
  </si>
  <si>
    <t>T4</t>
  </si>
  <si>
    <t>4.5</t>
  </si>
  <si>
    <t>5.1</t>
  </si>
  <si>
    <t>5.2</t>
  </si>
  <si>
    <t>5.3</t>
  </si>
  <si>
    <t>5.4</t>
  </si>
  <si>
    <t>5.5</t>
  </si>
  <si>
    <t>6.1</t>
  </si>
  <si>
    <t>6.2</t>
  </si>
  <si>
    <t>6.3</t>
  </si>
  <si>
    <t>6.4</t>
  </si>
  <si>
    <t>6.5</t>
  </si>
  <si>
    <t>The View</t>
  </si>
  <si>
    <t>Apartamento 1</t>
  </si>
  <si>
    <t>Apartamento 2</t>
  </si>
  <si>
    <t>Apartamento 3</t>
  </si>
  <si>
    <t>Apartamento 4</t>
  </si>
  <si>
    <t>T1+1</t>
  </si>
  <si>
    <t>Apartamento 5</t>
  </si>
  <si>
    <t>Apartamento 6</t>
  </si>
  <si>
    <t>T2+1</t>
  </si>
  <si>
    <t>Apartamento 7</t>
  </si>
  <si>
    <t>Apartamento 8</t>
  </si>
  <si>
    <t>Apartamento 9</t>
  </si>
  <si>
    <t>Apartamento 10</t>
  </si>
  <si>
    <t>Apartamento 11</t>
  </si>
  <si>
    <t>Apartamento 12</t>
  </si>
  <si>
    <t>Apartamento 13</t>
  </si>
  <si>
    <t>Apartamento 14</t>
  </si>
  <si>
    <t>Apartamento 15</t>
  </si>
  <si>
    <t>Apartamento 16</t>
  </si>
  <si>
    <t>Apartamento 17</t>
  </si>
  <si>
    <t>Apartamento 18</t>
  </si>
  <si>
    <t>Apartamento 19</t>
  </si>
  <si>
    <t>Apartamento 20</t>
  </si>
  <si>
    <t>Apartamento 21</t>
  </si>
  <si>
    <t>Apartamento 22</t>
  </si>
  <si>
    <t>Apartamento 23</t>
  </si>
  <si>
    <t>Apartamento 24</t>
  </si>
  <si>
    <t>Apartamento 25</t>
  </si>
  <si>
    <t>Apartamento 26</t>
  </si>
  <si>
    <t>Apartamento 27</t>
  </si>
  <si>
    <t>Apartamento 28</t>
  </si>
  <si>
    <t>Apartamento 29</t>
  </si>
  <si>
    <t>Apartamento 30</t>
  </si>
  <si>
    <t>Apartamento 31</t>
  </si>
  <si>
    <t>Apartamento 32</t>
  </si>
  <si>
    <t>Apartamento 33</t>
  </si>
  <si>
    <t>Apartamento 34</t>
  </si>
  <si>
    <t>Apartamento 35</t>
  </si>
  <si>
    <t>T1-Duplex</t>
  </si>
  <si>
    <t>Apartamento 36</t>
  </si>
  <si>
    <t>Apartamento 37</t>
  </si>
  <si>
    <t>Apartamento 38</t>
  </si>
  <si>
    <t>Apartamento 39</t>
  </si>
  <si>
    <t>Aura Living</t>
  </si>
  <si>
    <t>S</t>
  </si>
  <si>
    <t>O</t>
  </si>
  <si>
    <t>N</t>
  </si>
  <si>
    <t>R</t>
  </si>
  <si>
    <t>AA</t>
  </si>
  <si>
    <t>BB</t>
  </si>
  <si>
    <t>CC</t>
  </si>
  <si>
    <t>EE</t>
  </si>
  <si>
    <t>FF</t>
  </si>
  <si>
    <t>GG</t>
  </si>
  <si>
    <t>HH</t>
  </si>
  <si>
    <t>I</t>
  </si>
  <si>
    <t>J</t>
  </si>
  <si>
    <t>II</t>
  </si>
  <si>
    <t>JJ</t>
  </si>
  <si>
    <t>KK</t>
  </si>
  <si>
    <t>INSTRUÇÕES PARA ATUALIZAR O DASHBOARD</t>
  </si>
  <si>
    <t>1. ESTRUTURA DO FICHEIRO</t>
  </si>
  <si>
    <t xml:space="preserve">   - Mantenha a folha 'Dados' com exatamente as mesmas colunas</t>
  </si>
  <si>
    <t xml:space="preserve">   - Não altere os nomes das colunas</t>
  </si>
  <si>
    <t xml:space="preserve">   - Não deixe linhas em branco no meio dos dados</t>
  </si>
  <si>
    <t>2. COLUNAS OBRIGATÓRIAS</t>
  </si>
  <si>
    <t xml:space="preserve">   • Empreendimento: Nome do empreendimento (ex: The View, Del Mar Waterfront, Aura Living)</t>
  </si>
  <si>
    <t xml:space="preserve">   • Fração: Identificador único (ex: Apartamento 1, W, CG)</t>
  </si>
  <si>
    <t xml:space="preserve">   • Piso: Número do piso ou R/C (ex: 1, 2, R/C)</t>
  </si>
  <si>
    <t xml:space="preserve">   • Tipologia: Tipo de apartamento (ex: T1, T2, T3, T1+1, T2+1, T1-Duplex)</t>
  </si>
  <si>
    <t xml:space="preserve">   • Vista: Código numérico da vista (ex: 1, 2, 3, 4)</t>
  </si>
  <si>
    <t xml:space="preserve">   • ABP: Área Bruta Privativa em m² (ex: 99.7)</t>
  </si>
  <si>
    <t xml:space="preserve">   • Varanda/Terraço: Área da varanda em m² (ex: 43.4)</t>
  </si>
  <si>
    <t xml:space="preserve">   • PVP: Preço de venda em € (ex: 545000)</t>
  </si>
  <si>
    <t xml:space="preserve">   • Ano Referência: Ano dos dados (ex: 2026)</t>
  </si>
  <si>
    <t>3. COMO ADICIONAR NOVOS EMPREENDIMENTOS</t>
  </si>
  <si>
    <t xml:space="preserve">   - Adicione novas linhas no final da tabela</t>
  </si>
  <si>
    <t xml:space="preserve">   - Preencha todos os campos obrigatórios</t>
  </si>
  <si>
    <t xml:space="preserve">   - Use o mesmo formato de dados (sem símbolos de moeda, etc)</t>
  </si>
  <si>
    <t>4. COMO FAZER UPLOAD</t>
  </si>
  <si>
    <t xml:space="preserve">   - Aceda ao dashboard em: viewdash-4miuthwx.manus.space</t>
  </si>
  <si>
    <t xml:space="preserve">   - Clique na aba '🔄 Atualizar'</t>
  </si>
  <si>
    <t xml:space="preserve">   - Clique em 'Selecionar Ficheiro'</t>
  </si>
  <si>
    <t xml:space="preserve">   - Escolha este ficheiro Excel</t>
  </si>
  <si>
    <t xml:space="preserve">   - O dashboard será atualizado automaticamente</t>
  </si>
  <si>
    <t>5. NOTAS IMPORTANTES</t>
  </si>
  <si>
    <t xml:space="preserve">   • T1+1, T1-Duplex são comparados com T2 (configurável na aba ⚙️ Configuração)</t>
  </si>
  <si>
    <t xml:space="preserve">   • Certifique-se de que não há espaços em branco extras nos nomes</t>
  </si>
  <si>
    <t xml:space="preserve">   • Use sempre o mesmo formato de data e números</t>
  </si>
  <si>
    <t xml:space="preserve">   • Faça backup do ficheiro antes de fazer grandes alterações</t>
  </si>
  <si>
    <t xml:space="preserve">   • Este ficheiro inclui todos os 4 empreendimentos: The View, Del Mar Waterfront, Le Parc, Aura Living</t>
  </si>
  <si>
    <t>Status</t>
  </si>
  <si>
    <t>Fonte</t>
  </si>
  <si>
    <t>URL</t>
  </si>
  <si>
    <t>Data de atualização</t>
  </si>
  <si>
    <t>Segmento</t>
  </si>
  <si>
    <t>Condição</t>
  </si>
  <si>
    <t>Ano de entrega</t>
  </si>
  <si>
    <t>Garagem</t>
  </si>
  <si>
    <t>Piscina</t>
  </si>
  <si>
    <t>Distância ao The View</t>
  </si>
  <si>
    <t>Peso comparável</t>
  </si>
  <si>
    <t>Camada compset</t>
  </si>
  <si>
    <t>Qualidade dados</t>
  </si>
  <si>
    <t>Observações comerciais</t>
  </si>
  <si>
    <t>Ação recomendada</t>
  </si>
  <si>
    <t>Prioridade atualização</t>
  </si>
  <si>
    <t>Nova construção</t>
  </si>
  <si>
    <t>Saramago Condomínio</t>
  </si>
  <si>
    <t>A0D</t>
  </si>
  <si>
    <t>N/D</t>
  </si>
  <si>
    <t>Histórico</t>
  </si>
  <si>
    <t>Sim</t>
  </si>
  <si>
    <t>Média</t>
  </si>
  <si>
    <t>Tabela de preços 2024. Sem orientação/vista por fração; usar como benchmark local, não como concorrente direto premium.</t>
  </si>
  <si>
    <t>Alta</t>
  </si>
  <si>
    <t>A0E</t>
  </si>
  <si>
    <t>B0D</t>
  </si>
  <si>
    <t>C0D</t>
  </si>
  <si>
    <t>C0E</t>
  </si>
  <si>
    <t>A1D</t>
  </si>
  <si>
    <t>A1EF</t>
  </si>
  <si>
    <t>B1DF</t>
  </si>
  <si>
    <t>B1E</t>
  </si>
  <si>
    <t>C1DF</t>
  </si>
  <si>
    <t>C1E</t>
  </si>
  <si>
    <t>A2D</t>
  </si>
  <si>
    <t>A2EF</t>
  </si>
  <si>
    <t>B2DF</t>
  </si>
  <si>
    <t>B2E</t>
  </si>
  <si>
    <t>C2DT</t>
  </si>
  <si>
    <t>A3D</t>
  </si>
  <si>
    <t>A3ET</t>
  </si>
  <si>
    <t>A3EF</t>
  </si>
  <si>
    <t>B3DT</t>
  </si>
  <si>
    <t>B3E</t>
  </si>
  <si>
    <t>C3E</t>
  </si>
  <si>
    <t>A4D</t>
  </si>
  <si>
    <t>A4E</t>
  </si>
  <si>
    <t>B4E</t>
  </si>
  <si>
    <t>Diagnóstico da base de dados — The View</t>
  </si>
  <si>
    <t>Métrica</t>
  </si>
  <si>
    <t>Valor</t>
  </si>
  <si>
    <t>Comentário</t>
  </si>
  <si>
    <t>Total de linhas</t>
  </si>
  <si>
    <t>Inclui The View e concorrentes</t>
  </si>
  <si>
    <t>Frações The View</t>
  </si>
  <si>
    <t>Projeto próprio</t>
  </si>
  <si>
    <t>Frações concorrentes</t>
  </si>
  <si>
    <t>Base competitiva atual</t>
  </si>
  <si>
    <t>Linhas 2024</t>
  </si>
  <si>
    <t>Prioridade alta de atualização</t>
  </si>
  <si>
    <t>Linhas 2026</t>
  </si>
  <si>
    <t>Base mais atual</t>
  </si>
  <si>
    <t>Empreendimentos concorrentes</t>
  </si>
  <si>
    <t>Ideal: 6 a 10 empreendimentos</t>
  </si>
  <si>
    <t>Linhas</t>
  </si>
  <si>
    <t>Mediana €/m² total</t>
  </si>
  <si>
    <t>Mín. €/m²</t>
  </si>
  <si>
    <t>Máx. €/m²</t>
  </si>
  <si>
    <t>Diagnóstico</t>
  </si>
  <si>
    <t>Concorrente relevante; atualizar fontes</t>
  </si>
  <si>
    <t>Rever peso: benchmark secundário</t>
  </si>
  <si>
    <t>Plano de melhoria do compset</t>
  </si>
  <si>
    <t>Prioridade</t>
  </si>
  <si>
    <t>Ação</t>
  </si>
  <si>
    <t>Como preencher</t>
  </si>
  <si>
    <t>Impacto no dashboard</t>
  </si>
  <si>
    <t>Responsável</t>
  </si>
  <si>
    <t>Estado</t>
  </si>
  <si>
    <t>Atualizar todos os concorrentes de 2024</t>
  </si>
  <si>
    <t>Confirmar PVP, status e URL nos portais/fontes comerciais</t>
  </si>
  <si>
    <t>Reduz distorção do pricing</t>
  </si>
  <si>
    <t>Por fazer</t>
  </si>
  <si>
    <t>Adicionar 3–6 novos empreendimentos premium</t>
  </si>
  <si>
    <t>Olhão, Marina, Ria Formosa, waterfront, nova construção</t>
  </si>
  <si>
    <t>Aumenta robustez do preço IA/rigoroso</t>
  </si>
  <si>
    <t>Classificar Le Parc como benchmark local</t>
  </si>
  <si>
    <t>Manter, mas com peso inferior ao premium waterfront</t>
  </si>
  <si>
    <t>Evita subprecificação por comparável fraco</t>
  </si>
  <si>
    <t>Completar Fonte, URL e Data de atualização</t>
  </si>
  <si>
    <t>Obrigatório para linhas concorrentes</t>
  </si>
  <si>
    <t>Melhora qualidade e auditabilidade</t>
  </si>
  <si>
    <t>Preencher Garagem/Piscina/Condição</t>
  </si>
  <si>
    <t>Usar Sim/Não/A confirmar</t>
  </si>
  <si>
    <t>Permite ajustes finos futuros</t>
  </si>
  <si>
    <t>Criar equivalências comerciais para T1+1/T2+1/Duplex</t>
  </si>
  <si>
    <t>Documentar na coluna Observações comerciais</t>
  </si>
  <si>
    <t>Evita amostra vazia para tipologias especiais</t>
  </si>
  <si>
    <t>Baixa</t>
  </si>
  <si>
    <t>Separar vendidos/reservados de disponíveis</t>
  </si>
  <si>
    <t>Status Ativo/Reservado/Vendido</t>
  </si>
  <si>
    <t>Melhora leitura comercial</t>
  </si>
  <si>
    <t>Empreendimento / Fonte</t>
  </si>
  <si>
    <t>Tipo</t>
  </si>
  <si>
    <t>Localização</t>
  </si>
  <si>
    <t>Tipologias</t>
  </si>
  <si>
    <t>Preço desde</t>
  </si>
  <si>
    <t>Área/escala</t>
  </si>
  <si>
    <t>Segmento sugerido</t>
  </si>
  <si>
    <t>Camada sugerida</t>
  </si>
  <si>
    <t>Peso sugerido</t>
  </si>
  <si>
    <t>Status sugerido</t>
  </si>
  <si>
    <t>O que recolher</t>
  </si>
  <si>
    <t>Fonte URL</t>
  </si>
  <si>
    <t>Notas</t>
  </si>
  <si>
    <t>Del Mar Waterfront Living</t>
  </si>
  <si>
    <t>Marina / Porto de Recreio de Olhão</t>
  </si>
  <si>
    <t>T2 e T3; projeto T1-T3</t>
  </si>
  <si>
    <t>690.000 €</t>
  </si>
  <si>
    <t>126 frações; 72-163 m²</t>
  </si>
  <si>
    <t>Premium waterfront/marina</t>
  </si>
  <si>
    <t>A · Premium ativo</t>
  </si>
  <si>
    <t>Ativo</t>
  </si>
  <si>
    <t>Confirmar lista atual de unidades, preços por fração, piso, vista e áreas; atualizar 2026</t>
  </si>
  <si>
    <t>https://www.idealista.pt/empreendimento/34271659/</t>
  </si>
  <si>
    <t>Manter como principal benchmark premium; fonte indica marina, 126 frações, T1-T3, áreas 72-163 m², varandas, estacionamento e 5 piscinas.</t>
  </si>
  <si>
    <t>Del Mar Marina / Del Mar Marina Olhão</t>
  </si>
  <si>
    <t>Frente mar / Marina de Olhão</t>
  </si>
  <si>
    <t>T2; projeto T1-T4/T1-T3</t>
  </si>
  <si>
    <t>720.000 €</t>
  </si>
  <si>
    <t>83 frações; 4 pisos</t>
  </si>
  <si>
    <t>Recolher unidades remanescentes e diferenciar de Del Mar Waterfront para não duplicar</t>
  </si>
  <si>
    <t>https://supercasa.pt/comprar-nova_construcao/olhao/olhao/com-preco-min-1200000</t>
  </si>
  <si>
    <t>Fonte indica 83 frações, frente marina/Ria Formosa, piscina, garagem e varandas/terraços.</t>
  </si>
  <si>
    <t>Baixa de Olhão; cerca de 300 m da Marina</t>
  </si>
  <si>
    <t>T1, T2 e T3</t>
  </si>
  <si>
    <t>535.500 €</t>
  </si>
  <si>
    <t>39 apartamentos</t>
  </si>
  <si>
    <t>Nova construção premium local</t>
  </si>
  <si>
    <t>B · Benchmark local</t>
  </si>
  <si>
    <t>Recolher tabela de preços por fração e confirmar vista/estacionamento/piscina</t>
  </si>
  <si>
    <t>https://supercasa.pt/comprar-nova_construcao/olhao</t>
  </si>
  <si>
    <t>Boa adição para liquidez e referência de nova construção; menos waterfront direto que The View.</t>
  </si>
  <si>
    <t>PLESSIS</t>
  </si>
  <si>
    <t>Olhão; zona Ria Formosa/salinas</t>
  </si>
  <si>
    <t>T2, T3, T4+</t>
  </si>
  <si>
    <t>415.000 €</t>
  </si>
  <si>
    <t>39 apartamentos; 90-240 m²</t>
  </si>
  <si>
    <t>Nova construção local / lifestyle</t>
  </si>
  <si>
    <t>Validar distância, vista real, acabamentos e tabela de preços por tipologia</t>
  </si>
  <si>
    <t>Usar como benchmark amplo; não deve competir com o mesmo peso de waterfront.</t>
  </si>
  <si>
    <t>Luxuosos apartamentos com terraço privativo</t>
  </si>
  <si>
    <t>Empreendimento/listagem agregada</t>
  </si>
  <si>
    <t>Olhão</t>
  </si>
  <si>
    <t>A confirmar</t>
  </si>
  <si>
    <t>Nova construção local</t>
  </si>
  <si>
    <t>Identificar nome real do empreendimento e evitar duplicação com PLESSIS/Saramago</t>
  </si>
  <si>
    <t>Fonte agregada; precisa validação antes de entrar como unidades no Dados.</t>
  </si>
  <si>
    <t>Apartamentos Marina Olhão com terraço</t>
  </si>
  <si>
    <t>Listagens individuais</t>
  </si>
  <si>
    <t>Marina, Olhão</t>
  </si>
  <si>
    <t>T1+1, T2, penthouse</t>
  </si>
  <si>
    <t>335.000 €+ / exemplos 380.000 € a 755.000 €</t>
  </si>
  <si>
    <t>Revenda premium/local</t>
  </si>
  <si>
    <t>Recolher apenas anúncios com área, piso, vista, varanda/terraço e link; não misturar sem ficha completa</t>
  </si>
  <si>
    <t>https://www.idealista.pt/comprar-casas/olhao/marina/com-apartamentos%2Cterraco/</t>
  </si>
  <si>
    <t>Útil para tipologias sem comparáveis diretos, como T1+1 e penthouses, mas deve ter menor peso.</t>
  </si>
  <si>
    <t>Urbanização Village Marina</t>
  </si>
  <si>
    <t>Revenda / zona</t>
  </si>
  <si>
    <t>Olhão - Village Marina</t>
  </si>
  <si>
    <t>Apartamentos variados</t>
  </si>
  <si>
    <t>335.000 €</t>
  </si>
  <si>
    <t>11 anúncios na zona</t>
  </si>
  <si>
    <t>Benchmark local usado</t>
  </si>
  <si>
    <t>C · Histórico/secundário</t>
  </si>
  <si>
    <t>Usar apenas para contexto local e validar estado/ano antes de misturar</t>
  </si>
  <si>
    <t>https://www.idealista.pt/geo/comprar-casas/urbanizacao-village-marina/com-apartamentos/</t>
  </si>
  <si>
    <t>Ajuda a calibrar mercado secundário, mas não deve comandar preço premium.</t>
  </si>
  <si>
    <t>Casas De Sal</t>
  </si>
  <si>
    <t>Produto alternativo</t>
  </si>
  <si>
    <t>Moncarapacho e Fuseta</t>
  </si>
  <si>
    <t>Moradias T3</t>
  </si>
  <si>
    <t>860.000 €</t>
  </si>
  <si>
    <t>Moradias em banda</t>
  </si>
  <si>
    <t>Alternativa lifestyle fora do micro mercado</t>
  </si>
  <si>
    <t>Só usar se quiser comparar poder de compra/lifestyle; não usar no preço oficial de apartamentos</t>
  </si>
  <si>
    <t>https://www.idealista.pt/comprar-empreendimentos/olhao/</t>
  </si>
  <si>
    <t>Fora do micro mercado Marina/Olhão apartamentos; útil apenas como referência estratégica.</t>
  </si>
  <si>
    <t>Critério</t>
  </si>
  <si>
    <t>Valor / condição</t>
  </si>
  <si>
    <t>Peso recomendado</t>
  </si>
  <si>
    <t>Camada</t>
  </si>
  <si>
    <t>Como usar no compset</t>
  </si>
  <si>
    <t>Exemplo</t>
  </si>
  <si>
    <t>Waterfront / Marina / Ria Formosa comparável</t>
  </si>
  <si>
    <t>Usar no preço oficial quando também casar tipologia/piso/vista</t>
  </si>
  <si>
    <t>Del Mar Waterfront atualizado</t>
  </si>
  <si>
    <t>Olhão central / próximo da marina, mas sem frente de água</t>
  </si>
  <si>
    <t>Usar como benchmark; menor peso no preço IA</t>
  </si>
  <si>
    <t>Fora do micro mercado ou produto diferente</t>
  </si>
  <si>
    <t>C</t>
  </si>
  <si>
    <t>Apenas contexto estratégico</t>
  </si>
  <si>
    <t>Atualidade</t>
  </si>
  <si>
    <t>Ativo/atualizado nos últimos 90 dias</t>
  </si>
  <si>
    <t>A/B</t>
  </si>
  <si>
    <t>Pode entrar com peso normal</t>
  </si>
  <si>
    <t>URL e data confirmada</t>
  </si>
  <si>
    <t>2024 ou sem data de atualização</t>
  </si>
  <si>
    <t>Não deve puxar preço final sozinho</t>
  </si>
  <si>
    <t>Le Parc antigo sem atualização</t>
  </si>
  <si>
    <t>Produto</t>
  </si>
  <si>
    <t>Nova construção com garagem, piscina e varanda/terraço</t>
  </si>
  <si>
    <t>Bom comparável se áreas e vistas forem completas</t>
  </si>
  <si>
    <t>Del Mar / Saramago</t>
  </si>
  <si>
    <t>Revenda ou produto semi-novo</t>
  </si>
  <si>
    <t>B/C</t>
  </si>
  <si>
    <t>Usar apenas se ficha completa e localização muito boa</t>
  </si>
  <si>
    <t>Village Marina</t>
  </si>
  <si>
    <t>Dados</t>
  </si>
  <si>
    <t>Ficha completa com URL, data, área, piso, vista e preço</t>
  </si>
  <si>
    <t>Confiável para pricing</t>
  </si>
  <si>
    <t>Anúncio detalhado</t>
  </si>
  <si>
    <t>Sem URL, sem data ou sem área útil/total</t>
  </si>
  <si>
    <t>Prioridade de atualização alta</t>
  </si>
  <si>
    <t>Linha antiga sem fonte</t>
  </si>
  <si>
    <t>Como usar esta folha</t>
  </si>
  <si>
    <t>CAND-001</t>
  </si>
  <si>
    <t>T2 / T3</t>
  </si>
  <si>
    <t>Marina / Ria Formosa</t>
  </si>
  <si>
    <t>Candidato / Ativo</t>
  </si>
  <si>
    <t>Idealista</t>
  </si>
  <si>
    <t>Adicionar unidades reais por fração; confirmar preços, pisos, vistas, ABP, varandas e disponibilidade.</t>
  </si>
  <si>
    <t>Recolher tabela de unidades e substituir esta linha por frações individuais.</t>
  </si>
  <si>
    <t>1</t>
  </si>
  <si>
    <t>Esta folha usa exatamente as mesmas colunas da folha Dados.</t>
  </si>
  <si>
    <t>CAND-002</t>
  </si>
  <si>
    <t>T1 / T2 / T3 / T4</t>
  </si>
  <si>
    <t>Frente mar / Marina</t>
  </si>
  <si>
    <t>SuperCasa</t>
  </si>
  <si>
    <t>Validar se é distinto do Del Mar Waterfront Living para evitar duplicação.</t>
  </si>
  <si>
    <t>Recolher unidades remanescentes; confirmar nome comercial e fichas por fração.</t>
  </si>
  <si>
    <t>2</t>
  </si>
  <si>
    <t>As linhas são candidatos, não frações definitivas.</t>
  </si>
  <si>
    <t>CAND-003</t>
  </si>
  <si>
    <t>T1 / T2 / T3</t>
  </si>
  <si>
    <t>Bom benchmark local, mas menos waterfront direto do que The View.</t>
  </si>
  <si>
    <t>Recolher tabela por fração, vista real, pisos, áreas e estacionamento.</t>
  </si>
  <si>
    <t>3</t>
  </si>
  <si>
    <t>Antes de copiar para Dados, substituir cada candidato por unidades reais com ABP, varanda, área total e PVP.</t>
  </si>
  <si>
    <t>CAND-004</t>
  </si>
  <si>
    <t>T2 / T3 / T4+</t>
  </si>
  <si>
    <t>Ria Formosa / Salinas a confirmar</t>
  </si>
  <si>
    <t>Usar como benchmark amplo; não deve ter o mesmo peso de waterfront.</t>
  </si>
  <si>
    <t>Validar distância, vista real, acabamentos e tabela de preços por tipologia.</t>
  </si>
  <si>
    <t>4</t>
  </si>
  <si>
    <t>Não usar linhas com ABP/Área vazias no pricing oficial.</t>
  </si>
  <si>
    <t>CAND-005</t>
  </si>
  <si>
    <t>Candidato / A validar</t>
  </si>
  <si>
    <t>Fonte agregada; precisa confirmar nome real do empreendimento e evitar duplicação.</t>
  </si>
  <si>
    <t>Identificar empreendimento real antes de inserir como concorrente oficial.</t>
  </si>
  <si>
    <t>5</t>
  </si>
  <si>
    <t>Peso comparável é sugestão inicial; ajustar conforme qualidade da fonte e semelhança real.</t>
  </si>
  <si>
    <t>CAND-006</t>
  </si>
  <si>
    <t>T1+1 / T2 / Penthouse</t>
  </si>
  <si>
    <t>Marina / A confirmar</t>
  </si>
  <si>
    <t>Candidato / Listagens individuais</t>
  </si>
  <si>
    <t>Usado / A confirmar</t>
  </si>
  <si>
    <t>Útil para tipologias sem diretos, mas apenas com ficha completa por anúncio.</t>
  </si>
  <si>
    <t>Selecionar apenas anúncios com preço, área, piso, vista, varanda/terraço e URL individual.</t>
  </si>
  <si>
    <t>6</t>
  </si>
  <si>
    <t>Manter URL individual sempre que possível.</t>
  </si>
  <si>
    <t>CAND-007</t>
  </si>
  <si>
    <t>Usado</t>
  </si>
  <si>
    <t>Benchmark de mercado secundário; não deve comandar pricing premium.</t>
  </si>
  <si>
    <t>Usar só como contexto; validar estado, ano, áreas e localização exata.</t>
  </si>
  <si>
    <t>CAND-008</t>
  </si>
  <si>
    <t>T3 moradia</t>
  </si>
  <si>
    <t>Fora do micro mercado</t>
  </si>
  <si>
    <t>Candidato / Estratégico</t>
  </si>
  <si>
    <t>Produto alternativo; não usar no preço oficial de apartamentos The View.</t>
  </si>
  <si>
    <t>Usar apenas para análise de poder de compra/lifestyle, não como concorrente direto.</t>
  </si>
  <si>
    <t>Data</t>
  </si>
  <si>
    <t>Tipo de dado</t>
  </si>
  <si>
    <t>€/m²</t>
  </si>
  <si>
    <t>Variação mensal</t>
  </si>
  <si>
    <t>Variação trimestral</t>
  </si>
  <si>
    <t>Variação anual</t>
  </si>
  <si>
    <t>Uso recomendado</t>
  </si>
  <si>
    <t>Observação</t>
  </si>
  <si>
    <t>2026-04</t>
  </si>
  <si>
    <t>Oferta/anúncio</t>
  </si>
  <si>
    <t>Portugal</t>
  </si>
  <si>
    <t>Mercado geral</t>
  </si>
  <si>
    <t>Benchmark macro</t>
  </si>
  <si>
    <t>Preço mediano de casas anunciadas para venda; não usar como concorrente direto.</t>
  </si>
  <si>
    <t>https://www.idealista.pt/media/relatorios-preco-habitacao/</t>
  </si>
  <si>
    <t>Algarve</t>
  </si>
  <si>
    <t>Mercado regional</t>
  </si>
  <si>
    <t>Benchmark regional</t>
  </si>
  <si>
    <t>Preço mediano de casas anunciadas para venda no Algarve; útil para posicionamento premium.</t>
  </si>
  <si>
    <t>https://www.idealista.pt/media/relatorios-preco-habitacao/venda/faro/</t>
  </si>
  <si>
    <t>Mercado local</t>
  </si>
  <si>
    <t>Benchmark local</t>
  </si>
  <si>
    <t>Preço mediano de casas anunciadas para venda em Olhão; usar como base local geral.</t>
  </si>
  <si>
    <t>https://www.idealista.pt/media/relatorios-preco-habitacao/venda/faro/olhao/</t>
  </si>
  <si>
    <t>2025</t>
  </si>
  <si>
    <t>INE</t>
  </si>
  <si>
    <t>Transação</t>
  </si>
  <si>
    <t>Benchmark transação</t>
  </si>
  <si>
    <t>Preço mediano anual de alojamentos familiares transacionados; mais conservador que preço de oferta.</t>
  </si>
  <si>
    <t>https://www.ine.pt/xportal/xmain?DESTAQUESdest_boui=706274558&amp;DESTAQUESmodo=2&amp;xlang=pt&amp;xpgid=ine_destaques&amp;xpid=INE</t>
  </si>
  <si>
    <t>Preço mediano anual de alojamentos familiares transacionados no Algarve; útil para validar premium regional.</t>
  </si>
  <si>
    <t>2025-Q4</t>
  </si>
  <si>
    <t>Benchmark trimestral</t>
  </si>
  <si>
    <t>Preço mediano dos alojamentos familiares transacionados em Portugal no 4.º trimestre de 2025.</t>
  </si>
  <si>
    <t>https://www.ine.pt/ngt_server/attachfileu.jsp?att_display=n&amp;att_download=y&amp;look_parentBoui=789055201</t>
  </si>
  <si>
    <t>Contexto de Mercado · The View Olhão</t>
  </si>
  <si>
    <t>Indicador</t>
  </si>
  <si>
    <t>Fonte / cálculo</t>
  </si>
  <si>
    <t>Leitura</t>
  </si>
  <si>
    <t>Fontes usadas</t>
  </si>
  <si>
    <t>Mediana The View €/m² c/ varanda</t>
  </si>
  <si>
    <t>MEDIAN(FILTER(Dados[Com Varanda/Terraço], Dados[Empreendimento]="The View"))</t>
  </si>
  <si>
    <t>Âncora interna do empreendimento.</t>
  </si>
  <si>
    <t>Índice de preços de oferta/anúncio. Útil para perceber mercado pedido, não preço fechado.</t>
  </si>
  <si>
    <t>Mediana concorrentes €/m² c/ varanda</t>
  </si>
  <si>
    <t>MEDIAN(FILTER(Dados[Com Varanda/Terraço], Dados[Empreendimento]&lt;&gt;"The View"))</t>
  </si>
  <si>
    <t>Referência direta do compset atual.</t>
  </si>
  <si>
    <t>Idealista Olhão</t>
  </si>
  <si>
    <t>Preço do m² em Olhão a abril de 2026: 3.261 €/m².</t>
  </si>
  <si>
    <t>Benchmark Olhão · oferta</t>
  </si>
  <si>
    <t>Benchmark_Mercado</t>
  </si>
  <si>
    <t>Base local geral; não é concorrência direta.</t>
  </si>
  <si>
    <t>Idealista Algarve</t>
  </si>
  <si>
    <t>Preço do m² no Algarve/Faro a abril de 2026: 4.009 €/m².</t>
  </si>
  <si>
    <t>Benchmark Algarve · oferta</t>
  </si>
  <si>
    <t>Base regional; útil para justificar posicionamento premium.</t>
  </si>
  <si>
    <t>Estatísticas de preços de habitação ao nível local; transações reais.</t>
  </si>
  <si>
    <t>Benchmark Portugal · oferta</t>
  </si>
  <si>
    <t>Base macro; usado apenas para enquadramento.</t>
  </si>
  <si>
    <t>The View vs Olhão</t>
  </si>
  <si>
    <t>Mediana The View / Olhão - 1</t>
  </si>
  <si>
    <t>Mostra o prémio local.</t>
  </si>
  <si>
    <t>The View vs Algarve</t>
  </si>
  <si>
    <t>Mediana The View / Algarve - 1</t>
  </si>
  <si>
    <t>Mostra o posicionamento regional.</t>
  </si>
  <si>
    <t>The View vs Portugal</t>
  </si>
  <si>
    <t>Mediana The View / Portugal - 1</t>
  </si>
  <si>
    <t>Mostra o prémio macro.</t>
  </si>
  <si>
    <t>Recomendação analítica</t>
  </si>
  <si>
    <t>Não misturar benchmarks macro/regionais com concorrentes diretos.</t>
  </si>
  <si>
    <t>Olhão, Algarve e Portugal devem validar o posicionamento, não calcular o preço de cada fração.</t>
  </si>
  <si>
    <t>Manter penalização do Le Parc e dos dados 2024.</t>
  </si>
  <si>
    <t>O compset continua útil, mas precisa de peso menor quando o dado é antigo ou menos premium.</t>
  </si>
  <si>
    <t>Reforçar compset T1+1, T2+1 e Duplex.</t>
  </si>
  <si>
    <t>Estas tipologias têm pouca ou nenhuma concorrência direta; recomendação deve depender mais da coerência interna.</t>
  </si>
  <si>
    <t>Usar o benchmark Olhão para narrativa comercial.</t>
  </si>
  <si>
    <t>The View pode justificar prémio se o produto for novo, premium, com localização/vista/áreas exteriores superiores.</t>
  </si>
  <si>
    <t>Diferenciar oferta de transação.</t>
  </si>
  <si>
    <t>Idealista é preço pedido/oferta; INE é preço transacionado. São leituras complementares.</t>
  </si>
  <si>
    <t>Saramago 2024 · leitura rápida</t>
  </si>
  <si>
    <t>Linhas adicionadas</t>
  </si>
  <si>
    <t>Dados!A174:AB198</t>
  </si>
  <si>
    <t>Apenas linhas com preço numérico foram adicionadas.</t>
  </si>
  <si>
    <t>Mediana €/m² c/ exterior</t>
  </si>
  <si>
    <t>MEDIAN(Saramago_2024_Convertido[€/m² com varanda/terraço])</t>
  </si>
  <si>
    <t>Benchmark local histórico 2024.</t>
  </si>
  <si>
    <t>Tabela 2024</t>
  </si>
  <si>
    <t>Atualizar antes de decisão final.</t>
  </si>
  <si>
    <t>Ano 2024 + benchmark local</t>
  </si>
  <si>
    <t>Reduz impacto no modelo.</t>
  </si>
  <si>
    <t>Limitação</t>
  </si>
  <si>
    <t>Sem vista/orientação</t>
  </si>
  <si>
    <t>Vista=N/D</t>
  </si>
  <si>
    <t>Não deve entrar como concorrente direto por vista.</t>
  </si>
  <si>
    <t>€/m² sem varanda</t>
  </si>
  <si>
    <t>€/m² com varanda/terraço</t>
  </si>
  <si>
    <t>Palácio BR Avenida</t>
  </si>
  <si>
    <t>Bloco 1 · B.0</t>
  </si>
  <si>
    <t>Bloco 2 · D.0</t>
  </si>
  <si>
    <t>Bloco 2 · F.0</t>
  </si>
  <si>
    <t>T2 Duplex</t>
  </si>
  <si>
    <t>Bloco 1 · A.1</t>
  </si>
  <si>
    <t>Bloco 1 · B.1</t>
  </si>
  <si>
    <t>Bloco 1 · C.1</t>
  </si>
  <si>
    <t>Bloco 1 · A.2</t>
  </si>
  <si>
    <t>Bloco 1 · B.2</t>
  </si>
  <si>
    <t>Bloco 1 · C.2</t>
  </si>
  <si>
    <t>Bloco 2 · F.2</t>
  </si>
  <si>
    <t>Bloco 1 · A.3</t>
  </si>
  <si>
    <t>Bloco 1 · B.3</t>
  </si>
  <si>
    <t>Bloco 1 · C.3</t>
  </si>
  <si>
    <t>Bloco 1 · A.4</t>
  </si>
  <si>
    <t>Bloco 1 · B.4</t>
  </si>
  <si>
    <t>Bloco 1 · C.4</t>
  </si>
  <si>
    <t>Bloco 2 · F.4</t>
  </si>
  <si>
    <t>Bloco 2 · G.4</t>
  </si>
  <si>
    <t>Bloco 1 · A.5</t>
  </si>
  <si>
    <t>Bloco 1 · B.5</t>
  </si>
  <si>
    <t>Bloco 2 · D.5</t>
  </si>
  <si>
    <t>Bloco 2 · E.5</t>
  </si>
  <si>
    <t>Bloco 2 · G.5</t>
  </si>
  <si>
    <t>Bloco 1 · A.6</t>
  </si>
  <si>
    <t>Bloco 1 · B.6</t>
  </si>
  <si>
    <t>Bloco 2 · D.6</t>
  </si>
  <si>
    <t>Bloco 2 · E.6</t>
  </si>
  <si>
    <t>Bloco 2 · G.6</t>
  </si>
  <si>
    <t>Bloco 1 · B.7</t>
  </si>
  <si>
    <t>Bloco 2 · D.7</t>
  </si>
  <si>
    <t>Bloco 2 · E.7</t>
  </si>
  <si>
    <t>EVO Lux Garden</t>
  </si>
  <si>
    <t>Bloco D · A.0</t>
  </si>
  <si>
    <t>Bloco D · B.0</t>
  </si>
  <si>
    <t>Bloco D · A.1</t>
  </si>
  <si>
    <t>Bloco D · B.1</t>
  </si>
  <si>
    <t>Bloco D · A.2</t>
  </si>
  <si>
    <t>Bloco D · B.2</t>
  </si>
  <si>
    <t>Bloco D · C.2</t>
  </si>
  <si>
    <t>Bloco D · A.3</t>
  </si>
  <si>
    <t>Bloco D · B.3</t>
  </si>
  <si>
    <t>Bloco D · C.3</t>
  </si>
  <si>
    <t>Bloco D · A.4</t>
  </si>
  <si>
    <t>Bloco D · B.4</t>
  </si>
  <si>
    <t>Bloco D · C.4</t>
  </si>
  <si>
    <t>Bloco D · A.5</t>
  </si>
  <si>
    <t>T3G</t>
  </si>
  <si>
    <t>Bloco D · B.5</t>
  </si>
  <si>
    <t>Bloco E · A.0</t>
  </si>
  <si>
    <t>Bloco E · A.1</t>
  </si>
  <si>
    <t>Bloco E · A.2</t>
  </si>
  <si>
    <t>Bloco E · B.2</t>
  </si>
  <si>
    <t>Bloco E · A.3</t>
  </si>
  <si>
    <t>Bloco E · B.3</t>
  </si>
  <si>
    <t>Bloco E · A.4</t>
  </si>
  <si>
    <t>Bloco E · B.4</t>
  </si>
  <si>
    <t>Bloco E · A.5</t>
  </si>
  <si>
    <t>Bloco E · B.5</t>
  </si>
  <si>
    <t>Bloco F · A.0</t>
  </si>
  <si>
    <t>Bloco F · B.0</t>
  </si>
  <si>
    <t>Bloco F · A.1</t>
  </si>
  <si>
    <t>Bloco F · B.1</t>
  </si>
  <si>
    <t>Bloco F · A.2</t>
  </si>
  <si>
    <t>Bloco F · B.2</t>
  </si>
  <si>
    <t>Bloco F · A.3</t>
  </si>
  <si>
    <t>Bloco F · B.3</t>
  </si>
  <si>
    <t>Bloco F · A.4</t>
  </si>
  <si>
    <t>Bloco F · B.4</t>
  </si>
  <si>
    <t>Bloco F · A.5</t>
  </si>
  <si>
    <t>Bloco F · B.5</t>
  </si>
  <si>
    <t>Bloco A · A.0</t>
  </si>
  <si>
    <t>Bloco A · B.0</t>
  </si>
  <si>
    <t>Bloco A · A.1</t>
  </si>
  <si>
    <t>Bloco A · B.1</t>
  </si>
  <si>
    <t>Bloco A · C.1</t>
  </si>
  <si>
    <t>Bloco A · A.2</t>
  </si>
  <si>
    <t>Bloco A · B.2</t>
  </si>
  <si>
    <t>Bloco A · C.2</t>
  </si>
  <si>
    <t>Bloco A · A.3</t>
  </si>
  <si>
    <t>Bloco A · B.3</t>
  </si>
  <si>
    <t>Bloco A · C.3</t>
  </si>
  <si>
    <t>Bloco A · A.4</t>
  </si>
  <si>
    <t>Bloco A · B.4</t>
  </si>
  <si>
    <t>Bloco A · C.4</t>
  </si>
  <si>
    <t>Bloco A · A.5</t>
  </si>
  <si>
    <t>Bloco A · B.5</t>
  </si>
  <si>
    <t>Bloco B · A.0</t>
  </si>
  <si>
    <t>Bloco B · B.0</t>
  </si>
  <si>
    <t>Bloco B · A.1</t>
  </si>
  <si>
    <t>Bloco B · B.1</t>
  </si>
  <si>
    <t>Bloco B · A.2</t>
  </si>
  <si>
    <t>Bloco B · B.2</t>
  </si>
  <si>
    <t>Bloco B · A.3</t>
  </si>
  <si>
    <t>Bloco B · B.3</t>
  </si>
  <si>
    <t>Bloco B · A.4</t>
  </si>
  <si>
    <t>Bloco B · B.4</t>
  </si>
  <si>
    <t>Bloco B · A.5</t>
  </si>
  <si>
    <t>Bloco B · B.5</t>
  </si>
  <si>
    <t>Bloco C · A.0</t>
  </si>
  <si>
    <t>Bloco C · B.0</t>
  </si>
  <si>
    <t>Bloco C · A.1</t>
  </si>
  <si>
    <t>Bloco C · B.1</t>
  </si>
  <si>
    <t>Bloco C · A.2</t>
  </si>
  <si>
    <t>Bloco C · B.2</t>
  </si>
  <si>
    <t>Bloco C · A.3</t>
  </si>
  <si>
    <t>Bloco C · B.3</t>
  </si>
  <si>
    <t>Bloco C · A.4</t>
  </si>
  <si>
    <t>Bloco C · B.4</t>
  </si>
  <si>
    <t>Bloco C · A.5</t>
  </si>
  <si>
    <t>Bloco C · B.5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</si>
</sst>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€\ #,##0"/>
    <numFmt numFmtId="165" formatCode="yyyy\-mm\-dd"/>
    <numFmt numFmtId="166" formatCode="#,##0\ &quot;€/m²&quot;"/>
    <numFmt numFmtId="167" formatCode="0.0%"/>
    <numFmt numFmtId="168" formatCode="#,##0\ \€"/>
  </numFmts>
  <fonts count="8" x14ac:knownFonts="1">
    <font>
      <sz val="11"/>
      <color theme="1"/>
      <name val="Calibri"/>
    </font>
    <font>
      <b/>
      <sz val="11"/>
      <name val="Calibri"/>
    </font>
    <font>
      <sz val="10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b/>
      <sz val="11"/>
      <color rgb="FF581C87"/>
      <name val="Calibri"/>
    </font>
    <font>
      <b/>
      <sz val="11"/>
      <color rgb="FF111827"/>
      <name val="Calibri"/>
    </font>
    <font>
      <b/>
      <sz val="11"/>
      <color theme="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374151"/>
      </patternFill>
    </fill>
    <fill>
      <patternFill patternType="solid">
        <fgColor rgb="FF111827"/>
      </patternFill>
    </fill>
    <fill>
      <patternFill patternType="solid">
        <fgColor rgb="FF111827"/>
      </patternFill>
    </fill>
    <fill>
      <patternFill patternType="solid">
        <fgColor rgb="FFF3E8FF"/>
      </patternFill>
    </fill>
    <fill>
      <patternFill patternType="solid">
        <fgColor rgb="FF111827"/>
      </patternFill>
    </fill>
    <fill>
      <patternFill patternType="solid">
        <fgColor rgb="FFF3F4F6"/>
      </patternFill>
    </fill>
    <fill>
      <patternFill patternType="solid">
        <fgColor rgb="FF111827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3" fillId="2" borderId="0" xfId="0" applyFont="1" applyFill="1" applyAlignment="1">
      <alignment horizontal="center" vertical="center" wrapText="1"/>
    </xf>
    <xf numFmtId="2" fontId="0" fillId="0" borderId="0" xfId="0" applyNumberFormat="1" applyAlignment="1">
      <alignment horizontal="left" vertical="center"/>
    </xf>
    <xf numFmtId="164" fontId="0" fillId="0" borderId="0" xfId="0" applyNumberFormat="1" applyAlignment="1">
      <alignment horizontal="left" vertical="center"/>
    </xf>
    <xf numFmtId="2" fontId="0" fillId="0" borderId="0" xfId="0" applyNumberFormat="1"/>
    <xf numFmtId="165" fontId="0" fillId="0" borderId="0" xfId="0" applyNumberFormat="1"/>
    <xf numFmtId="0" fontId="3" fillId="3" borderId="0" xfId="0" applyFont="1" applyFill="1"/>
    <xf numFmtId="164" fontId="0" fillId="0" borderId="0" xfId="0" applyNumberFormat="1"/>
    <xf numFmtId="0" fontId="3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2" fontId="0" fillId="0" borderId="0" xfId="0" applyNumberFormat="1" applyAlignment="1">
      <alignment wrapText="1"/>
    </xf>
    <xf numFmtId="0" fontId="3" fillId="5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165" fontId="0" fillId="0" borderId="0" xfId="0" applyNumberFormat="1" applyAlignment="1">
      <alignment vertical="top" wrapText="1"/>
    </xf>
    <xf numFmtId="2" fontId="0" fillId="0" borderId="0" xfId="0" applyNumberFormat="1" applyAlignment="1">
      <alignment vertical="top" wrapText="1"/>
    </xf>
    <xf numFmtId="0" fontId="3" fillId="7" borderId="0" xfId="0" applyFont="1" applyFill="1" applyAlignment="1">
      <alignment horizontal="center" vertical="center" wrapText="1"/>
    </xf>
    <xf numFmtId="166" fontId="0" fillId="0" borderId="0" xfId="0" applyNumberFormat="1" applyAlignment="1">
      <alignment wrapText="1"/>
    </xf>
    <xf numFmtId="167" fontId="0" fillId="0" borderId="0" xfId="0" applyNumberFormat="1" applyAlignment="1">
      <alignment wrapText="1"/>
    </xf>
    <xf numFmtId="0" fontId="7" fillId="0" borderId="0" xfId="0" applyFont="1" applyAlignment="1">
      <alignment wrapText="1"/>
    </xf>
    <xf numFmtId="4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9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/>
    </xf>
    <xf numFmtId="0" fontId="0" fillId="0" borderId="0" xfId="0"/>
    <xf numFmtId="0" fontId="5" fillId="6" borderId="0" xfId="0" applyFont="1" applyFill="1" applyAlignment="1">
      <alignment horizontal="center"/>
    </xf>
    <xf numFmtId="0" fontId="4" fillId="7" borderId="0" xfId="0" applyFont="1" applyFill="1" applyAlignment="1">
      <alignment horizontal="left" vertical="center"/>
    </xf>
    <xf numFmtId="0" fontId="6" fillId="8" borderId="0" xfId="0" applyFont="1" applyFill="1" applyAlignment="1">
      <alignment horizontal="left"/>
    </xf>
    <xf numFmtId="0" fontId="3" fillId="7" borderId="0" xfId="0" applyFont="1" applyFill="1" applyAlignment="1">
      <alignment horizontal="center" vertical="center" wrapText="1"/>
    </xf>
    <xf numFmtId="0" fontId="6" fillId="10" borderId="0" xfId="0" applyFont="1" applyFill="1"/>
  </cellXfs>
  <cellStyles count="1">
    <cellStyle name="Normal" xfId="0" builtinId="0"/>
  </cellStyles>
  <dxfs count="7">
    <dxf>
      <font>
        <color rgb="FF166534"/>
      </font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color rgb="FF92400E"/>
      </font>
      <fill>
        <patternFill>
          <bgColor rgb="FFFEF3C7"/>
        </patternFill>
      </fill>
    </dxf>
    <dxf>
      <font>
        <b/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dosCompset" displayName="DadosCompset" ref="A1:AB306">
  <tableColumns count="28">
    <tableColumn id="1" xr3:uid="{00000000-0010-0000-0000-000001000000}" name="Empreendimento"/>
    <tableColumn id="2" xr3:uid="{00000000-0010-0000-0000-000002000000}" name="Fração"/>
    <tableColumn id="3" xr3:uid="{00000000-0010-0000-0000-000003000000}" name="Piso"/>
    <tableColumn id="4" xr3:uid="{00000000-0010-0000-0000-000004000000}" name="Tipologia"/>
    <tableColumn id="5" xr3:uid="{00000000-0010-0000-0000-000005000000}" name="Vista"/>
    <tableColumn id="6" xr3:uid="{00000000-0010-0000-0000-000006000000}" name="ABP"/>
    <tableColumn id="7" xr3:uid="{00000000-0010-0000-0000-000007000000}" name="Varanda/Terraço"/>
    <tableColumn id="8" xr3:uid="{00000000-0010-0000-0000-000008000000}" name="Área Total"/>
    <tableColumn id="9" xr3:uid="{00000000-0010-0000-0000-000009000000}" name="PVP"/>
    <tableColumn id="10" xr3:uid="{00000000-0010-0000-0000-00000A000000}" name="Ano Referência"/>
    <tableColumn id="11" xr3:uid="{00000000-0010-0000-0000-00000B000000}" name="Sem Varanda/Terraço"/>
    <tableColumn id="12" xr3:uid="{00000000-0010-0000-0000-00000C000000}" name="Com Varanda/Terraço"/>
    <tableColumn id="13" xr3:uid="{00000000-0010-0000-0000-00000D000000}" name="Status"/>
    <tableColumn id="14" xr3:uid="{00000000-0010-0000-0000-00000E000000}" name="Fonte"/>
    <tableColumn id="15" xr3:uid="{00000000-0010-0000-0000-00000F000000}" name="URL"/>
    <tableColumn id="16" xr3:uid="{00000000-0010-0000-0000-000010000000}" name="Data de atualização"/>
    <tableColumn id="17" xr3:uid="{00000000-0010-0000-0000-000011000000}" name="Segmento"/>
    <tableColumn id="18" xr3:uid="{00000000-0010-0000-0000-000012000000}" name="Condição"/>
    <tableColumn id="19" xr3:uid="{00000000-0010-0000-0000-000013000000}" name="Ano de entrega"/>
    <tableColumn id="20" xr3:uid="{00000000-0010-0000-0000-000014000000}" name="Garagem"/>
    <tableColumn id="21" xr3:uid="{00000000-0010-0000-0000-000015000000}" name="Piscina"/>
    <tableColumn id="22" xr3:uid="{00000000-0010-0000-0000-000016000000}" name="Distância ao The View"/>
    <tableColumn id="23" xr3:uid="{00000000-0010-0000-0000-000017000000}" name="Peso comparável"/>
    <tableColumn id="24" xr3:uid="{00000000-0010-0000-0000-000018000000}" name="Camada compset"/>
    <tableColumn id="25" xr3:uid="{00000000-0010-0000-0000-000019000000}" name="Qualidade dados"/>
    <tableColumn id="26" xr3:uid="{00000000-0010-0000-0000-00001A000000}" name="Observações comerciais"/>
    <tableColumn id="27" xr3:uid="{00000000-0010-0000-0000-00001B000000}" name="Ação recomendada"/>
    <tableColumn id="28" xr3:uid="{00000000-0010-0000-0000-00001C000000}" name="Prioridade atualiz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andidatosEstruturaTable" displayName="CandidatosEstruturaTable" ref="A1:AB9">
  <tableColumns count="28">
    <tableColumn id="1" xr3:uid="{00000000-0010-0000-0100-000001000000}" name="Empreendimento"/>
    <tableColumn id="2" xr3:uid="{00000000-0010-0000-0100-000002000000}" name="Fração"/>
    <tableColumn id="3" xr3:uid="{00000000-0010-0000-0100-000003000000}" name="Piso"/>
    <tableColumn id="4" xr3:uid="{00000000-0010-0000-0100-000004000000}" name="Tipologia"/>
    <tableColumn id="5" xr3:uid="{00000000-0010-0000-0100-000005000000}" name="Vista"/>
    <tableColumn id="6" xr3:uid="{00000000-0010-0000-0100-000006000000}" name="ABP"/>
    <tableColumn id="7" xr3:uid="{00000000-0010-0000-0100-000007000000}" name="Varanda/Terraço"/>
    <tableColumn id="8" xr3:uid="{00000000-0010-0000-0100-000008000000}" name="Área Total"/>
    <tableColumn id="9" xr3:uid="{00000000-0010-0000-0100-000009000000}" name="PVP"/>
    <tableColumn id="10" xr3:uid="{00000000-0010-0000-0100-00000A000000}" name="Ano Referência"/>
    <tableColumn id="11" xr3:uid="{00000000-0010-0000-0100-00000B000000}" name="Sem Varanda/Terraço"/>
    <tableColumn id="12" xr3:uid="{00000000-0010-0000-0100-00000C000000}" name="Com Varanda/Terraço"/>
    <tableColumn id="13" xr3:uid="{00000000-0010-0000-0100-00000D000000}" name="Status"/>
    <tableColumn id="14" xr3:uid="{00000000-0010-0000-0100-00000E000000}" name="Fonte"/>
    <tableColumn id="15" xr3:uid="{00000000-0010-0000-0100-00000F000000}" name="URL"/>
    <tableColumn id="16" xr3:uid="{00000000-0010-0000-0100-000010000000}" name="Data de atualização"/>
    <tableColumn id="17" xr3:uid="{00000000-0010-0000-0100-000011000000}" name="Segmento"/>
    <tableColumn id="18" xr3:uid="{00000000-0010-0000-0100-000012000000}" name="Condição"/>
    <tableColumn id="19" xr3:uid="{00000000-0010-0000-0100-000013000000}" name="Ano de entrega"/>
    <tableColumn id="20" xr3:uid="{00000000-0010-0000-0100-000014000000}" name="Garagem"/>
    <tableColumn id="21" xr3:uid="{00000000-0010-0000-0100-000015000000}" name="Piscina"/>
    <tableColumn id="22" xr3:uid="{00000000-0010-0000-0100-000016000000}" name="Distância ao The View"/>
    <tableColumn id="23" xr3:uid="{00000000-0010-0000-0100-000017000000}" name="Peso comparável"/>
    <tableColumn id="24" xr3:uid="{00000000-0010-0000-0100-000018000000}" name="Camada compset"/>
    <tableColumn id="25" xr3:uid="{00000000-0010-0000-0100-000019000000}" name="Qualidade dados"/>
    <tableColumn id="26" xr3:uid="{00000000-0010-0000-0100-00001A000000}" name="Observações comerciais"/>
    <tableColumn id="27" xr3:uid="{00000000-0010-0000-0100-00001B000000}" name="Ação recomendada"/>
    <tableColumn id="28" xr3:uid="{00000000-0010-0000-0100-00001C000000}" name="Prioridade atualiz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enchmarkMercadoTable" displayName="BenchmarkMercadoTable" ref="A1:L7">
  <tableColumns count="12">
    <tableColumn id="1" xr3:uid="{00000000-0010-0000-0200-000001000000}" name="Data"/>
    <tableColumn id="2" xr3:uid="{00000000-0010-0000-0200-000002000000}" name="Fonte"/>
    <tableColumn id="3" xr3:uid="{00000000-0010-0000-0200-000003000000}" name="Tipo de dado"/>
    <tableColumn id="4" xr3:uid="{00000000-0010-0000-0200-000004000000}" name="Localização"/>
    <tableColumn id="5" xr3:uid="{00000000-0010-0000-0200-000005000000}" name="Segmento"/>
    <tableColumn id="6" xr3:uid="{00000000-0010-0000-0200-000006000000}" name="€/m²"/>
    <tableColumn id="7" xr3:uid="{00000000-0010-0000-0200-000007000000}" name="Variação mensal"/>
    <tableColumn id="8" xr3:uid="{00000000-0010-0000-0200-000008000000}" name="Variação trimestral"/>
    <tableColumn id="9" xr3:uid="{00000000-0010-0000-0200-000009000000}" name="Variação anual"/>
    <tableColumn id="10" xr3:uid="{00000000-0010-0000-0200-00000A000000}" name="Uso recomendado"/>
    <tableColumn id="11" xr3:uid="{00000000-0010-0000-0200-00000B000000}" name="Observação"/>
    <tableColumn id="12" xr3:uid="{00000000-0010-0000-0200-00000C000000}" name="UR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aramago2024ConvertidoTable" displayName="Saramago2024ConvertidoTable" ref="A1:N26">
  <tableColumns count="14">
    <tableColumn id="1" xr3:uid="{00000000-0010-0000-0300-000001000000}" name="Empreendimento"/>
    <tableColumn id="2" xr3:uid="{00000000-0010-0000-0300-000002000000}" name="Fração"/>
    <tableColumn id="3" xr3:uid="{00000000-0010-0000-0300-000003000000}" name="Piso"/>
    <tableColumn id="4" xr3:uid="{00000000-0010-0000-0300-000004000000}" name="Tipologia"/>
    <tableColumn id="5" xr3:uid="{00000000-0010-0000-0300-000005000000}" name="Vista"/>
    <tableColumn id="6" xr3:uid="{00000000-0010-0000-0300-000006000000}" name="ABP"/>
    <tableColumn id="7" xr3:uid="{00000000-0010-0000-0300-000007000000}" name="Varanda/Terraço"/>
    <tableColumn id="8" xr3:uid="{00000000-0010-0000-0300-000008000000}" name="Área Total"/>
    <tableColumn id="9" xr3:uid="{00000000-0010-0000-0300-000009000000}" name="PVP"/>
    <tableColumn id="10" xr3:uid="{00000000-0010-0000-0300-00000A000000}" name="Ano Referência"/>
    <tableColumn id="11" xr3:uid="{00000000-0010-0000-0300-00000B000000}" name="€/m² sem varanda"/>
    <tableColumn id="12" xr3:uid="{00000000-0010-0000-0300-00000C000000}" name="€/m² com varanda/terraço"/>
    <tableColumn id="13" xr3:uid="{00000000-0010-0000-0300-00000D000000}" name="Peso comparável"/>
    <tableColumn id="14" xr3:uid="{00000000-0010-0000-0300-00000E000000}" name="Observ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31"/>
  <sheetViews>
    <sheetView tabSelected="1" topLeftCell="F159" workbookViewId="0">
      <selection activeCell="W229" sqref="W229:W306"/>
    </sheetView>
  </sheetViews>
  <sheetFormatPr defaultRowHeight="14.4" x14ac:dyDescent="0.3"/>
  <cols>
    <col min="1" max="1" width="20" customWidth="1"/>
    <col min="2" max="2" width="14" customWidth="1"/>
    <col min="3" max="3" width="10" customWidth="1"/>
    <col min="4" max="4" width="12" customWidth="1"/>
    <col min="5" max="6" width="10" customWidth="1"/>
    <col min="7" max="7" width="16" customWidth="1"/>
    <col min="8" max="10" width="14" customWidth="1"/>
    <col min="11" max="12" width="18" customWidth="1"/>
    <col min="13" max="13" width="14" customWidth="1"/>
    <col min="14" max="14" width="18" customWidth="1"/>
    <col min="15" max="15" width="32" customWidth="1"/>
    <col min="16" max="16" width="18" customWidth="1"/>
    <col min="17" max="17" width="24" customWidth="1"/>
    <col min="18" max="18" width="18" customWidth="1"/>
    <col min="19" max="19" width="14" customWidth="1"/>
    <col min="20" max="21" width="12" customWidth="1"/>
    <col min="22" max="22" width="18" customWidth="1"/>
    <col min="23" max="23" width="14" customWidth="1"/>
    <col min="24" max="24" width="24" customWidth="1"/>
    <col min="25" max="25" width="16" customWidth="1"/>
    <col min="26" max="26" width="32" customWidth="1"/>
    <col min="27" max="27" width="24" customWidth="1"/>
    <col min="28" max="28" width="18" customWidth="1"/>
  </cols>
  <sheetData>
    <row r="1" spans="1:28" ht="28.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190</v>
      </c>
      <c r="N1" s="4" t="s">
        <v>191</v>
      </c>
      <c r="O1" s="4" t="s">
        <v>192</v>
      </c>
      <c r="P1" s="4" t="s">
        <v>193</v>
      </c>
      <c r="Q1" s="4" t="s">
        <v>194</v>
      </c>
      <c r="R1" s="4" t="s">
        <v>195</v>
      </c>
      <c r="S1" s="4" t="s">
        <v>196</v>
      </c>
      <c r="T1" s="4" t="s">
        <v>197</v>
      </c>
      <c r="U1" s="4" t="s">
        <v>198</v>
      </c>
      <c r="V1" s="4" t="s">
        <v>199</v>
      </c>
      <c r="W1" s="4" t="s">
        <v>200</v>
      </c>
      <c r="X1" s="4" t="s">
        <v>201</v>
      </c>
      <c r="Y1" s="4" t="s">
        <v>202</v>
      </c>
      <c r="Z1" s="4" t="s">
        <v>203</v>
      </c>
      <c r="AA1" s="4" t="s">
        <v>204</v>
      </c>
      <c r="AB1" s="4" t="s">
        <v>205</v>
      </c>
    </row>
    <row r="2" spans="1:28" x14ac:dyDescent="0.3">
      <c r="A2" s="1" t="s">
        <v>12</v>
      </c>
      <c r="B2" s="1" t="s">
        <v>13</v>
      </c>
      <c r="C2" s="1" t="s">
        <v>14</v>
      </c>
      <c r="D2" s="1" t="s">
        <v>15</v>
      </c>
      <c r="E2" s="1">
        <v>1</v>
      </c>
      <c r="F2" s="5">
        <v>117.75</v>
      </c>
      <c r="G2" s="5">
        <v>31.94</v>
      </c>
      <c r="H2" s="5">
        <v>149.69</v>
      </c>
      <c r="I2" s="6">
        <v>1290000</v>
      </c>
      <c r="J2" s="1">
        <v>2026</v>
      </c>
      <c r="K2" s="6">
        <v>10955.414012738849</v>
      </c>
      <c r="L2" s="6">
        <v>8617.8101409579795</v>
      </c>
      <c r="M2" t="str">
        <f t="shared" ref="M2:M33" si="0">IF(A2="The View","Projeto",IF(J2&gt;=2026,"Ativo",IF(J2=2025,"Rever","Histórico")))</f>
        <v>Ativo</v>
      </c>
      <c r="P2" s="8"/>
      <c r="Q2" t="str">
        <f t="shared" ref="Q2:Q33" si="1">IF(A2="The View","Projeto",IF(A2="Le Parc","Benchmark local",IF(OR(A2="Del Mar Waterfront",A2="Aura Living"),"Premium waterfront/marina","A classificar")))</f>
        <v>Premium waterfront/marina</v>
      </c>
      <c r="R2" t="s">
        <v>206</v>
      </c>
      <c r="W2" s="7">
        <f t="shared" ref="W2:W33" si="2">IF(A2="The View",1,MAX(0.25,MIN(1,IF(J2&gt;=2026,1,IF(J2=2025,0.8,IF(J2=2024,0.45,0.3)))*IF(Q2="Premium waterfront/marina",1,IF(Q2="Benchmark local",0.7,0.6))*IF(M2="Vendido",0.65,IF(M2="Reservado",0.8,IF(M2="Histórico",0.55,1))))))</f>
        <v>1</v>
      </c>
      <c r="X2" t="str">
        <f t="shared" ref="X2:X33" si="3">IF(A2="The View","Projeto",IF(W2&gt;=0.85,"A · Premium ativo",IF(W2&gt;=0.55,"B · Benchmark local","C · Histórico/secundário")))</f>
        <v>A · Premium ativo</v>
      </c>
      <c r="Y2" t="str">
        <f t="shared" ref="Y2:Y33" si="4">IF(A2="The View","N/A",IF(AND(N2&lt;&gt;"",O2&lt;&gt;"",P2&lt;&gt;""),"Alta",IF(OR(N2&lt;&gt;"",O2&lt;&gt;"",P2&lt;&gt;""),"Média","Baixa")))</f>
        <v>Baixa</v>
      </c>
      <c r="AA2" t="str">
        <f t="shared" ref="AA2:AA33" si="5">IF(A2="The View","Manter",IF(J2&lt;2026,"Atualizar preço/status",IF(Y2="Baixa","Adicionar fonte/URL/data",IF(W2&lt;0.55,"Rever comparabilidade","OK"))))</f>
        <v>Adicionar fonte/URL/data</v>
      </c>
      <c r="AB2" t="str">
        <f t="shared" ref="AB2:AB33" si="6">IF(A2="The View","",IF(OR(J2&lt;2026,Y2="Baixa"),"Alta",IF(W2&lt;0.55,"Média","Baixa")))</f>
        <v>Alta</v>
      </c>
    </row>
    <row r="3" spans="1:28" x14ac:dyDescent="0.3">
      <c r="A3" s="1" t="s">
        <v>12</v>
      </c>
      <c r="B3" s="1" t="s">
        <v>16</v>
      </c>
      <c r="C3" s="1" t="s">
        <v>14</v>
      </c>
      <c r="D3" s="1" t="s">
        <v>15</v>
      </c>
      <c r="E3" s="1">
        <v>2</v>
      </c>
      <c r="F3" s="5">
        <v>117.75</v>
      </c>
      <c r="G3" s="5">
        <v>32.64</v>
      </c>
      <c r="H3" s="5">
        <v>150.38999999999999</v>
      </c>
      <c r="I3" s="6">
        <v>1290000</v>
      </c>
      <c r="J3" s="1">
        <v>2026</v>
      </c>
      <c r="K3" s="6">
        <v>10955.414012738849</v>
      </c>
      <c r="L3" s="6">
        <v>8577.6979852383811</v>
      </c>
      <c r="M3" t="str">
        <f t="shared" si="0"/>
        <v>Ativo</v>
      </c>
      <c r="P3" s="8"/>
      <c r="Q3" t="str">
        <f t="shared" si="1"/>
        <v>Premium waterfront/marina</v>
      </c>
      <c r="R3" t="s">
        <v>206</v>
      </c>
      <c r="W3" s="7">
        <f t="shared" si="2"/>
        <v>1</v>
      </c>
      <c r="X3" t="str">
        <f t="shared" si="3"/>
        <v>A · Premium ativo</v>
      </c>
      <c r="Y3" t="str">
        <f t="shared" si="4"/>
        <v>Baixa</v>
      </c>
      <c r="AA3" t="str">
        <f t="shared" si="5"/>
        <v>Adicionar fonte/URL/data</v>
      </c>
      <c r="AB3" t="str">
        <f t="shared" si="6"/>
        <v>Alta</v>
      </c>
    </row>
    <row r="4" spans="1:28" x14ac:dyDescent="0.3">
      <c r="A4" s="1" t="s">
        <v>12</v>
      </c>
      <c r="B4" s="1" t="s">
        <v>17</v>
      </c>
      <c r="C4" s="1" t="s">
        <v>14</v>
      </c>
      <c r="D4" s="1" t="s">
        <v>15</v>
      </c>
      <c r="E4" s="1">
        <v>2</v>
      </c>
      <c r="F4" s="5">
        <v>120.72</v>
      </c>
      <c r="G4" s="5">
        <v>22.83</v>
      </c>
      <c r="H4" s="5">
        <v>143.55000000000001</v>
      </c>
      <c r="I4" s="6">
        <v>660000</v>
      </c>
      <c r="J4" s="1">
        <v>2024</v>
      </c>
      <c r="K4" s="6">
        <v>5467.1968190854868</v>
      </c>
      <c r="L4" s="6">
        <v>4597.7011494252874</v>
      </c>
      <c r="M4" t="str">
        <f t="shared" si="0"/>
        <v>Histórico</v>
      </c>
      <c r="P4" s="8"/>
      <c r="Q4" t="str">
        <f t="shared" si="1"/>
        <v>Premium waterfront/marina</v>
      </c>
      <c r="R4" t="s">
        <v>206</v>
      </c>
      <c r="W4" s="7">
        <f t="shared" si="2"/>
        <v>0.25</v>
      </c>
      <c r="X4" t="str">
        <f t="shared" si="3"/>
        <v>C · Histórico/secundário</v>
      </c>
      <c r="Y4" t="str">
        <f t="shared" si="4"/>
        <v>Baixa</v>
      </c>
      <c r="AA4" t="str">
        <f t="shared" si="5"/>
        <v>Atualizar preço/status</v>
      </c>
      <c r="AB4" t="str">
        <f t="shared" si="6"/>
        <v>Alta</v>
      </c>
    </row>
    <row r="5" spans="1:28" x14ac:dyDescent="0.3">
      <c r="A5" s="1" t="s">
        <v>12</v>
      </c>
      <c r="B5" s="1" t="s">
        <v>18</v>
      </c>
      <c r="C5" s="1" t="s">
        <v>14</v>
      </c>
      <c r="D5" s="1" t="s">
        <v>15</v>
      </c>
      <c r="E5" s="1">
        <v>4</v>
      </c>
      <c r="F5" s="5">
        <v>120.72</v>
      </c>
      <c r="G5" s="5">
        <v>23.91</v>
      </c>
      <c r="H5" s="5">
        <v>144.63</v>
      </c>
      <c r="I5" s="6">
        <v>660000</v>
      </c>
      <c r="J5" s="1">
        <v>2024</v>
      </c>
      <c r="K5" s="6">
        <v>5467.1968190854868</v>
      </c>
      <c r="L5" s="6">
        <v>4563.3685957270282</v>
      </c>
      <c r="M5" t="str">
        <f t="shared" si="0"/>
        <v>Histórico</v>
      </c>
      <c r="P5" s="8"/>
      <c r="Q5" t="str">
        <f t="shared" si="1"/>
        <v>Premium waterfront/marina</v>
      </c>
      <c r="R5" t="s">
        <v>206</v>
      </c>
      <c r="W5" s="7">
        <f t="shared" si="2"/>
        <v>0.25</v>
      </c>
      <c r="X5" t="str">
        <f t="shared" si="3"/>
        <v>C · Histórico/secundário</v>
      </c>
      <c r="Y5" t="str">
        <f t="shared" si="4"/>
        <v>Baixa</v>
      </c>
      <c r="AA5" t="str">
        <f t="shared" si="5"/>
        <v>Atualizar preço/status</v>
      </c>
      <c r="AB5" t="str">
        <f t="shared" si="6"/>
        <v>Alta</v>
      </c>
    </row>
    <row r="6" spans="1:28" x14ac:dyDescent="0.3">
      <c r="A6" s="1" t="s">
        <v>12</v>
      </c>
      <c r="B6" s="1" t="s">
        <v>19</v>
      </c>
      <c r="C6" s="1" t="s">
        <v>14</v>
      </c>
      <c r="D6" s="1" t="s">
        <v>15</v>
      </c>
      <c r="E6" s="1">
        <v>3</v>
      </c>
      <c r="F6" s="5">
        <v>116.71</v>
      </c>
      <c r="G6" s="5">
        <v>10.75</v>
      </c>
      <c r="H6" s="5">
        <v>127.46</v>
      </c>
      <c r="I6" s="6">
        <v>590000</v>
      </c>
      <c r="J6" s="1">
        <v>2026</v>
      </c>
      <c r="K6" s="6">
        <v>4926.7414960157657</v>
      </c>
      <c r="L6" s="6">
        <v>4511.2192060254201</v>
      </c>
      <c r="M6" t="str">
        <f t="shared" si="0"/>
        <v>Ativo</v>
      </c>
      <c r="P6" s="8"/>
      <c r="Q6" t="str">
        <f t="shared" si="1"/>
        <v>Premium waterfront/marina</v>
      </c>
      <c r="R6" t="s">
        <v>206</v>
      </c>
      <c r="W6" s="7">
        <f t="shared" si="2"/>
        <v>1</v>
      </c>
      <c r="X6" t="str">
        <f t="shared" si="3"/>
        <v>A · Premium ativo</v>
      </c>
      <c r="Y6" t="str">
        <f t="shared" si="4"/>
        <v>Baixa</v>
      </c>
      <c r="AA6" t="str">
        <f t="shared" si="5"/>
        <v>Adicionar fonte/URL/data</v>
      </c>
      <c r="AB6" t="str">
        <f t="shared" si="6"/>
        <v>Alta</v>
      </c>
    </row>
    <row r="7" spans="1:28" x14ac:dyDescent="0.3">
      <c r="A7" s="1" t="s">
        <v>12</v>
      </c>
      <c r="B7" s="1" t="s">
        <v>20</v>
      </c>
      <c r="C7" s="1">
        <v>1</v>
      </c>
      <c r="D7" s="1" t="s">
        <v>15</v>
      </c>
      <c r="E7" s="1">
        <v>1</v>
      </c>
      <c r="F7" s="5">
        <v>131.76</v>
      </c>
      <c r="G7" s="5">
        <v>28.86</v>
      </c>
      <c r="H7" s="5">
        <v>160.62</v>
      </c>
      <c r="I7" s="6">
        <v>1310000</v>
      </c>
      <c r="J7" s="1">
        <v>2026</v>
      </c>
      <c r="K7" s="6">
        <v>9942.3193685488768</v>
      </c>
      <c r="L7" s="6">
        <v>8155.8959033744241</v>
      </c>
      <c r="M7" t="str">
        <f t="shared" si="0"/>
        <v>Ativo</v>
      </c>
      <c r="P7" s="8"/>
      <c r="Q7" t="str">
        <f t="shared" si="1"/>
        <v>Premium waterfront/marina</v>
      </c>
      <c r="R7" t="s">
        <v>206</v>
      </c>
      <c r="W7" s="7">
        <f t="shared" si="2"/>
        <v>1</v>
      </c>
      <c r="X7" t="str">
        <f t="shared" si="3"/>
        <v>A · Premium ativo</v>
      </c>
      <c r="Y7" t="str">
        <f t="shared" si="4"/>
        <v>Baixa</v>
      </c>
      <c r="AA7" t="str">
        <f t="shared" si="5"/>
        <v>Adicionar fonte/URL/data</v>
      </c>
      <c r="AB7" t="str">
        <f t="shared" si="6"/>
        <v>Alta</v>
      </c>
    </row>
    <row r="8" spans="1:28" x14ac:dyDescent="0.3">
      <c r="A8" s="1" t="s">
        <v>12</v>
      </c>
      <c r="B8" s="1" t="s">
        <v>21</v>
      </c>
      <c r="C8" s="1">
        <v>1</v>
      </c>
      <c r="D8" s="1" t="s">
        <v>15</v>
      </c>
      <c r="E8" s="1">
        <v>2</v>
      </c>
      <c r="F8" s="5">
        <v>131.76</v>
      </c>
      <c r="G8" s="5">
        <v>28.86</v>
      </c>
      <c r="H8" s="5">
        <v>160.62</v>
      </c>
      <c r="I8" s="6">
        <v>1310000</v>
      </c>
      <c r="J8" s="1">
        <v>2026</v>
      </c>
      <c r="K8" s="6">
        <v>9942.3193685488768</v>
      </c>
      <c r="L8" s="6">
        <v>8155.8959033744241</v>
      </c>
      <c r="M8" t="str">
        <f t="shared" si="0"/>
        <v>Ativo</v>
      </c>
      <c r="P8" s="8"/>
      <c r="Q8" t="str">
        <f t="shared" si="1"/>
        <v>Premium waterfront/marina</v>
      </c>
      <c r="R8" t="s">
        <v>206</v>
      </c>
      <c r="W8" s="7">
        <f t="shared" si="2"/>
        <v>1</v>
      </c>
      <c r="X8" t="str">
        <f t="shared" si="3"/>
        <v>A · Premium ativo</v>
      </c>
      <c r="Y8" t="str">
        <f t="shared" si="4"/>
        <v>Baixa</v>
      </c>
      <c r="AA8" t="str">
        <f t="shared" si="5"/>
        <v>Adicionar fonte/URL/data</v>
      </c>
      <c r="AB8" t="str">
        <f t="shared" si="6"/>
        <v>Alta</v>
      </c>
    </row>
    <row r="9" spans="1:28" x14ac:dyDescent="0.3">
      <c r="A9" s="1" t="s">
        <v>12</v>
      </c>
      <c r="B9" s="1" t="s">
        <v>22</v>
      </c>
      <c r="C9" s="1">
        <v>1</v>
      </c>
      <c r="D9" s="1" t="s">
        <v>15</v>
      </c>
      <c r="E9" s="1">
        <v>2</v>
      </c>
      <c r="F9" s="5">
        <v>127.19</v>
      </c>
      <c r="G9" s="5">
        <v>16.07</v>
      </c>
      <c r="H9" s="5">
        <v>143.26</v>
      </c>
      <c r="I9" s="6">
        <v>725000</v>
      </c>
      <c r="J9" s="1">
        <v>2024</v>
      </c>
      <c r="K9" s="6">
        <v>5700.1336583064704</v>
      </c>
      <c r="L9" s="6">
        <v>5060.7287449392716</v>
      </c>
      <c r="M9" t="str">
        <f t="shared" si="0"/>
        <v>Histórico</v>
      </c>
      <c r="P9" s="8"/>
      <c r="Q9" t="str">
        <f t="shared" si="1"/>
        <v>Premium waterfront/marina</v>
      </c>
      <c r="R9" t="s">
        <v>206</v>
      </c>
      <c r="W9" s="7">
        <f t="shared" si="2"/>
        <v>0.25</v>
      </c>
      <c r="X9" t="str">
        <f t="shared" si="3"/>
        <v>C · Histórico/secundário</v>
      </c>
      <c r="Y9" t="str">
        <f t="shared" si="4"/>
        <v>Baixa</v>
      </c>
      <c r="AA9" t="str">
        <f t="shared" si="5"/>
        <v>Atualizar preço/status</v>
      </c>
      <c r="AB9" t="str">
        <f t="shared" si="6"/>
        <v>Alta</v>
      </c>
    </row>
    <row r="10" spans="1:28" x14ac:dyDescent="0.3">
      <c r="A10" s="1" t="s">
        <v>12</v>
      </c>
      <c r="B10" s="1" t="s">
        <v>23</v>
      </c>
      <c r="C10" s="1">
        <v>1</v>
      </c>
      <c r="D10" s="1" t="s">
        <v>15</v>
      </c>
      <c r="E10" s="1">
        <v>3</v>
      </c>
      <c r="F10" s="5">
        <v>91.72</v>
      </c>
      <c r="G10" s="5">
        <v>14.85</v>
      </c>
      <c r="H10" s="5">
        <v>106.57</v>
      </c>
      <c r="I10" s="6">
        <v>690000</v>
      </c>
      <c r="J10" s="1">
        <v>2026</v>
      </c>
      <c r="K10" s="6">
        <v>7522.8957697339729</v>
      </c>
      <c r="L10" s="6">
        <v>6474.6176222201366</v>
      </c>
      <c r="M10" t="str">
        <f t="shared" si="0"/>
        <v>Ativo</v>
      </c>
      <c r="P10" s="8"/>
      <c r="Q10" t="str">
        <f t="shared" si="1"/>
        <v>Premium waterfront/marina</v>
      </c>
      <c r="R10" t="s">
        <v>206</v>
      </c>
      <c r="W10" s="7">
        <f t="shared" si="2"/>
        <v>1</v>
      </c>
      <c r="X10" t="str">
        <f t="shared" si="3"/>
        <v>A · Premium ativo</v>
      </c>
      <c r="Y10" t="str">
        <f t="shared" si="4"/>
        <v>Baixa</v>
      </c>
      <c r="AA10" t="str">
        <f t="shared" si="5"/>
        <v>Adicionar fonte/URL/data</v>
      </c>
      <c r="AB10" t="str">
        <f t="shared" si="6"/>
        <v>Alta</v>
      </c>
    </row>
    <row r="11" spans="1:28" x14ac:dyDescent="0.3">
      <c r="A11" s="1" t="s">
        <v>12</v>
      </c>
      <c r="B11" s="1" t="s">
        <v>24</v>
      </c>
      <c r="C11" s="1">
        <v>1</v>
      </c>
      <c r="D11" s="1" t="s">
        <v>25</v>
      </c>
      <c r="E11" s="1">
        <v>3</v>
      </c>
      <c r="F11" s="5">
        <v>70.58</v>
      </c>
      <c r="G11" s="5">
        <v>3.6</v>
      </c>
      <c r="H11" s="5">
        <v>74.179999999999993</v>
      </c>
      <c r="I11" s="6">
        <v>415000</v>
      </c>
      <c r="J11" s="1">
        <v>2026</v>
      </c>
      <c r="K11" s="6">
        <v>5171.4366676112213</v>
      </c>
      <c r="L11" s="6">
        <v>4920.4637368562962</v>
      </c>
      <c r="M11" t="str">
        <f t="shared" si="0"/>
        <v>Ativo</v>
      </c>
      <c r="P11" s="8"/>
      <c r="Q11" t="str">
        <f t="shared" si="1"/>
        <v>Premium waterfront/marina</v>
      </c>
      <c r="R11" t="s">
        <v>206</v>
      </c>
      <c r="W11" s="7">
        <f t="shared" si="2"/>
        <v>1</v>
      </c>
      <c r="X11" t="str">
        <f t="shared" si="3"/>
        <v>A · Premium ativo</v>
      </c>
      <c r="Y11" t="str">
        <f t="shared" si="4"/>
        <v>Baixa</v>
      </c>
      <c r="AA11" t="str">
        <f t="shared" si="5"/>
        <v>Adicionar fonte/URL/data</v>
      </c>
      <c r="AB11" t="str">
        <f t="shared" si="6"/>
        <v>Alta</v>
      </c>
    </row>
    <row r="12" spans="1:28" x14ac:dyDescent="0.3">
      <c r="A12" s="1" t="s">
        <v>12</v>
      </c>
      <c r="B12" s="1" t="s">
        <v>26</v>
      </c>
      <c r="C12" s="1">
        <v>1</v>
      </c>
      <c r="D12" s="1" t="s">
        <v>15</v>
      </c>
      <c r="E12" s="1">
        <v>4</v>
      </c>
      <c r="F12" s="5">
        <v>83.01</v>
      </c>
      <c r="G12" s="5">
        <v>38.79</v>
      </c>
      <c r="H12" s="5">
        <v>121.8</v>
      </c>
      <c r="I12" s="6">
        <v>635000</v>
      </c>
      <c r="J12" s="1">
        <v>2024</v>
      </c>
      <c r="K12" s="6">
        <v>7649.6807613540532</v>
      </c>
      <c r="L12" s="6">
        <v>5213.4646962233164</v>
      </c>
      <c r="M12" t="str">
        <f t="shared" si="0"/>
        <v>Histórico</v>
      </c>
      <c r="P12" s="8"/>
      <c r="Q12" t="str">
        <f t="shared" si="1"/>
        <v>Premium waterfront/marina</v>
      </c>
      <c r="R12" t="s">
        <v>206</v>
      </c>
      <c r="W12" s="7">
        <f t="shared" si="2"/>
        <v>0.25</v>
      </c>
      <c r="X12" t="str">
        <f t="shared" si="3"/>
        <v>C · Histórico/secundário</v>
      </c>
      <c r="Y12" t="str">
        <f t="shared" si="4"/>
        <v>Baixa</v>
      </c>
      <c r="AA12" t="str">
        <f t="shared" si="5"/>
        <v>Atualizar preço/status</v>
      </c>
      <c r="AB12" t="str">
        <f t="shared" si="6"/>
        <v>Alta</v>
      </c>
    </row>
    <row r="13" spans="1:28" x14ac:dyDescent="0.3">
      <c r="A13" s="1" t="s">
        <v>12</v>
      </c>
      <c r="B13" s="1" t="s">
        <v>27</v>
      </c>
      <c r="C13" s="1">
        <v>2</v>
      </c>
      <c r="D13" s="1" t="s">
        <v>15</v>
      </c>
      <c r="E13" s="1">
        <v>1</v>
      </c>
      <c r="F13" s="5">
        <v>131.76</v>
      </c>
      <c r="G13" s="5">
        <v>28.86</v>
      </c>
      <c r="H13" s="5">
        <v>160.62</v>
      </c>
      <c r="I13" s="6">
        <v>1280000</v>
      </c>
      <c r="J13" s="1">
        <v>2024</v>
      </c>
      <c r="K13" s="6">
        <v>9714.6326654523382</v>
      </c>
      <c r="L13" s="6">
        <v>7969.1196613124139</v>
      </c>
      <c r="M13" t="str">
        <f t="shared" si="0"/>
        <v>Histórico</v>
      </c>
      <c r="P13" s="8"/>
      <c r="Q13" t="str">
        <f t="shared" si="1"/>
        <v>Premium waterfront/marina</v>
      </c>
      <c r="R13" t="s">
        <v>206</v>
      </c>
      <c r="W13" s="7">
        <f t="shared" si="2"/>
        <v>0.25</v>
      </c>
      <c r="X13" t="str">
        <f t="shared" si="3"/>
        <v>C · Histórico/secundário</v>
      </c>
      <c r="Y13" t="str">
        <f t="shared" si="4"/>
        <v>Baixa</v>
      </c>
      <c r="AA13" t="str">
        <f t="shared" si="5"/>
        <v>Atualizar preço/status</v>
      </c>
      <c r="AB13" t="str">
        <f t="shared" si="6"/>
        <v>Alta</v>
      </c>
    </row>
    <row r="14" spans="1:28" x14ac:dyDescent="0.3">
      <c r="A14" s="1" t="s">
        <v>12</v>
      </c>
      <c r="B14" s="1" t="s">
        <v>28</v>
      </c>
      <c r="C14" s="1">
        <v>2</v>
      </c>
      <c r="D14" s="1" t="s">
        <v>15</v>
      </c>
      <c r="E14" s="1">
        <v>2</v>
      </c>
      <c r="F14" s="5">
        <v>131.76</v>
      </c>
      <c r="G14" s="5">
        <v>28.86</v>
      </c>
      <c r="H14" s="5">
        <v>160.62</v>
      </c>
      <c r="I14" s="6">
        <v>1280000</v>
      </c>
      <c r="J14" s="1">
        <v>2024</v>
      </c>
      <c r="K14" s="6">
        <v>9714.6326654523382</v>
      </c>
      <c r="L14" s="6">
        <v>7969.1196613124139</v>
      </c>
      <c r="M14" t="str">
        <f t="shared" si="0"/>
        <v>Histórico</v>
      </c>
      <c r="P14" s="8"/>
      <c r="Q14" t="str">
        <f t="shared" si="1"/>
        <v>Premium waterfront/marina</v>
      </c>
      <c r="R14" t="s">
        <v>206</v>
      </c>
      <c r="W14" s="7">
        <f t="shared" si="2"/>
        <v>0.25</v>
      </c>
      <c r="X14" t="str">
        <f t="shared" si="3"/>
        <v>C · Histórico/secundário</v>
      </c>
      <c r="Y14" t="str">
        <f t="shared" si="4"/>
        <v>Baixa</v>
      </c>
      <c r="AA14" t="str">
        <f t="shared" si="5"/>
        <v>Atualizar preço/status</v>
      </c>
      <c r="AB14" t="str">
        <f t="shared" si="6"/>
        <v>Alta</v>
      </c>
    </row>
    <row r="15" spans="1:28" x14ac:dyDescent="0.3">
      <c r="A15" s="1" t="s">
        <v>12</v>
      </c>
      <c r="B15" s="1" t="s">
        <v>29</v>
      </c>
      <c r="C15" s="1">
        <v>2</v>
      </c>
      <c r="D15" s="1" t="s">
        <v>15</v>
      </c>
      <c r="E15" s="1">
        <v>2</v>
      </c>
      <c r="F15" s="5">
        <v>127.19</v>
      </c>
      <c r="G15" s="5">
        <v>16.07</v>
      </c>
      <c r="H15" s="5">
        <v>143.26</v>
      </c>
      <c r="I15" s="6">
        <v>735000</v>
      </c>
      <c r="J15" s="1">
        <v>2024</v>
      </c>
      <c r="K15" s="6">
        <v>5778.7561915244914</v>
      </c>
      <c r="L15" s="6">
        <v>5130.5319000418822</v>
      </c>
      <c r="M15" t="str">
        <f t="shared" si="0"/>
        <v>Histórico</v>
      </c>
      <c r="P15" s="8"/>
      <c r="Q15" t="str">
        <f t="shared" si="1"/>
        <v>Premium waterfront/marina</v>
      </c>
      <c r="R15" t="s">
        <v>206</v>
      </c>
      <c r="W15" s="7">
        <f t="shared" si="2"/>
        <v>0.25</v>
      </c>
      <c r="X15" t="str">
        <f t="shared" si="3"/>
        <v>C · Histórico/secundário</v>
      </c>
      <c r="Y15" t="str">
        <f t="shared" si="4"/>
        <v>Baixa</v>
      </c>
      <c r="AA15" t="str">
        <f t="shared" si="5"/>
        <v>Atualizar preço/status</v>
      </c>
      <c r="AB15" t="str">
        <f t="shared" si="6"/>
        <v>Alta</v>
      </c>
    </row>
    <row r="16" spans="1:28" x14ac:dyDescent="0.3">
      <c r="A16" s="1" t="s">
        <v>12</v>
      </c>
      <c r="B16" s="1" t="s">
        <v>30</v>
      </c>
      <c r="C16" s="1">
        <v>2</v>
      </c>
      <c r="D16" s="1" t="s">
        <v>15</v>
      </c>
      <c r="E16" s="1">
        <v>3</v>
      </c>
      <c r="F16" s="5">
        <v>91.72</v>
      </c>
      <c r="G16" s="5">
        <v>14.85</v>
      </c>
      <c r="H16" s="5">
        <v>106.57</v>
      </c>
      <c r="I16" s="6">
        <v>700000</v>
      </c>
      <c r="J16" s="1">
        <v>2026</v>
      </c>
      <c r="K16" s="6">
        <v>7631.9232446576534</v>
      </c>
      <c r="L16" s="6">
        <v>6568.4526602233282</v>
      </c>
      <c r="M16" t="str">
        <f t="shared" si="0"/>
        <v>Ativo</v>
      </c>
      <c r="P16" s="8"/>
      <c r="Q16" t="str">
        <f t="shared" si="1"/>
        <v>Premium waterfront/marina</v>
      </c>
      <c r="R16" t="s">
        <v>206</v>
      </c>
      <c r="W16" s="7">
        <f t="shared" si="2"/>
        <v>1</v>
      </c>
      <c r="X16" t="str">
        <f t="shared" si="3"/>
        <v>A · Premium ativo</v>
      </c>
      <c r="Y16" t="str">
        <f t="shared" si="4"/>
        <v>Baixa</v>
      </c>
      <c r="AA16" t="str">
        <f t="shared" si="5"/>
        <v>Adicionar fonte/URL/data</v>
      </c>
      <c r="AB16" t="str">
        <f t="shared" si="6"/>
        <v>Alta</v>
      </c>
    </row>
    <row r="17" spans="1:28" x14ac:dyDescent="0.3">
      <c r="A17" s="1" t="s">
        <v>12</v>
      </c>
      <c r="B17" s="1" t="s">
        <v>31</v>
      </c>
      <c r="C17" s="1">
        <v>2</v>
      </c>
      <c r="D17" s="1" t="s">
        <v>25</v>
      </c>
      <c r="E17" s="1">
        <v>3</v>
      </c>
      <c r="F17" s="5">
        <v>70.58</v>
      </c>
      <c r="G17" s="5">
        <v>3.6</v>
      </c>
      <c r="H17" s="5">
        <v>74.179999999999993</v>
      </c>
      <c r="I17" s="6">
        <v>375000</v>
      </c>
      <c r="J17" s="1">
        <v>2024</v>
      </c>
      <c r="K17" s="6">
        <v>5313.1198639841314</v>
      </c>
      <c r="L17" s="6">
        <v>5055.2709625235921</v>
      </c>
      <c r="M17" t="str">
        <f t="shared" si="0"/>
        <v>Histórico</v>
      </c>
      <c r="P17" s="8"/>
      <c r="Q17" t="str">
        <f t="shared" si="1"/>
        <v>Premium waterfront/marina</v>
      </c>
      <c r="R17" t="s">
        <v>206</v>
      </c>
      <c r="W17" s="7">
        <f t="shared" si="2"/>
        <v>0.25</v>
      </c>
      <c r="X17" t="str">
        <f t="shared" si="3"/>
        <v>C · Histórico/secundário</v>
      </c>
      <c r="Y17" t="str">
        <f t="shared" si="4"/>
        <v>Baixa</v>
      </c>
      <c r="AA17" t="str">
        <f t="shared" si="5"/>
        <v>Atualizar preço/status</v>
      </c>
      <c r="AB17" t="str">
        <f t="shared" si="6"/>
        <v>Alta</v>
      </c>
    </row>
    <row r="18" spans="1:28" x14ac:dyDescent="0.3">
      <c r="A18" s="1" t="s">
        <v>12</v>
      </c>
      <c r="B18" s="1" t="s">
        <v>32</v>
      </c>
      <c r="C18" s="1">
        <v>2</v>
      </c>
      <c r="D18" s="1" t="s">
        <v>15</v>
      </c>
      <c r="E18" s="1">
        <v>4</v>
      </c>
      <c r="F18" s="5">
        <v>83.01</v>
      </c>
      <c r="G18" s="5">
        <v>38.79</v>
      </c>
      <c r="H18" s="5">
        <v>121.8</v>
      </c>
      <c r="I18" s="6">
        <v>675000</v>
      </c>
      <c r="J18" s="1">
        <v>2024</v>
      </c>
      <c r="K18" s="6">
        <v>8131.5504156125762</v>
      </c>
      <c r="L18" s="6">
        <v>5541.8719211822654</v>
      </c>
      <c r="M18" t="str">
        <f t="shared" si="0"/>
        <v>Histórico</v>
      </c>
      <c r="P18" s="8"/>
      <c r="Q18" t="str">
        <f t="shared" si="1"/>
        <v>Premium waterfront/marina</v>
      </c>
      <c r="R18" t="s">
        <v>206</v>
      </c>
      <c r="W18" s="7">
        <f t="shared" si="2"/>
        <v>0.25</v>
      </c>
      <c r="X18" t="str">
        <f t="shared" si="3"/>
        <v>C · Histórico/secundário</v>
      </c>
      <c r="Y18" t="str">
        <f t="shared" si="4"/>
        <v>Baixa</v>
      </c>
      <c r="AA18" t="str">
        <f t="shared" si="5"/>
        <v>Atualizar preço/status</v>
      </c>
      <c r="AB18" t="str">
        <f t="shared" si="6"/>
        <v>Alta</v>
      </c>
    </row>
    <row r="19" spans="1:28" x14ac:dyDescent="0.3">
      <c r="A19" s="1" t="s">
        <v>12</v>
      </c>
      <c r="B19" s="1" t="s">
        <v>33</v>
      </c>
      <c r="C19" s="1">
        <v>3</v>
      </c>
      <c r="D19" s="1" t="s">
        <v>15</v>
      </c>
      <c r="E19" s="1">
        <v>4</v>
      </c>
      <c r="F19" s="5">
        <v>127.19</v>
      </c>
      <c r="G19" s="5">
        <v>16.07</v>
      </c>
      <c r="H19" s="5">
        <v>143.26</v>
      </c>
      <c r="I19" s="6">
        <v>700000</v>
      </c>
      <c r="J19" s="1">
        <v>2024</v>
      </c>
      <c r="K19" s="6">
        <v>5503.5773252614199</v>
      </c>
      <c r="L19" s="6">
        <v>4886.220857182745</v>
      </c>
      <c r="M19" t="str">
        <f t="shared" si="0"/>
        <v>Histórico</v>
      </c>
      <c r="P19" s="8"/>
      <c r="Q19" t="str">
        <f t="shared" si="1"/>
        <v>Premium waterfront/marina</v>
      </c>
      <c r="R19" t="s">
        <v>206</v>
      </c>
      <c r="W19" s="7">
        <f t="shared" si="2"/>
        <v>0.25</v>
      </c>
      <c r="X19" t="str">
        <f t="shared" si="3"/>
        <v>C · Histórico/secundário</v>
      </c>
      <c r="Y19" t="str">
        <f t="shared" si="4"/>
        <v>Baixa</v>
      </c>
      <c r="AA19" t="str">
        <f t="shared" si="5"/>
        <v>Atualizar preço/status</v>
      </c>
      <c r="AB19" t="str">
        <f t="shared" si="6"/>
        <v>Alta</v>
      </c>
    </row>
    <row r="20" spans="1:28" x14ac:dyDescent="0.3">
      <c r="A20" s="1" t="s">
        <v>12</v>
      </c>
      <c r="B20" s="1" t="s">
        <v>34</v>
      </c>
      <c r="C20" s="1">
        <v>3</v>
      </c>
      <c r="D20" s="1" t="s">
        <v>15</v>
      </c>
      <c r="E20" s="1">
        <v>3</v>
      </c>
      <c r="F20" s="5">
        <v>91.72</v>
      </c>
      <c r="G20" s="5">
        <v>14.85</v>
      </c>
      <c r="H20" s="5">
        <v>106.57</v>
      </c>
      <c r="I20" s="6">
        <v>715000</v>
      </c>
      <c r="J20" s="1">
        <v>2026</v>
      </c>
      <c r="K20" s="6">
        <v>7304.8408198866118</v>
      </c>
      <c r="L20" s="6">
        <v>6286.9475462137571</v>
      </c>
      <c r="M20" t="str">
        <f t="shared" si="0"/>
        <v>Ativo</v>
      </c>
      <c r="P20" s="8"/>
      <c r="Q20" t="str">
        <f t="shared" si="1"/>
        <v>Premium waterfront/marina</v>
      </c>
      <c r="R20" t="s">
        <v>206</v>
      </c>
      <c r="W20" s="7">
        <f t="shared" si="2"/>
        <v>1</v>
      </c>
      <c r="X20" t="str">
        <f t="shared" si="3"/>
        <v>A · Premium ativo</v>
      </c>
      <c r="Y20" t="str">
        <f t="shared" si="4"/>
        <v>Baixa</v>
      </c>
      <c r="AA20" t="str">
        <f t="shared" si="5"/>
        <v>Adicionar fonte/URL/data</v>
      </c>
      <c r="AB20" t="str">
        <f t="shared" si="6"/>
        <v>Alta</v>
      </c>
    </row>
    <row r="21" spans="1:28" x14ac:dyDescent="0.3">
      <c r="A21" s="1" t="s">
        <v>12</v>
      </c>
      <c r="B21" s="1" t="s">
        <v>35</v>
      </c>
      <c r="C21" s="1">
        <v>3</v>
      </c>
      <c r="D21" s="1" t="s">
        <v>25</v>
      </c>
      <c r="E21" s="1">
        <v>3</v>
      </c>
      <c r="F21" s="5">
        <v>60.77</v>
      </c>
      <c r="G21" s="5">
        <v>3.6</v>
      </c>
      <c r="H21" s="5">
        <v>64.37</v>
      </c>
      <c r="I21" s="6">
        <v>385000</v>
      </c>
      <c r="J21" s="1">
        <v>2024</v>
      </c>
      <c r="K21" s="6">
        <v>6335.3628435083101</v>
      </c>
      <c r="L21" s="6">
        <v>5981.0470716172122</v>
      </c>
      <c r="M21" t="str">
        <f t="shared" si="0"/>
        <v>Histórico</v>
      </c>
      <c r="P21" s="8"/>
      <c r="Q21" t="str">
        <f t="shared" si="1"/>
        <v>Premium waterfront/marina</v>
      </c>
      <c r="R21" t="s">
        <v>206</v>
      </c>
      <c r="W21" s="7">
        <f t="shared" si="2"/>
        <v>0.25</v>
      </c>
      <c r="X21" t="str">
        <f t="shared" si="3"/>
        <v>C · Histórico/secundário</v>
      </c>
      <c r="Y21" t="str">
        <f t="shared" si="4"/>
        <v>Baixa</v>
      </c>
      <c r="AA21" t="str">
        <f t="shared" si="5"/>
        <v>Atualizar preço/status</v>
      </c>
      <c r="AB21" t="str">
        <f t="shared" si="6"/>
        <v>Alta</v>
      </c>
    </row>
    <row r="22" spans="1:28" x14ac:dyDescent="0.3">
      <c r="A22" s="1" t="s">
        <v>12</v>
      </c>
      <c r="B22" s="1" t="s">
        <v>36</v>
      </c>
      <c r="C22" s="1">
        <v>4</v>
      </c>
      <c r="D22" s="1" t="s">
        <v>15</v>
      </c>
      <c r="E22" s="1">
        <v>3</v>
      </c>
      <c r="F22" s="5">
        <v>91.72</v>
      </c>
      <c r="G22" s="5">
        <v>14.85</v>
      </c>
      <c r="H22" s="5">
        <v>106.57</v>
      </c>
      <c r="I22" s="6">
        <v>725000</v>
      </c>
      <c r="J22" s="1">
        <v>2026</v>
      </c>
      <c r="K22" s="6">
        <v>7468.3820322721331</v>
      </c>
      <c r="L22" s="6">
        <v>6427.7001032185426</v>
      </c>
      <c r="M22" t="str">
        <f t="shared" si="0"/>
        <v>Ativo</v>
      </c>
      <c r="P22" s="8"/>
      <c r="Q22" t="str">
        <f t="shared" si="1"/>
        <v>Premium waterfront/marina</v>
      </c>
      <c r="R22" t="s">
        <v>206</v>
      </c>
      <c r="W22" s="7">
        <f t="shared" si="2"/>
        <v>1</v>
      </c>
      <c r="X22" t="str">
        <f t="shared" si="3"/>
        <v>A · Premium ativo</v>
      </c>
      <c r="Y22" t="str">
        <f t="shared" si="4"/>
        <v>Baixa</v>
      </c>
      <c r="AA22" t="str">
        <f t="shared" si="5"/>
        <v>Adicionar fonte/URL/data</v>
      </c>
      <c r="AB22" t="str">
        <f t="shared" si="6"/>
        <v>Alta</v>
      </c>
    </row>
    <row r="23" spans="1:28" x14ac:dyDescent="0.3">
      <c r="A23" s="1" t="s">
        <v>12</v>
      </c>
      <c r="B23" s="1" t="s">
        <v>37</v>
      </c>
      <c r="C23" s="1">
        <v>4</v>
      </c>
      <c r="D23" s="1" t="s">
        <v>25</v>
      </c>
      <c r="E23" s="1">
        <v>3</v>
      </c>
      <c r="F23" s="5">
        <v>60.77</v>
      </c>
      <c r="G23" s="5">
        <v>3.6</v>
      </c>
      <c r="H23" s="5">
        <v>64.37</v>
      </c>
      <c r="I23" s="6">
        <v>420000</v>
      </c>
      <c r="J23" s="1">
        <v>2026</v>
      </c>
      <c r="K23" s="6">
        <v>6499.9177225604744</v>
      </c>
      <c r="L23" s="6">
        <v>6136.3989436072698</v>
      </c>
      <c r="M23" t="str">
        <f t="shared" si="0"/>
        <v>Ativo</v>
      </c>
      <c r="P23" s="8"/>
      <c r="Q23" t="str">
        <f t="shared" si="1"/>
        <v>Premium waterfront/marina</v>
      </c>
      <c r="R23" t="s">
        <v>206</v>
      </c>
      <c r="W23" s="7">
        <f t="shared" si="2"/>
        <v>1</v>
      </c>
      <c r="X23" t="str">
        <f t="shared" si="3"/>
        <v>A · Premium ativo</v>
      </c>
      <c r="Y23" t="str">
        <f t="shared" si="4"/>
        <v>Baixa</v>
      </c>
      <c r="AA23" t="str">
        <f t="shared" si="5"/>
        <v>Adicionar fonte/URL/data</v>
      </c>
      <c r="AB23" t="str">
        <f t="shared" si="6"/>
        <v>Alta</v>
      </c>
    </row>
    <row r="24" spans="1:28" x14ac:dyDescent="0.3">
      <c r="A24" s="1" t="s">
        <v>12</v>
      </c>
      <c r="B24" s="1" t="s">
        <v>38</v>
      </c>
      <c r="C24" s="1" t="s">
        <v>14</v>
      </c>
      <c r="D24" s="1" t="s">
        <v>15</v>
      </c>
      <c r="E24" s="1">
        <v>2</v>
      </c>
      <c r="F24" s="5">
        <v>123.63</v>
      </c>
      <c r="G24" s="5">
        <v>32.869999999999997</v>
      </c>
      <c r="H24" s="5">
        <v>156.5</v>
      </c>
      <c r="I24" s="6">
        <v>1310000</v>
      </c>
      <c r="J24" s="1">
        <v>2026</v>
      </c>
      <c r="K24" s="6">
        <v>10596.133624524789</v>
      </c>
      <c r="L24" s="6">
        <v>8370.6070287539933</v>
      </c>
      <c r="M24" t="str">
        <f t="shared" si="0"/>
        <v>Ativo</v>
      </c>
      <c r="P24" s="8"/>
      <c r="Q24" t="str">
        <f t="shared" si="1"/>
        <v>Premium waterfront/marina</v>
      </c>
      <c r="R24" t="s">
        <v>206</v>
      </c>
      <c r="W24" s="7">
        <f t="shared" si="2"/>
        <v>1</v>
      </c>
      <c r="X24" t="str">
        <f t="shared" si="3"/>
        <v>A · Premium ativo</v>
      </c>
      <c r="Y24" t="str">
        <f t="shared" si="4"/>
        <v>Baixa</v>
      </c>
      <c r="AA24" t="str">
        <f t="shared" si="5"/>
        <v>Adicionar fonte/URL/data</v>
      </c>
      <c r="AB24" t="str">
        <f t="shared" si="6"/>
        <v>Alta</v>
      </c>
    </row>
    <row r="25" spans="1:28" x14ac:dyDescent="0.3">
      <c r="A25" s="1" t="s">
        <v>12</v>
      </c>
      <c r="B25" s="1" t="s">
        <v>39</v>
      </c>
      <c r="C25" s="1" t="s">
        <v>14</v>
      </c>
      <c r="D25" s="1" t="s">
        <v>15</v>
      </c>
      <c r="E25" s="1">
        <v>1</v>
      </c>
      <c r="F25" s="5">
        <v>135.72999999999999</v>
      </c>
      <c r="G25" s="5">
        <v>32.15</v>
      </c>
      <c r="H25" s="5">
        <v>167.88</v>
      </c>
      <c r="I25" s="6">
        <v>1310000</v>
      </c>
      <c r="J25" s="1">
        <v>2026</v>
      </c>
      <c r="K25" s="6">
        <v>9651.5140352169765</v>
      </c>
      <c r="L25" s="6">
        <v>7803.1927567309986</v>
      </c>
      <c r="M25" t="str">
        <f t="shared" si="0"/>
        <v>Ativo</v>
      </c>
      <c r="P25" s="8"/>
      <c r="Q25" t="str">
        <f t="shared" si="1"/>
        <v>Premium waterfront/marina</v>
      </c>
      <c r="R25" t="s">
        <v>206</v>
      </c>
      <c r="W25" s="7">
        <f t="shared" si="2"/>
        <v>1</v>
      </c>
      <c r="X25" t="str">
        <f t="shared" si="3"/>
        <v>A · Premium ativo</v>
      </c>
      <c r="Y25" t="str">
        <f t="shared" si="4"/>
        <v>Baixa</v>
      </c>
      <c r="AA25" t="str">
        <f t="shared" si="5"/>
        <v>Adicionar fonte/URL/data</v>
      </c>
      <c r="AB25" t="str">
        <f t="shared" si="6"/>
        <v>Alta</v>
      </c>
    </row>
    <row r="26" spans="1:28" x14ac:dyDescent="0.3">
      <c r="A26" s="1" t="s">
        <v>12</v>
      </c>
      <c r="B26" s="1" t="s">
        <v>40</v>
      </c>
      <c r="C26" s="1" t="s">
        <v>14</v>
      </c>
      <c r="D26" s="1" t="s">
        <v>25</v>
      </c>
      <c r="E26" s="1">
        <v>2</v>
      </c>
      <c r="F26" s="5">
        <v>72.150000000000006</v>
      </c>
      <c r="G26" s="5">
        <v>15.6</v>
      </c>
      <c r="H26" s="5">
        <v>87.75</v>
      </c>
      <c r="I26" s="6">
        <v>375000</v>
      </c>
      <c r="J26" s="1">
        <v>2024</v>
      </c>
      <c r="K26" s="6">
        <v>5197.5051975051974</v>
      </c>
      <c r="L26" s="6">
        <v>4273.5042735042734</v>
      </c>
      <c r="M26" t="str">
        <f t="shared" si="0"/>
        <v>Histórico</v>
      </c>
      <c r="P26" s="8"/>
      <c r="Q26" t="str">
        <f t="shared" si="1"/>
        <v>Premium waterfront/marina</v>
      </c>
      <c r="R26" t="s">
        <v>206</v>
      </c>
      <c r="W26" s="7">
        <f t="shared" si="2"/>
        <v>0.25</v>
      </c>
      <c r="X26" t="str">
        <f t="shared" si="3"/>
        <v>C · Histórico/secundário</v>
      </c>
      <c r="Y26" t="str">
        <f t="shared" si="4"/>
        <v>Baixa</v>
      </c>
      <c r="AA26" t="str">
        <f t="shared" si="5"/>
        <v>Atualizar preço/status</v>
      </c>
      <c r="AB26" t="str">
        <f t="shared" si="6"/>
        <v>Alta</v>
      </c>
    </row>
    <row r="27" spans="1:28" x14ac:dyDescent="0.3">
      <c r="A27" s="1" t="s">
        <v>12</v>
      </c>
      <c r="B27" s="1" t="s">
        <v>41</v>
      </c>
      <c r="C27" s="1" t="s">
        <v>14</v>
      </c>
      <c r="D27" s="1" t="s">
        <v>25</v>
      </c>
      <c r="E27" s="1">
        <v>2</v>
      </c>
      <c r="F27" s="5">
        <v>89.39</v>
      </c>
      <c r="G27" s="5">
        <v>16.61</v>
      </c>
      <c r="H27" s="5">
        <v>106</v>
      </c>
      <c r="I27" s="6">
        <v>395000</v>
      </c>
      <c r="J27" s="1">
        <v>2024</v>
      </c>
      <c r="K27" s="6">
        <v>4418.8387962859379</v>
      </c>
      <c r="L27" s="6">
        <v>3726.415094339623</v>
      </c>
      <c r="M27" t="str">
        <f t="shared" si="0"/>
        <v>Histórico</v>
      </c>
      <c r="P27" s="8"/>
      <c r="Q27" t="str">
        <f t="shared" si="1"/>
        <v>Premium waterfront/marina</v>
      </c>
      <c r="R27" t="s">
        <v>206</v>
      </c>
      <c r="W27" s="7">
        <f t="shared" si="2"/>
        <v>0.25</v>
      </c>
      <c r="X27" t="str">
        <f t="shared" si="3"/>
        <v>C · Histórico/secundário</v>
      </c>
      <c r="Y27" t="str">
        <f t="shared" si="4"/>
        <v>Baixa</v>
      </c>
      <c r="AA27" t="str">
        <f t="shared" si="5"/>
        <v>Atualizar preço/status</v>
      </c>
      <c r="AB27" t="str">
        <f t="shared" si="6"/>
        <v>Alta</v>
      </c>
    </row>
    <row r="28" spans="1:28" x14ac:dyDescent="0.3">
      <c r="A28" s="1" t="s">
        <v>12</v>
      </c>
      <c r="B28" s="1" t="s">
        <v>42</v>
      </c>
      <c r="C28" s="1" t="s">
        <v>14</v>
      </c>
      <c r="D28" s="1" t="s">
        <v>15</v>
      </c>
      <c r="E28" s="1">
        <v>2</v>
      </c>
      <c r="F28" s="5">
        <v>120.58</v>
      </c>
      <c r="G28" s="5">
        <v>22.83</v>
      </c>
      <c r="H28" s="5">
        <v>143.41</v>
      </c>
      <c r="I28" s="6">
        <v>660000</v>
      </c>
      <c r="J28" s="1">
        <v>2024</v>
      </c>
      <c r="K28" s="6">
        <v>5473.5445347487148</v>
      </c>
      <c r="L28" s="6">
        <v>4602.1895265323201</v>
      </c>
      <c r="M28" t="str">
        <f t="shared" si="0"/>
        <v>Histórico</v>
      </c>
      <c r="P28" s="8"/>
      <c r="Q28" t="str">
        <f t="shared" si="1"/>
        <v>Premium waterfront/marina</v>
      </c>
      <c r="R28" t="s">
        <v>206</v>
      </c>
      <c r="W28" s="7">
        <f t="shared" si="2"/>
        <v>0.25</v>
      </c>
      <c r="X28" t="str">
        <f t="shared" si="3"/>
        <v>C · Histórico/secundário</v>
      </c>
      <c r="Y28" t="str">
        <f t="shared" si="4"/>
        <v>Baixa</v>
      </c>
      <c r="AA28" t="str">
        <f t="shared" si="5"/>
        <v>Atualizar preço/status</v>
      </c>
      <c r="AB28" t="str">
        <f t="shared" si="6"/>
        <v>Alta</v>
      </c>
    </row>
    <row r="29" spans="1:28" x14ac:dyDescent="0.3">
      <c r="A29" s="1" t="s">
        <v>12</v>
      </c>
      <c r="B29" s="1" t="s">
        <v>43</v>
      </c>
      <c r="C29" s="1" t="s">
        <v>14</v>
      </c>
      <c r="D29" s="1" t="s">
        <v>25</v>
      </c>
      <c r="E29" s="1">
        <v>2</v>
      </c>
      <c r="F29" s="5">
        <v>85.19</v>
      </c>
      <c r="G29" s="5">
        <v>18.46</v>
      </c>
      <c r="H29" s="5">
        <v>103.65</v>
      </c>
      <c r="I29" s="6">
        <v>385000</v>
      </c>
      <c r="J29" s="1">
        <v>2024</v>
      </c>
      <c r="K29" s="6">
        <v>4519.3097781429742</v>
      </c>
      <c r="L29" s="6">
        <v>3714.42354076218</v>
      </c>
      <c r="M29" t="str">
        <f t="shared" si="0"/>
        <v>Histórico</v>
      </c>
      <c r="P29" s="8"/>
      <c r="Q29" t="str">
        <f t="shared" si="1"/>
        <v>Premium waterfront/marina</v>
      </c>
      <c r="R29" t="s">
        <v>206</v>
      </c>
      <c r="W29" s="7">
        <f t="shared" si="2"/>
        <v>0.25</v>
      </c>
      <c r="X29" t="str">
        <f t="shared" si="3"/>
        <v>C · Histórico/secundário</v>
      </c>
      <c r="Y29" t="str">
        <f t="shared" si="4"/>
        <v>Baixa</v>
      </c>
      <c r="AA29" t="str">
        <f t="shared" si="5"/>
        <v>Atualizar preço/status</v>
      </c>
      <c r="AB29" t="str">
        <f t="shared" si="6"/>
        <v>Alta</v>
      </c>
    </row>
    <row r="30" spans="1:28" x14ac:dyDescent="0.3">
      <c r="A30" s="1" t="s">
        <v>12</v>
      </c>
      <c r="B30" s="1" t="s">
        <v>44</v>
      </c>
      <c r="C30" s="1" t="s">
        <v>14</v>
      </c>
      <c r="D30" s="1" t="s">
        <v>15</v>
      </c>
      <c r="E30" s="1">
        <v>3</v>
      </c>
      <c r="F30" s="5">
        <v>107.95</v>
      </c>
      <c r="G30" s="5">
        <v>19.3</v>
      </c>
      <c r="H30" s="5">
        <v>127.25</v>
      </c>
      <c r="I30" s="6">
        <v>575000</v>
      </c>
      <c r="J30" s="1">
        <v>2024</v>
      </c>
      <c r="K30" s="6">
        <v>5326.5400648448358</v>
      </c>
      <c r="L30" s="6">
        <v>4518.6640471512774</v>
      </c>
      <c r="M30" t="str">
        <f t="shared" si="0"/>
        <v>Histórico</v>
      </c>
      <c r="P30" s="8"/>
      <c r="Q30" t="str">
        <f t="shared" si="1"/>
        <v>Premium waterfront/marina</v>
      </c>
      <c r="R30" t="s">
        <v>206</v>
      </c>
      <c r="W30" s="7">
        <f t="shared" si="2"/>
        <v>0.25</v>
      </c>
      <c r="X30" t="str">
        <f t="shared" si="3"/>
        <v>C · Histórico/secundário</v>
      </c>
      <c r="Y30" t="str">
        <f t="shared" si="4"/>
        <v>Baixa</v>
      </c>
      <c r="AA30" t="str">
        <f t="shared" si="5"/>
        <v>Atualizar preço/status</v>
      </c>
      <c r="AB30" t="str">
        <f t="shared" si="6"/>
        <v>Alta</v>
      </c>
    </row>
    <row r="31" spans="1:28" x14ac:dyDescent="0.3">
      <c r="A31" s="1" t="s">
        <v>12</v>
      </c>
      <c r="B31" s="1" t="s">
        <v>45</v>
      </c>
      <c r="C31" s="1">
        <v>1</v>
      </c>
      <c r="D31" s="1" t="s">
        <v>15</v>
      </c>
      <c r="E31" s="1">
        <v>2</v>
      </c>
      <c r="F31" s="5">
        <v>139.13999999999999</v>
      </c>
      <c r="G31" s="5">
        <v>26.67</v>
      </c>
      <c r="H31" s="5">
        <v>165.81</v>
      </c>
      <c r="I31" s="6">
        <v>1310000</v>
      </c>
      <c r="J31" s="1">
        <v>2026</v>
      </c>
      <c r="K31" s="6">
        <v>9271.2376024148343</v>
      </c>
      <c r="L31" s="6">
        <v>7779.989144201194</v>
      </c>
      <c r="M31" t="str">
        <f t="shared" si="0"/>
        <v>Ativo</v>
      </c>
      <c r="P31" s="8"/>
      <c r="Q31" t="str">
        <f t="shared" si="1"/>
        <v>Premium waterfront/marina</v>
      </c>
      <c r="R31" t="s">
        <v>206</v>
      </c>
      <c r="W31" s="7">
        <f t="shared" si="2"/>
        <v>1</v>
      </c>
      <c r="X31" t="str">
        <f t="shared" si="3"/>
        <v>A · Premium ativo</v>
      </c>
      <c r="Y31" t="str">
        <f t="shared" si="4"/>
        <v>Baixa</v>
      </c>
      <c r="AA31" t="str">
        <f t="shared" si="5"/>
        <v>Adicionar fonte/URL/data</v>
      </c>
      <c r="AB31" t="str">
        <f t="shared" si="6"/>
        <v>Alta</v>
      </c>
    </row>
    <row r="32" spans="1:28" x14ac:dyDescent="0.3">
      <c r="A32" s="1" t="s">
        <v>12</v>
      </c>
      <c r="B32" s="1" t="s">
        <v>46</v>
      </c>
      <c r="C32" s="1">
        <v>1</v>
      </c>
      <c r="D32" s="1" t="s">
        <v>47</v>
      </c>
      <c r="E32" s="1">
        <v>1</v>
      </c>
      <c r="F32" s="5">
        <v>157.01</v>
      </c>
      <c r="G32" s="5">
        <v>27.23</v>
      </c>
      <c r="H32" s="5">
        <v>184.24</v>
      </c>
      <c r="I32" s="6">
        <v>1360000</v>
      </c>
      <c r="J32" s="1">
        <v>2026</v>
      </c>
      <c r="K32" s="6">
        <v>8661.8686707853012</v>
      </c>
      <c r="L32" s="6">
        <v>7381.6760746851942</v>
      </c>
      <c r="M32" t="str">
        <f t="shared" si="0"/>
        <v>Ativo</v>
      </c>
      <c r="P32" s="8"/>
      <c r="Q32" t="str">
        <f t="shared" si="1"/>
        <v>Premium waterfront/marina</v>
      </c>
      <c r="R32" t="s">
        <v>206</v>
      </c>
      <c r="W32" s="7">
        <f t="shared" si="2"/>
        <v>1</v>
      </c>
      <c r="X32" t="str">
        <f t="shared" si="3"/>
        <v>A · Premium ativo</v>
      </c>
      <c r="Y32" t="str">
        <f t="shared" si="4"/>
        <v>Baixa</v>
      </c>
      <c r="AA32" t="str">
        <f t="shared" si="5"/>
        <v>Adicionar fonte/URL/data</v>
      </c>
      <c r="AB32" t="str">
        <f t="shared" si="6"/>
        <v>Alta</v>
      </c>
    </row>
    <row r="33" spans="1:28" x14ac:dyDescent="0.3">
      <c r="A33" s="1" t="s">
        <v>12</v>
      </c>
      <c r="B33" s="1" t="s">
        <v>48</v>
      </c>
      <c r="C33" s="1">
        <v>1</v>
      </c>
      <c r="D33" s="1" t="s">
        <v>15</v>
      </c>
      <c r="E33" s="1">
        <v>2</v>
      </c>
      <c r="F33" s="5">
        <v>127.37</v>
      </c>
      <c r="G33" s="5">
        <v>16.07</v>
      </c>
      <c r="H33" s="5">
        <v>143.44</v>
      </c>
      <c r="I33" s="6">
        <v>790000</v>
      </c>
      <c r="J33" s="1">
        <v>2026</v>
      </c>
      <c r="K33" s="6">
        <v>6202.4024495564099</v>
      </c>
      <c r="L33" s="6">
        <v>5507.5292805354156</v>
      </c>
      <c r="M33" t="str">
        <f t="shared" si="0"/>
        <v>Ativo</v>
      </c>
      <c r="P33" s="8"/>
      <c r="Q33" t="str">
        <f t="shared" si="1"/>
        <v>Premium waterfront/marina</v>
      </c>
      <c r="R33" t="s">
        <v>206</v>
      </c>
      <c r="W33" s="7">
        <f t="shared" si="2"/>
        <v>1</v>
      </c>
      <c r="X33" t="str">
        <f t="shared" si="3"/>
        <v>A · Premium ativo</v>
      </c>
      <c r="Y33" t="str">
        <f t="shared" si="4"/>
        <v>Baixa</v>
      </c>
      <c r="AA33" t="str">
        <f t="shared" si="5"/>
        <v>Adicionar fonte/URL/data</v>
      </c>
      <c r="AB33" t="str">
        <f t="shared" si="6"/>
        <v>Alta</v>
      </c>
    </row>
    <row r="34" spans="1:28" x14ac:dyDescent="0.3">
      <c r="A34" s="1" t="s">
        <v>12</v>
      </c>
      <c r="B34" s="1" t="s">
        <v>49</v>
      </c>
      <c r="C34" s="1">
        <v>1</v>
      </c>
      <c r="D34" s="1" t="s">
        <v>25</v>
      </c>
      <c r="E34" s="1">
        <v>2</v>
      </c>
      <c r="F34" s="5">
        <v>94.46</v>
      </c>
      <c r="G34" s="5">
        <v>9.15</v>
      </c>
      <c r="H34" s="5">
        <v>103.61</v>
      </c>
      <c r="I34" s="6">
        <v>425000</v>
      </c>
      <c r="J34" s="1">
        <v>2024</v>
      </c>
      <c r="K34" s="6">
        <v>4499.2589455854331</v>
      </c>
      <c r="L34" s="6">
        <v>4101.9206640285684</v>
      </c>
      <c r="M34" t="str">
        <f t="shared" ref="M34:M65" si="7">IF(A34="The View","Projeto",IF(J34&gt;=2026,"Ativo",IF(J34=2025,"Rever","Histórico")))</f>
        <v>Histórico</v>
      </c>
      <c r="P34" s="8"/>
      <c r="Q34" t="str">
        <f t="shared" ref="Q34:Q97" si="8">IF(A34="The View","Projeto",IF(A34="Le Parc","Benchmark local",IF(OR(A34="Del Mar Waterfront",A34="Aura Living"),"Premium waterfront/marina","A classificar")))</f>
        <v>Premium waterfront/marina</v>
      </c>
      <c r="R34" t="s">
        <v>206</v>
      </c>
      <c r="W34" s="7">
        <f t="shared" ref="W34:W65" si="9">IF(A34="The View",1,MAX(0.25,MIN(1,IF(J34&gt;=2026,1,IF(J34=2025,0.8,IF(J34=2024,0.45,0.3)))*IF(Q34="Premium waterfront/marina",1,IF(Q34="Benchmark local",0.7,0.6))*IF(M34="Vendido",0.65,IF(M34="Reservado",0.8,IF(M34="Histórico",0.55,1))))))</f>
        <v>0.25</v>
      </c>
      <c r="X34" t="str">
        <f t="shared" ref="X34:X65" si="10">IF(A34="The View","Projeto",IF(W34&gt;=0.85,"A · Premium ativo",IF(W34&gt;=0.55,"B · Benchmark local","C · Histórico/secundário")))</f>
        <v>C · Histórico/secundário</v>
      </c>
      <c r="Y34" t="str">
        <f t="shared" ref="Y34:Y65" si="11">IF(A34="The View","N/A",IF(AND(N34&lt;&gt;"",O34&lt;&gt;"",P34&lt;&gt;""),"Alta",IF(OR(N34&lt;&gt;"",O34&lt;&gt;"",P34&lt;&gt;""),"Média","Baixa")))</f>
        <v>Baixa</v>
      </c>
      <c r="AA34" t="str">
        <f t="shared" ref="AA34:AA65" si="12">IF(A34="The View","Manter",IF(J34&lt;2026,"Atualizar preço/status",IF(Y34="Baixa","Adicionar fonte/URL/data",IF(W34&lt;0.55,"Rever comparabilidade","OK"))))</f>
        <v>Atualizar preço/status</v>
      </c>
      <c r="AB34" t="str">
        <f t="shared" ref="AB34:AB65" si="13">IF(A34="The View","",IF(OR(J34&lt;2026,Y34="Baixa"),"Alta",IF(W34&lt;0.55,"Média","Baixa")))</f>
        <v>Alta</v>
      </c>
    </row>
    <row r="35" spans="1:28" x14ac:dyDescent="0.3">
      <c r="A35" s="1" t="s">
        <v>12</v>
      </c>
      <c r="B35" s="1" t="s">
        <v>50</v>
      </c>
      <c r="C35" s="1">
        <v>1</v>
      </c>
      <c r="D35" s="1" t="s">
        <v>47</v>
      </c>
      <c r="E35" s="1">
        <v>3</v>
      </c>
      <c r="F35" s="5">
        <v>163.49</v>
      </c>
      <c r="G35" s="5">
        <v>28.52</v>
      </c>
      <c r="H35" s="5">
        <v>192.01</v>
      </c>
      <c r="I35" s="6">
        <v>990000</v>
      </c>
      <c r="J35" s="1">
        <v>2024</v>
      </c>
      <c r="K35" s="6">
        <v>6055.4162334087696</v>
      </c>
      <c r="L35" s="6">
        <v>5155.9814592989942</v>
      </c>
      <c r="M35" t="str">
        <f t="shared" si="7"/>
        <v>Histórico</v>
      </c>
      <c r="P35" s="8"/>
      <c r="Q35" t="str">
        <f t="shared" si="8"/>
        <v>Premium waterfront/marina</v>
      </c>
      <c r="R35" t="s">
        <v>206</v>
      </c>
      <c r="W35" s="7">
        <f t="shared" si="9"/>
        <v>0.25</v>
      </c>
      <c r="X35" t="str">
        <f t="shared" si="10"/>
        <v>C · Histórico/secundário</v>
      </c>
      <c r="Y35" t="str">
        <f t="shared" si="11"/>
        <v>Baixa</v>
      </c>
      <c r="AA35" t="str">
        <f t="shared" si="12"/>
        <v>Atualizar preço/status</v>
      </c>
      <c r="AB35" t="str">
        <f t="shared" si="13"/>
        <v>Alta</v>
      </c>
    </row>
    <row r="36" spans="1:28" x14ac:dyDescent="0.3">
      <c r="A36" s="1" t="s">
        <v>12</v>
      </c>
      <c r="B36" s="1" t="s">
        <v>51</v>
      </c>
      <c r="C36" s="1">
        <v>1</v>
      </c>
      <c r="D36" s="1" t="s">
        <v>15</v>
      </c>
      <c r="E36" s="1">
        <v>3</v>
      </c>
      <c r="F36" s="5">
        <v>132.30000000000001</v>
      </c>
      <c r="G36" s="5">
        <v>15.5</v>
      </c>
      <c r="H36" s="5">
        <v>147.80000000000001</v>
      </c>
      <c r="I36" s="6">
        <v>795000</v>
      </c>
      <c r="J36" s="1">
        <v>2026</v>
      </c>
      <c r="K36" s="6">
        <v>6009.0702947845803</v>
      </c>
      <c r="L36" s="6">
        <v>5378.8903924221913</v>
      </c>
      <c r="M36" t="str">
        <f t="shared" si="7"/>
        <v>Ativo</v>
      </c>
      <c r="P36" s="8"/>
      <c r="Q36" t="str">
        <f t="shared" si="8"/>
        <v>Premium waterfront/marina</v>
      </c>
      <c r="R36" t="s">
        <v>206</v>
      </c>
      <c r="W36" s="7">
        <f t="shared" si="9"/>
        <v>1</v>
      </c>
      <c r="X36" t="str">
        <f t="shared" si="10"/>
        <v>A · Premium ativo</v>
      </c>
      <c r="Y36" t="str">
        <f t="shared" si="11"/>
        <v>Baixa</v>
      </c>
      <c r="AA36" t="str">
        <f t="shared" si="12"/>
        <v>Adicionar fonte/URL/data</v>
      </c>
      <c r="AB36" t="str">
        <f t="shared" si="13"/>
        <v>Alta</v>
      </c>
    </row>
    <row r="37" spans="1:28" x14ac:dyDescent="0.3">
      <c r="A37" s="1" t="s">
        <v>12</v>
      </c>
      <c r="B37" s="1" t="s">
        <v>52</v>
      </c>
      <c r="C37" s="1">
        <v>2</v>
      </c>
      <c r="D37" s="1" t="s">
        <v>15</v>
      </c>
      <c r="E37" s="1">
        <v>2</v>
      </c>
      <c r="F37" s="5">
        <v>139.13999999999999</v>
      </c>
      <c r="G37" s="5">
        <v>26.67</v>
      </c>
      <c r="H37" s="5">
        <v>165.81</v>
      </c>
      <c r="I37" s="6">
        <v>1320000</v>
      </c>
      <c r="J37" s="1">
        <v>2024</v>
      </c>
      <c r="K37" s="6">
        <v>9486.8477792151807</v>
      </c>
      <c r="L37" s="6">
        <v>7960.9191242988963</v>
      </c>
      <c r="M37" t="str">
        <f t="shared" si="7"/>
        <v>Histórico</v>
      </c>
      <c r="P37" s="8"/>
      <c r="Q37" t="str">
        <f t="shared" si="8"/>
        <v>Premium waterfront/marina</v>
      </c>
      <c r="R37" t="s">
        <v>206</v>
      </c>
      <c r="W37" s="7">
        <f t="shared" si="9"/>
        <v>0.25</v>
      </c>
      <c r="X37" t="str">
        <f t="shared" si="10"/>
        <v>C · Histórico/secundário</v>
      </c>
      <c r="Y37" t="str">
        <f t="shared" si="11"/>
        <v>Baixa</v>
      </c>
      <c r="AA37" t="str">
        <f t="shared" si="12"/>
        <v>Atualizar preço/status</v>
      </c>
      <c r="AB37" t="str">
        <f t="shared" si="13"/>
        <v>Alta</v>
      </c>
    </row>
    <row r="38" spans="1:28" x14ac:dyDescent="0.3">
      <c r="A38" s="1" t="s">
        <v>12</v>
      </c>
      <c r="B38" s="1" t="s">
        <v>53</v>
      </c>
      <c r="C38" s="1">
        <v>2</v>
      </c>
      <c r="D38" s="1" t="s">
        <v>47</v>
      </c>
      <c r="E38" s="1">
        <v>1</v>
      </c>
      <c r="F38" s="5">
        <v>157.01</v>
      </c>
      <c r="G38" s="5">
        <v>27.23</v>
      </c>
      <c r="H38" s="5">
        <v>184.24</v>
      </c>
      <c r="I38" s="6">
        <v>1340000</v>
      </c>
      <c r="J38" s="1">
        <v>2024</v>
      </c>
      <c r="K38" s="6">
        <v>8534.4882491561057</v>
      </c>
      <c r="L38" s="6">
        <v>7273.122014763353</v>
      </c>
      <c r="M38" t="str">
        <f t="shared" si="7"/>
        <v>Histórico</v>
      </c>
      <c r="P38" s="8"/>
      <c r="Q38" t="str">
        <f t="shared" si="8"/>
        <v>Premium waterfront/marina</v>
      </c>
      <c r="R38" t="s">
        <v>206</v>
      </c>
      <c r="W38" s="7">
        <f t="shared" si="9"/>
        <v>0.25</v>
      </c>
      <c r="X38" t="str">
        <f t="shared" si="10"/>
        <v>C · Histórico/secundário</v>
      </c>
      <c r="Y38" t="str">
        <f t="shared" si="11"/>
        <v>Baixa</v>
      </c>
      <c r="AA38" t="str">
        <f t="shared" si="12"/>
        <v>Atualizar preço/status</v>
      </c>
      <c r="AB38" t="str">
        <f t="shared" si="13"/>
        <v>Alta</v>
      </c>
    </row>
    <row r="39" spans="1:28" x14ac:dyDescent="0.3">
      <c r="A39" s="1" t="s">
        <v>12</v>
      </c>
      <c r="B39" s="1" t="s">
        <v>54</v>
      </c>
      <c r="C39" s="1">
        <v>2</v>
      </c>
      <c r="D39" s="1" t="s">
        <v>25</v>
      </c>
      <c r="E39" s="1">
        <v>2</v>
      </c>
      <c r="F39" s="5">
        <v>96.21</v>
      </c>
      <c r="G39" s="5">
        <v>10.95</v>
      </c>
      <c r="H39" s="5">
        <v>107.16</v>
      </c>
      <c r="I39" s="6">
        <v>435000</v>
      </c>
      <c r="J39" s="1">
        <v>2024</v>
      </c>
      <c r="K39" s="6">
        <v>4521.3595260367947</v>
      </c>
      <c r="L39" s="6">
        <v>4059.3505039193728</v>
      </c>
      <c r="M39" t="str">
        <f t="shared" si="7"/>
        <v>Histórico</v>
      </c>
      <c r="P39" s="8"/>
      <c r="Q39" t="str">
        <f t="shared" si="8"/>
        <v>Premium waterfront/marina</v>
      </c>
      <c r="R39" t="s">
        <v>206</v>
      </c>
      <c r="W39" s="7">
        <f t="shared" si="9"/>
        <v>0.25</v>
      </c>
      <c r="X39" t="str">
        <f t="shared" si="10"/>
        <v>C · Histórico/secundário</v>
      </c>
      <c r="Y39" t="str">
        <f t="shared" si="11"/>
        <v>Baixa</v>
      </c>
      <c r="AA39" t="str">
        <f t="shared" si="12"/>
        <v>Atualizar preço/status</v>
      </c>
      <c r="AB39" t="str">
        <f t="shared" si="13"/>
        <v>Alta</v>
      </c>
    </row>
    <row r="40" spans="1:28" x14ac:dyDescent="0.3">
      <c r="A40" s="1" t="s">
        <v>12</v>
      </c>
      <c r="B40" s="1" t="s">
        <v>55</v>
      </c>
      <c r="C40" s="1">
        <v>2</v>
      </c>
      <c r="D40" s="1" t="s">
        <v>15</v>
      </c>
      <c r="E40" s="1">
        <v>2</v>
      </c>
      <c r="F40" s="5">
        <v>127.37</v>
      </c>
      <c r="G40" s="5">
        <v>16.07</v>
      </c>
      <c r="H40" s="5">
        <v>143.44</v>
      </c>
      <c r="I40" s="6">
        <v>795000</v>
      </c>
      <c r="J40" s="1">
        <v>2026</v>
      </c>
      <c r="K40" s="6">
        <v>6241.6581612624632</v>
      </c>
      <c r="L40" s="6">
        <v>5542.3870607919689</v>
      </c>
      <c r="M40" t="str">
        <f t="shared" si="7"/>
        <v>Ativo</v>
      </c>
      <c r="P40" s="8"/>
      <c r="Q40" t="str">
        <f t="shared" si="8"/>
        <v>Premium waterfront/marina</v>
      </c>
      <c r="R40" t="s">
        <v>206</v>
      </c>
      <c r="W40" s="7">
        <f t="shared" si="9"/>
        <v>1</v>
      </c>
      <c r="X40" t="str">
        <f t="shared" si="10"/>
        <v>A · Premium ativo</v>
      </c>
      <c r="Y40" t="str">
        <f t="shared" si="11"/>
        <v>Baixa</v>
      </c>
      <c r="AA40" t="str">
        <f t="shared" si="12"/>
        <v>Adicionar fonte/URL/data</v>
      </c>
      <c r="AB40" t="str">
        <f t="shared" si="13"/>
        <v>Alta</v>
      </c>
    </row>
    <row r="41" spans="1:28" x14ac:dyDescent="0.3">
      <c r="A41" s="1" t="s">
        <v>12</v>
      </c>
      <c r="B41" s="1" t="s">
        <v>56</v>
      </c>
      <c r="C41" s="1">
        <v>2</v>
      </c>
      <c r="D41" s="1" t="s">
        <v>25</v>
      </c>
      <c r="E41" s="1">
        <v>2</v>
      </c>
      <c r="F41" s="5">
        <v>94.46</v>
      </c>
      <c r="G41" s="5">
        <v>9.15</v>
      </c>
      <c r="H41" s="5">
        <v>103.61</v>
      </c>
      <c r="I41" s="6">
        <v>435000</v>
      </c>
      <c r="J41" s="1">
        <v>2024</v>
      </c>
      <c r="K41" s="6">
        <v>4605.1238619521491</v>
      </c>
      <c r="L41" s="6">
        <v>4198.4364443586528</v>
      </c>
      <c r="M41" t="str">
        <f t="shared" si="7"/>
        <v>Histórico</v>
      </c>
      <c r="P41" s="8"/>
      <c r="Q41" t="str">
        <f t="shared" si="8"/>
        <v>Premium waterfront/marina</v>
      </c>
      <c r="R41" t="s">
        <v>206</v>
      </c>
      <c r="W41" s="7">
        <f t="shared" si="9"/>
        <v>0.25</v>
      </c>
      <c r="X41" t="str">
        <f t="shared" si="10"/>
        <v>C · Histórico/secundário</v>
      </c>
      <c r="Y41" t="str">
        <f t="shared" si="11"/>
        <v>Baixa</v>
      </c>
      <c r="AA41" t="str">
        <f t="shared" si="12"/>
        <v>Atualizar preço/status</v>
      </c>
      <c r="AB41" t="str">
        <f t="shared" si="13"/>
        <v>Alta</v>
      </c>
    </row>
    <row r="42" spans="1:28" x14ac:dyDescent="0.3">
      <c r="A42" s="1" t="s">
        <v>12</v>
      </c>
      <c r="B42" s="1" t="s">
        <v>57</v>
      </c>
      <c r="C42" s="1">
        <v>2</v>
      </c>
      <c r="D42" s="1" t="s">
        <v>15</v>
      </c>
      <c r="E42" s="1">
        <v>3</v>
      </c>
      <c r="F42" s="5">
        <v>132.30000000000001</v>
      </c>
      <c r="G42" s="5">
        <v>9.5399999999999991</v>
      </c>
      <c r="H42" s="5">
        <v>141.84</v>
      </c>
      <c r="I42" s="6">
        <v>810000</v>
      </c>
      <c r="J42" s="1">
        <v>2026</v>
      </c>
      <c r="K42" s="6">
        <v>6122.4489795918362</v>
      </c>
      <c r="L42" s="6">
        <v>5710.6598984771572</v>
      </c>
      <c r="M42" t="str">
        <f t="shared" si="7"/>
        <v>Ativo</v>
      </c>
      <c r="P42" s="8"/>
      <c r="Q42" t="str">
        <f t="shared" si="8"/>
        <v>Premium waterfront/marina</v>
      </c>
      <c r="R42" t="s">
        <v>206</v>
      </c>
      <c r="W42" s="7">
        <f t="shared" si="9"/>
        <v>1</v>
      </c>
      <c r="X42" t="str">
        <f t="shared" si="10"/>
        <v>A · Premium ativo</v>
      </c>
      <c r="Y42" t="str">
        <f t="shared" si="11"/>
        <v>Baixa</v>
      </c>
      <c r="AA42" t="str">
        <f t="shared" si="12"/>
        <v>Adicionar fonte/URL/data</v>
      </c>
      <c r="AB42" t="str">
        <f t="shared" si="13"/>
        <v>Alta</v>
      </c>
    </row>
    <row r="43" spans="1:28" x14ac:dyDescent="0.3">
      <c r="A43" s="1" t="s">
        <v>12</v>
      </c>
      <c r="B43" s="1" t="s">
        <v>58</v>
      </c>
      <c r="C43" s="1">
        <v>3</v>
      </c>
      <c r="D43" s="1" t="s">
        <v>25</v>
      </c>
      <c r="E43" s="1">
        <v>2</v>
      </c>
      <c r="F43" s="5">
        <v>96.21</v>
      </c>
      <c r="G43" s="5">
        <v>10.95</v>
      </c>
      <c r="H43" s="5">
        <v>107.16</v>
      </c>
      <c r="I43" s="6">
        <v>445000</v>
      </c>
      <c r="J43" s="1">
        <v>2024</v>
      </c>
      <c r="K43" s="6">
        <v>4625.2988254859156</v>
      </c>
      <c r="L43" s="6">
        <v>4152.668906308324</v>
      </c>
      <c r="M43" t="str">
        <f t="shared" si="7"/>
        <v>Histórico</v>
      </c>
      <c r="P43" s="8"/>
      <c r="Q43" t="str">
        <f t="shared" si="8"/>
        <v>Premium waterfront/marina</v>
      </c>
      <c r="R43" t="s">
        <v>206</v>
      </c>
      <c r="W43" s="7">
        <f t="shared" si="9"/>
        <v>0.25</v>
      </c>
      <c r="X43" t="str">
        <f t="shared" si="10"/>
        <v>C · Histórico/secundário</v>
      </c>
      <c r="Y43" t="str">
        <f t="shared" si="11"/>
        <v>Baixa</v>
      </c>
      <c r="AA43" t="str">
        <f t="shared" si="12"/>
        <v>Atualizar preço/status</v>
      </c>
      <c r="AB43" t="str">
        <f t="shared" si="13"/>
        <v>Alta</v>
      </c>
    </row>
    <row r="44" spans="1:28" x14ac:dyDescent="0.3">
      <c r="A44" s="1" t="s">
        <v>12</v>
      </c>
      <c r="B44" s="1" t="s">
        <v>59</v>
      </c>
      <c r="C44" s="1">
        <v>3</v>
      </c>
      <c r="D44" s="1" t="s">
        <v>15</v>
      </c>
      <c r="E44" s="1">
        <v>2</v>
      </c>
      <c r="F44" s="5">
        <v>127.37</v>
      </c>
      <c r="G44" s="5">
        <v>16.07</v>
      </c>
      <c r="H44" s="5">
        <v>143.44</v>
      </c>
      <c r="I44" s="6">
        <v>745000</v>
      </c>
      <c r="J44" s="1">
        <v>2024</v>
      </c>
      <c r="K44" s="6">
        <v>5849.1010442019306</v>
      </c>
      <c r="L44" s="6">
        <v>5193.8092582264362</v>
      </c>
      <c r="M44" t="str">
        <f t="shared" si="7"/>
        <v>Histórico</v>
      </c>
      <c r="P44" s="8"/>
      <c r="Q44" t="str">
        <f t="shared" si="8"/>
        <v>Premium waterfront/marina</v>
      </c>
      <c r="R44" t="s">
        <v>206</v>
      </c>
      <c r="W44" s="7">
        <f t="shared" si="9"/>
        <v>0.25</v>
      </c>
      <c r="X44" t="str">
        <f t="shared" si="10"/>
        <v>C · Histórico/secundário</v>
      </c>
      <c r="Y44" t="str">
        <f t="shared" si="11"/>
        <v>Baixa</v>
      </c>
      <c r="AA44" t="str">
        <f t="shared" si="12"/>
        <v>Atualizar preço/status</v>
      </c>
      <c r="AB44" t="str">
        <f t="shared" si="13"/>
        <v>Alta</v>
      </c>
    </row>
    <row r="45" spans="1:28" x14ac:dyDescent="0.3">
      <c r="A45" s="1" t="s">
        <v>12</v>
      </c>
      <c r="B45" s="1" t="s">
        <v>60</v>
      </c>
      <c r="C45" s="1">
        <v>3</v>
      </c>
      <c r="D45" s="1" t="s">
        <v>25</v>
      </c>
      <c r="E45" s="1">
        <v>2</v>
      </c>
      <c r="F45" s="5">
        <v>94.46</v>
      </c>
      <c r="G45" s="5">
        <v>9.15</v>
      </c>
      <c r="H45" s="5">
        <v>103.61</v>
      </c>
      <c r="I45" s="6">
        <v>445000</v>
      </c>
      <c r="J45" s="1">
        <v>2024</v>
      </c>
      <c r="K45" s="6">
        <v>4710.9887783188651</v>
      </c>
      <c r="L45" s="6">
        <v>4294.9522246887364</v>
      </c>
      <c r="M45" t="str">
        <f t="shared" si="7"/>
        <v>Histórico</v>
      </c>
      <c r="P45" s="8"/>
      <c r="Q45" t="str">
        <f t="shared" si="8"/>
        <v>Premium waterfront/marina</v>
      </c>
      <c r="R45" t="s">
        <v>206</v>
      </c>
      <c r="W45" s="7">
        <f t="shared" si="9"/>
        <v>0.25</v>
      </c>
      <c r="X45" t="str">
        <f t="shared" si="10"/>
        <v>C · Histórico/secundário</v>
      </c>
      <c r="Y45" t="str">
        <f t="shared" si="11"/>
        <v>Baixa</v>
      </c>
      <c r="AA45" t="str">
        <f t="shared" si="12"/>
        <v>Atualizar preço/status</v>
      </c>
      <c r="AB45" t="str">
        <f t="shared" si="13"/>
        <v>Alta</v>
      </c>
    </row>
    <row r="46" spans="1:28" x14ac:dyDescent="0.3">
      <c r="A46" s="1" t="s">
        <v>12</v>
      </c>
      <c r="B46" s="1" t="s">
        <v>61</v>
      </c>
      <c r="C46" s="1">
        <v>3</v>
      </c>
      <c r="D46" s="1" t="s">
        <v>15</v>
      </c>
      <c r="E46" s="1">
        <v>3</v>
      </c>
      <c r="F46" s="5">
        <v>132.30000000000001</v>
      </c>
      <c r="G46" s="5">
        <v>15.5</v>
      </c>
      <c r="H46" s="5">
        <v>147.80000000000001</v>
      </c>
      <c r="I46" s="6">
        <v>685000</v>
      </c>
      <c r="J46" s="1">
        <v>2024</v>
      </c>
      <c r="K46" s="6">
        <v>5177.6266061980341</v>
      </c>
      <c r="L46" s="6">
        <v>4634.6414073071719</v>
      </c>
      <c r="M46" t="str">
        <f t="shared" si="7"/>
        <v>Histórico</v>
      </c>
      <c r="P46" s="8"/>
      <c r="Q46" t="str">
        <f t="shared" si="8"/>
        <v>Premium waterfront/marina</v>
      </c>
      <c r="R46" t="s">
        <v>206</v>
      </c>
      <c r="W46" s="7">
        <f t="shared" si="9"/>
        <v>0.25</v>
      </c>
      <c r="X46" t="str">
        <f t="shared" si="10"/>
        <v>C · Histórico/secundário</v>
      </c>
      <c r="Y46" t="str">
        <f t="shared" si="11"/>
        <v>Baixa</v>
      </c>
      <c r="AA46" t="str">
        <f t="shared" si="12"/>
        <v>Atualizar preço/status</v>
      </c>
      <c r="AB46" t="str">
        <f t="shared" si="13"/>
        <v>Alta</v>
      </c>
    </row>
    <row r="47" spans="1:28" x14ac:dyDescent="0.3">
      <c r="A47" s="1" t="s">
        <v>12</v>
      </c>
      <c r="B47" s="1" t="s">
        <v>62</v>
      </c>
      <c r="C47" s="1">
        <v>4</v>
      </c>
      <c r="D47" s="1" t="s">
        <v>15</v>
      </c>
      <c r="E47" s="1">
        <v>2</v>
      </c>
      <c r="F47" s="5">
        <v>127.37</v>
      </c>
      <c r="G47" s="5">
        <v>16.07</v>
      </c>
      <c r="H47" s="5">
        <v>143.44</v>
      </c>
      <c r="I47" s="6">
        <v>835000</v>
      </c>
      <c r="J47" s="1">
        <v>2026</v>
      </c>
      <c r="K47" s="6">
        <v>5927.612467614038</v>
      </c>
      <c r="L47" s="6">
        <v>5263.5248187395428</v>
      </c>
      <c r="M47" t="str">
        <f t="shared" si="7"/>
        <v>Ativo</v>
      </c>
      <c r="P47" s="8"/>
      <c r="Q47" t="str">
        <f t="shared" si="8"/>
        <v>Premium waterfront/marina</v>
      </c>
      <c r="R47" t="s">
        <v>206</v>
      </c>
      <c r="W47" s="7">
        <f t="shared" si="9"/>
        <v>1</v>
      </c>
      <c r="X47" t="str">
        <f t="shared" si="10"/>
        <v>A · Premium ativo</v>
      </c>
      <c r="Y47" t="str">
        <f t="shared" si="11"/>
        <v>Baixa</v>
      </c>
      <c r="AA47" t="str">
        <f t="shared" si="12"/>
        <v>Adicionar fonte/URL/data</v>
      </c>
      <c r="AB47" t="str">
        <f t="shared" si="13"/>
        <v>Alta</v>
      </c>
    </row>
    <row r="48" spans="1:28" x14ac:dyDescent="0.3">
      <c r="A48" s="1" t="s">
        <v>12</v>
      </c>
      <c r="B48" s="1" t="s">
        <v>63</v>
      </c>
      <c r="C48" s="1">
        <v>4</v>
      </c>
      <c r="D48" s="1" t="s">
        <v>15</v>
      </c>
      <c r="E48" s="1">
        <v>3</v>
      </c>
      <c r="F48" s="5">
        <v>132.30000000000001</v>
      </c>
      <c r="G48" s="5">
        <v>15.5</v>
      </c>
      <c r="H48" s="5">
        <v>147.80000000000001</v>
      </c>
      <c r="I48" s="6">
        <v>725000</v>
      </c>
      <c r="J48" s="1">
        <v>2024</v>
      </c>
      <c r="K48" s="6">
        <v>5479.9697656840508</v>
      </c>
      <c r="L48" s="6">
        <v>4905.2774018944519</v>
      </c>
      <c r="M48" t="str">
        <f t="shared" si="7"/>
        <v>Histórico</v>
      </c>
      <c r="P48" s="8"/>
      <c r="Q48" t="str">
        <f t="shared" si="8"/>
        <v>Premium waterfront/marina</v>
      </c>
      <c r="R48" t="s">
        <v>206</v>
      </c>
      <c r="W48" s="7">
        <f t="shared" si="9"/>
        <v>0.25</v>
      </c>
      <c r="X48" t="str">
        <f t="shared" si="10"/>
        <v>C · Histórico/secundário</v>
      </c>
      <c r="Y48" t="str">
        <f t="shared" si="11"/>
        <v>Baixa</v>
      </c>
      <c r="AA48" t="str">
        <f t="shared" si="12"/>
        <v>Atualizar preço/status</v>
      </c>
      <c r="AB48" t="str">
        <f t="shared" si="13"/>
        <v>Alta</v>
      </c>
    </row>
    <row r="49" spans="1:28" x14ac:dyDescent="0.3">
      <c r="A49" s="1" t="s">
        <v>64</v>
      </c>
      <c r="B49" s="1" t="s">
        <v>65</v>
      </c>
      <c r="C49" s="1">
        <v>1</v>
      </c>
      <c r="D49" s="1" t="s">
        <v>15</v>
      </c>
      <c r="E49" s="1">
        <v>3</v>
      </c>
      <c r="F49" s="5">
        <v>107</v>
      </c>
      <c r="G49" s="5">
        <v>35</v>
      </c>
      <c r="H49" s="5">
        <v>142</v>
      </c>
      <c r="I49" s="6">
        <v>537900</v>
      </c>
      <c r="J49" s="1">
        <v>2026</v>
      </c>
      <c r="K49" s="6">
        <v>5027.1028037383176</v>
      </c>
      <c r="L49" s="6">
        <v>3788.0281690140851</v>
      </c>
      <c r="M49" t="str">
        <f t="shared" si="7"/>
        <v>Ativo</v>
      </c>
      <c r="P49" s="8"/>
      <c r="Q49" t="str">
        <f t="shared" si="8"/>
        <v>Benchmark local</v>
      </c>
      <c r="R49" t="s">
        <v>206</v>
      </c>
      <c r="W49" s="7">
        <f t="shared" si="9"/>
        <v>0.7</v>
      </c>
      <c r="X49" t="str">
        <f t="shared" si="10"/>
        <v>B · Benchmark local</v>
      </c>
      <c r="Y49" t="str">
        <f t="shared" si="11"/>
        <v>Baixa</v>
      </c>
      <c r="AA49" t="str">
        <f t="shared" si="12"/>
        <v>Adicionar fonte/URL/data</v>
      </c>
      <c r="AB49" t="str">
        <f t="shared" si="13"/>
        <v>Alta</v>
      </c>
    </row>
    <row r="50" spans="1:28" x14ac:dyDescent="0.3">
      <c r="A50" s="1" t="s">
        <v>64</v>
      </c>
      <c r="B50" s="1" t="s">
        <v>66</v>
      </c>
      <c r="C50" s="1">
        <v>1</v>
      </c>
      <c r="D50" s="1" t="s">
        <v>15</v>
      </c>
      <c r="E50" s="1">
        <v>1</v>
      </c>
      <c r="F50" s="5">
        <v>107</v>
      </c>
      <c r="G50" s="5">
        <v>35</v>
      </c>
      <c r="H50" s="5">
        <v>142</v>
      </c>
      <c r="I50" s="6">
        <v>425700</v>
      </c>
      <c r="J50" s="1">
        <v>2024</v>
      </c>
      <c r="K50" s="6">
        <v>3978.5046728971961</v>
      </c>
      <c r="L50" s="6">
        <v>2997.8873239436621</v>
      </c>
      <c r="M50" t="str">
        <f t="shared" si="7"/>
        <v>Histórico</v>
      </c>
      <c r="P50" s="8"/>
      <c r="Q50" t="str">
        <f t="shared" si="8"/>
        <v>Benchmark local</v>
      </c>
      <c r="R50" t="s">
        <v>206</v>
      </c>
      <c r="W50" s="7">
        <f t="shared" si="9"/>
        <v>0.25</v>
      </c>
      <c r="X50" t="str">
        <f t="shared" si="10"/>
        <v>C · Histórico/secundário</v>
      </c>
      <c r="Y50" t="str">
        <f t="shared" si="11"/>
        <v>Baixa</v>
      </c>
      <c r="AA50" t="str">
        <f t="shared" si="12"/>
        <v>Atualizar preço/status</v>
      </c>
      <c r="AB50" t="str">
        <f t="shared" si="13"/>
        <v>Alta</v>
      </c>
    </row>
    <row r="51" spans="1:28" x14ac:dyDescent="0.3">
      <c r="A51" s="1" t="s">
        <v>64</v>
      </c>
      <c r="B51" s="1" t="s">
        <v>67</v>
      </c>
      <c r="C51" s="1">
        <v>2</v>
      </c>
      <c r="D51" s="1" t="s">
        <v>15</v>
      </c>
      <c r="E51" s="1">
        <v>3</v>
      </c>
      <c r="F51" s="5">
        <v>107</v>
      </c>
      <c r="G51" s="5">
        <v>34</v>
      </c>
      <c r="H51" s="5">
        <v>141</v>
      </c>
      <c r="I51" s="6">
        <v>482350</v>
      </c>
      <c r="J51" s="1">
        <v>2026</v>
      </c>
      <c r="K51" s="6">
        <v>4507.9439252336451</v>
      </c>
      <c r="L51" s="6">
        <v>3420.921985815603</v>
      </c>
      <c r="M51" t="str">
        <f t="shared" si="7"/>
        <v>Ativo</v>
      </c>
      <c r="P51" s="8"/>
      <c r="Q51" t="str">
        <f t="shared" si="8"/>
        <v>Benchmark local</v>
      </c>
      <c r="R51" t="s">
        <v>206</v>
      </c>
      <c r="W51" s="7">
        <f t="shared" si="9"/>
        <v>0.7</v>
      </c>
      <c r="X51" t="str">
        <f t="shared" si="10"/>
        <v>B · Benchmark local</v>
      </c>
      <c r="Y51" t="str">
        <f t="shared" si="11"/>
        <v>Baixa</v>
      </c>
      <c r="AA51" t="str">
        <f t="shared" si="12"/>
        <v>Adicionar fonte/URL/data</v>
      </c>
      <c r="AB51" t="str">
        <f t="shared" si="13"/>
        <v>Alta</v>
      </c>
    </row>
    <row r="52" spans="1:28" x14ac:dyDescent="0.3">
      <c r="A52" s="1" t="s">
        <v>64</v>
      </c>
      <c r="B52" s="1" t="s">
        <v>68</v>
      </c>
      <c r="C52" s="1">
        <v>2</v>
      </c>
      <c r="D52" s="1" t="s">
        <v>15</v>
      </c>
      <c r="E52" s="1">
        <v>1</v>
      </c>
      <c r="F52" s="5">
        <v>107</v>
      </c>
      <c r="G52" s="5">
        <v>34</v>
      </c>
      <c r="H52" s="5">
        <v>141</v>
      </c>
      <c r="I52" s="6">
        <v>408100</v>
      </c>
      <c r="J52" s="1">
        <v>2024</v>
      </c>
      <c r="K52" s="6">
        <v>3814.0186915887848</v>
      </c>
      <c r="L52" s="6">
        <v>2894.3262411347519</v>
      </c>
      <c r="M52" t="str">
        <f t="shared" si="7"/>
        <v>Histórico</v>
      </c>
      <c r="P52" s="8"/>
      <c r="Q52" t="str">
        <f t="shared" si="8"/>
        <v>Benchmark local</v>
      </c>
      <c r="R52" t="s">
        <v>206</v>
      </c>
      <c r="W52" s="7">
        <f t="shared" si="9"/>
        <v>0.25</v>
      </c>
      <c r="X52" t="str">
        <f t="shared" si="10"/>
        <v>C · Histórico/secundário</v>
      </c>
      <c r="Y52" t="str">
        <f t="shared" si="11"/>
        <v>Baixa</v>
      </c>
      <c r="AA52" t="str">
        <f t="shared" si="12"/>
        <v>Atualizar preço/status</v>
      </c>
      <c r="AB52" t="str">
        <f t="shared" si="13"/>
        <v>Alta</v>
      </c>
    </row>
    <row r="53" spans="1:28" x14ac:dyDescent="0.3">
      <c r="A53" s="1" t="s">
        <v>64</v>
      </c>
      <c r="B53" s="1" t="s">
        <v>69</v>
      </c>
      <c r="C53" s="1">
        <v>3</v>
      </c>
      <c r="D53" s="1" t="s">
        <v>15</v>
      </c>
      <c r="E53" s="1">
        <v>3</v>
      </c>
      <c r="F53" s="5">
        <v>107</v>
      </c>
      <c r="G53" s="5">
        <v>34</v>
      </c>
      <c r="H53" s="5">
        <v>141</v>
      </c>
      <c r="I53" s="6">
        <v>409750</v>
      </c>
      <c r="J53" s="1">
        <v>2024</v>
      </c>
      <c r="K53" s="6">
        <v>3829.439252336449</v>
      </c>
      <c r="L53" s="6">
        <v>2906.0283687943261</v>
      </c>
      <c r="M53" t="str">
        <f t="shared" si="7"/>
        <v>Histórico</v>
      </c>
      <c r="P53" s="8"/>
      <c r="Q53" t="str">
        <f t="shared" si="8"/>
        <v>Benchmark local</v>
      </c>
      <c r="R53" t="s">
        <v>206</v>
      </c>
      <c r="W53" s="7">
        <f t="shared" si="9"/>
        <v>0.25</v>
      </c>
      <c r="X53" t="str">
        <f t="shared" si="10"/>
        <v>C · Histórico/secundário</v>
      </c>
      <c r="Y53" t="str">
        <f t="shared" si="11"/>
        <v>Baixa</v>
      </c>
      <c r="AA53" t="str">
        <f t="shared" si="12"/>
        <v>Atualizar preço/status</v>
      </c>
      <c r="AB53" t="str">
        <f t="shared" si="13"/>
        <v>Alta</v>
      </c>
    </row>
    <row r="54" spans="1:28" x14ac:dyDescent="0.3">
      <c r="A54" s="1" t="s">
        <v>64</v>
      </c>
      <c r="B54" s="1" t="s">
        <v>70</v>
      </c>
      <c r="C54" s="1">
        <v>3</v>
      </c>
      <c r="D54" s="1" t="s">
        <v>15</v>
      </c>
      <c r="E54" s="1">
        <v>1</v>
      </c>
      <c r="F54" s="5">
        <v>107</v>
      </c>
      <c r="G54" s="5">
        <v>34</v>
      </c>
      <c r="H54" s="5">
        <v>141</v>
      </c>
      <c r="I54" s="6">
        <v>409750</v>
      </c>
      <c r="J54" s="1">
        <v>2024</v>
      </c>
      <c r="K54" s="6">
        <v>3829.439252336449</v>
      </c>
      <c r="L54" s="6">
        <v>2906.0283687943261</v>
      </c>
      <c r="M54" t="str">
        <f t="shared" si="7"/>
        <v>Histórico</v>
      </c>
      <c r="P54" s="8"/>
      <c r="Q54" t="str">
        <f t="shared" si="8"/>
        <v>Benchmark local</v>
      </c>
      <c r="R54" t="s">
        <v>206</v>
      </c>
      <c r="W54" s="7">
        <f t="shared" si="9"/>
        <v>0.25</v>
      </c>
      <c r="X54" t="str">
        <f t="shared" si="10"/>
        <v>C · Histórico/secundário</v>
      </c>
      <c r="Y54" t="str">
        <f t="shared" si="11"/>
        <v>Baixa</v>
      </c>
      <c r="AA54" t="str">
        <f t="shared" si="12"/>
        <v>Atualizar preço/status</v>
      </c>
      <c r="AB54" t="str">
        <f t="shared" si="13"/>
        <v>Alta</v>
      </c>
    </row>
    <row r="55" spans="1:28" x14ac:dyDescent="0.3">
      <c r="A55" s="1" t="s">
        <v>64</v>
      </c>
      <c r="B55" s="1" t="s">
        <v>71</v>
      </c>
      <c r="C55" s="1">
        <v>4</v>
      </c>
      <c r="D55" s="1" t="s">
        <v>15</v>
      </c>
      <c r="E55" s="1">
        <v>3</v>
      </c>
      <c r="F55" s="5">
        <v>107</v>
      </c>
      <c r="G55" s="5">
        <v>34</v>
      </c>
      <c r="H55" s="5">
        <v>141</v>
      </c>
      <c r="I55" s="6">
        <v>420750</v>
      </c>
      <c r="J55" s="1">
        <v>2024</v>
      </c>
      <c r="K55" s="6">
        <v>3932.2429906542061</v>
      </c>
      <c r="L55" s="6">
        <v>2984.0425531914889</v>
      </c>
      <c r="M55" t="str">
        <f t="shared" si="7"/>
        <v>Histórico</v>
      </c>
      <c r="P55" s="8"/>
      <c r="Q55" t="str">
        <f t="shared" si="8"/>
        <v>Benchmark local</v>
      </c>
      <c r="R55" t="s">
        <v>206</v>
      </c>
      <c r="W55" s="7">
        <f t="shared" si="9"/>
        <v>0.25</v>
      </c>
      <c r="X55" t="str">
        <f t="shared" si="10"/>
        <v>C · Histórico/secundário</v>
      </c>
      <c r="Y55" t="str">
        <f t="shared" si="11"/>
        <v>Baixa</v>
      </c>
      <c r="AA55" t="str">
        <f t="shared" si="12"/>
        <v>Atualizar preço/status</v>
      </c>
      <c r="AB55" t="str">
        <f t="shared" si="13"/>
        <v>Alta</v>
      </c>
    </row>
    <row r="56" spans="1:28" x14ac:dyDescent="0.3">
      <c r="A56" s="1" t="s">
        <v>64</v>
      </c>
      <c r="B56" s="1" t="s">
        <v>72</v>
      </c>
      <c r="C56" s="1">
        <v>4</v>
      </c>
      <c r="D56" s="1" t="s">
        <v>15</v>
      </c>
      <c r="E56" s="1">
        <v>1</v>
      </c>
      <c r="F56" s="5">
        <v>107</v>
      </c>
      <c r="G56" s="5">
        <v>34</v>
      </c>
      <c r="H56" s="5">
        <v>141</v>
      </c>
      <c r="I56" s="6">
        <v>420750</v>
      </c>
      <c r="J56" s="1">
        <v>2024</v>
      </c>
      <c r="K56" s="6">
        <v>3932.2429906542061</v>
      </c>
      <c r="L56" s="6">
        <v>2984.0425531914889</v>
      </c>
      <c r="M56" t="str">
        <f t="shared" si="7"/>
        <v>Histórico</v>
      </c>
      <c r="P56" s="8"/>
      <c r="Q56" t="str">
        <f t="shared" si="8"/>
        <v>Benchmark local</v>
      </c>
      <c r="R56" t="s">
        <v>206</v>
      </c>
      <c r="W56" s="7">
        <f t="shared" si="9"/>
        <v>0.25</v>
      </c>
      <c r="X56" t="str">
        <f t="shared" si="10"/>
        <v>C · Histórico/secundário</v>
      </c>
      <c r="Y56" t="str">
        <f t="shared" si="11"/>
        <v>Baixa</v>
      </c>
      <c r="AA56" t="str">
        <f t="shared" si="12"/>
        <v>Atualizar preço/status</v>
      </c>
      <c r="AB56" t="str">
        <f t="shared" si="13"/>
        <v>Alta</v>
      </c>
    </row>
    <row r="57" spans="1:28" x14ac:dyDescent="0.3">
      <c r="A57" s="1" t="s">
        <v>64</v>
      </c>
      <c r="B57" s="1" t="s">
        <v>65</v>
      </c>
      <c r="C57" s="1">
        <v>1</v>
      </c>
      <c r="D57" s="1" t="s">
        <v>47</v>
      </c>
      <c r="E57" s="1">
        <v>3</v>
      </c>
      <c r="F57" s="5">
        <v>124</v>
      </c>
      <c r="G57" s="5">
        <v>74</v>
      </c>
      <c r="H57" s="5">
        <v>198</v>
      </c>
      <c r="I57" s="6">
        <v>513150</v>
      </c>
      <c r="J57" s="1">
        <v>2024</v>
      </c>
      <c r="K57" s="6">
        <v>4138.3064516129034</v>
      </c>
      <c r="L57" s="6">
        <v>2591.666666666667</v>
      </c>
      <c r="M57" t="str">
        <f t="shared" si="7"/>
        <v>Histórico</v>
      </c>
      <c r="P57" s="8"/>
      <c r="Q57" t="str">
        <f t="shared" si="8"/>
        <v>Benchmark local</v>
      </c>
      <c r="R57" t="s">
        <v>206</v>
      </c>
      <c r="W57" s="7">
        <f t="shared" si="9"/>
        <v>0.25</v>
      </c>
      <c r="X57" t="str">
        <f t="shared" si="10"/>
        <v>C · Histórico/secundário</v>
      </c>
      <c r="Y57" t="str">
        <f t="shared" si="11"/>
        <v>Baixa</v>
      </c>
      <c r="AA57" t="str">
        <f t="shared" si="12"/>
        <v>Atualizar preço/status</v>
      </c>
      <c r="AB57" t="str">
        <f t="shared" si="13"/>
        <v>Alta</v>
      </c>
    </row>
    <row r="58" spans="1:28" x14ac:dyDescent="0.3">
      <c r="A58" s="1" t="s">
        <v>64</v>
      </c>
      <c r="B58" s="1" t="s">
        <v>66</v>
      </c>
      <c r="C58" s="1">
        <v>1</v>
      </c>
      <c r="D58" s="1" t="s">
        <v>15</v>
      </c>
      <c r="E58" s="1">
        <v>4</v>
      </c>
      <c r="F58" s="5">
        <v>88</v>
      </c>
      <c r="G58" s="5">
        <v>3</v>
      </c>
      <c r="H58" s="5">
        <v>91</v>
      </c>
      <c r="I58" s="6">
        <v>331650</v>
      </c>
      <c r="J58" s="1">
        <v>2024</v>
      </c>
      <c r="K58" s="6">
        <v>3768.75</v>
      </c>
      <c r="L58" s="6">
        <v>3644.505494505494</v>
      </c>
      <c r="M58" t="str">
        <f t="shared" si="7"/>
        <v>Histórico</v>
      </c>
      <c r="P58" s="8"/>
      <c r="Q58" t="str">
        <f t="shared" si="8"/>
        <v>Benchmark local</v>
      </c>
      <c r="R58" t="s">
        <v>206</v>
      </c>
      <c r="W58" s="7">
        <f t="shared" si="9"/>
        <v>0.25</v>
      </c>
      <c r="X58" t="str">
        <f t="shared" si="10"/>
        <v>C · Histórico/secundário</v>
      </c>
      <c r="Y58" t="str">
        <f t="shared" si="11"/>
        <v>Baixa</v>
      </c>
      <c r="AA58" t="str">
        <f t="shared" si="12"/>
        <v>Atualizar preço/status</v>
      </c>
      <c r="AB58" t="str">
        <f t="shared" si="13"/>
        <v>Alta</v>
      </c>
    </row>
    <row r="59" spans="1:28" x14ac:dyDescent="0.3">
      <c r="A59" s="1" t="s">
        <v>64</v>
      </c>
      <c r="B59" s="1" t="s">
        <v>73</v>
      </c>
      <c r="C59" s="1">
        <v>1</v>
      </c>
      <c r="D59" s="1" t="s">
        <v>15</v>
      </c>
      <c r="E59" s="1">
        <v>4</v>
      </c>
      <c r="F59" s="5">
        <v>91</v>
      </c>
      <c r="G59" s="5">
        <v>3</v>
      </c>
      <c r="H59" s="5">
        <v>94</v>
      </c>
      <c r="I59" s="6">
        <v>341550</v>
      </c>
      <c r="J59" s="1">
        <v>2024</v>
      </c>
      <c r="K59" s="6">
        <v>3753.2967032967031</v>
      </c>
      <c r="L59" s="6">
        <v>3633.510638297872</v>
      </c>
      <c r="M59" t="str">
        <f t="shared" si="7"/>
        <v>Histórico</v>
      </c>
      <c r="P59" s="8"/>
      <c r="Q59" t="str">
        <f t="shared" si="8"/>
        <v>Benchmark local</v>
      </c>
      <c r="R59" t="s">
        <v>206</v>
      </c>
      <c r="W59" s="7">
        <f t="shared" si="9"/>
        <v>0.25</v>
      </c>
      <c r="X59" t="str">
        <f t="shared" si="10"/>
        <v>C · Histórico/secundário</v>
      </c>
      <c r="Y59" t="str">
        <f t="shared" si="11"/>
        <v>Baixa</v>
      </c>
      <c r="AA59" t="str">
        <f t="shared" si="12"/>
        <v>Atualizar preço/status</v>
      </c>
      <c r="AB59" t="str">
        <f t="shared" si="13"/>
        <v>Alta</v>
      </c>
    </row>
    <row r="60" spans="1:28" x14ac:dyDescent="0.3">
      <c r="A60" s="1" t="s">
        <v>64</v>
      </c>
      <c r="B60" s="1" t="s">
        <v>74</v>
      </c>
      <c r="C60" s="1">
        <v>1</v>
      </c>
      <c r="D60" s="1" t="s">
        <v>47</v>
      </c>
      <c r="E60" s="1">
        <v>1</v>
      </c>
      <c r="F60" s="5">
        <v>124</v>
      </c>
      <c r="G60" s="5">
        <v>85</v>
      </c>
      <c r="H60" s="5">
        <v>209</v>
      </c>
      <c r="I60" s="6">
        <v>518100</v>
      </c>
      <c r="J60" s="1">
        <v>2024</v>
      </c>
      <c r="K60" s="6">
        <v>4178.2258064516127</v>
      </c>
      <c r="L60" s="6">
        <v>2478.947368421052</v>
      </c>
      <c r="M60" t="str">
        <f t="shared" si="7"/>
        <v>Histórico</v>
      </c>
      <c r="P60" s="8"/>
      <c r="Q60" t="str">
        <f t="shared" si="8"/>
        <v>Benchmark local</v>
      </c>
      <c r="R60" t="s">
        <v>206</v>
      </c>
      <c r="W60" s="7">
        <f t="shared" si="9"/>
        <v>0.25</v>
      </c>
      <c r="X60" t="str">
        <f t="shared" si="10"/>
        <v>C · Histórico/secundário</v>
      </c>
      <c r="Y60" t="str">
        <f t="shared" si="11"/>
        <v>Baixa</v>
      </c>
      <c r="AA60" t="str">
        <f t="shared" si="12"/>
        <v>Atualizar preço/status</v>
      </c>
      <c r="AB60" t="str">
        <f t="shared" si="13"/>
        <v>Alta</v>
      </c>
    </row>
    <row r="61" spans="1:28" x14ac:dyDescent="0.3">
      <c r="A61" s="1" t="s">
        <v>64</v>
      </c>
      <c r="B61" s="1" t="s">
        <v>75</v>
      </c>
      <c r="C61" s="1">
        <v>1</v>
      </c>
      <c r="D61" s="1" t="s">
        <v>15</v>
      </c>
      <c r="E61" s="1">
        <v>2</v>
      </c>
      <c r="F61" s="5">
        <v>83</v>
      </c>
      <c r="G61" s="5">
        <v>108</v>
      </c>
      <c r="H61" s="5">
        <v>191</v>
      </c>
      <c r="I61" s="6">
        <v>404250</v>
      </c>
      <c r="J61" s="1">
        <v>2024</v>
      </c>
      <c r="K61" s="6">
        <v>4870.4819277108436</v>
      </c>
      <c r="L61" s="6">
        <v>2116.4921465968591</v>
      </c>
      <c r="M61" t="str">
        <f t="shared" si="7"/>
        <v>Histórico</v>
      </c>
      <c r="P61" s="8"/>
      <c r="Q61" t="str">
        <f t="shared" si="8"/>
        <v>Benchmark local</v>
      </c>
      <c r="R61" t="s">
        <v>206</v>
      </c>
      <c r="W61" s="7">
        <f t="shared" si="9"/>
        <v>0.25</v>
      </c>
      <c r="X61" t="str">
        <f t="shared" si="10"/>
        <v>C · Histórico/secundário</v>
      </c>
      <c r="Y61" t="str">
        <f t="shared" si="11"/>
        <v>Baixa</v>
      </c>
      <c r="AA61" t="str">
        <f t="shared" si="12"/>
        <v>Atualizar preço/status</v>
      </c>
      <c r="AB61" t="str">
        <f t="shared" si="13"/>
        <v>Alta</v>
      </c>
    </row>
    <row r="62" spans="1:28" x14ac:dyDescent="0.3">
      <c r="A62" s="1" t="s">
        <v>64</v>
      </c>
      <c r="B62" s="1" t="s">
        <v>76</v>
      </c>
      <c r="C62" s="1">
        <v>1</v>
      </c>
      <c r="D62" s="1" t="s">
        <v>15</v>
      </c>
      <c r="E62" s="1">
        <v>2</v>
      </c>
      <c r="F62" s="5">
        <v>83</v>
      </c>
      <c r="G62" s="5">
        <v>102</v>
      </c>
      <c r="H62" s="5">
        <v>185</v>
      </c>
      <c r="I62" s="6">
        <v>402600</v>
      </c>
      <c r="J62" s="1">
        <v>2024</v>
      </c>
      <c r="K62" s="6">
        <v>4850.6024096385536</v>
      </c>
      <c r="L62" s="6">
        <v>2176.2162162162158</v>
      </c>
      <c r="M62" t="str">
        <f t="shared" si="7"/>
        <v>Histórico</v>
      </c>
      <c r="P62" s="8"/>
      <c r="Q62" t="str">
        <f t="shared" si="8"/>
        <v>Benchmark local</v>
      </c>
      <c r="R62" t="s">
        <v>206</v>
      </c>
      <c r="W62" s="7">
        <f t="shared" si="9"/>
        <v>0.25</v>
      </c>
      <c r="X62" t="str">
        <f t="shared" si="10"/>
        <v>C · Histórico/secundário</v>
      </c>
      <c r="Y62" t="str">
        <f t="shared" si="11"/>
        <v>Baixa</v>
      </c>
      <c r="AA62" t="str">
        <f t="shared" si="12"/>
        <v>Atualizar preço/status</v>
      </c>
      <c r="AB62" t="str">
        <f t="shared" si="13"/>
        <v>Alta</v>
      </c>
    </row>
    <row r="63" spans="1:28" x14ac:dyDescent="0.3">
      <c r="A63" s="1" t="s">
        <v>64</v>
      </c>
      <c r="B63" s="1" t="s">
        <v>67</v>
      </c>
      <c r="C63" s="1">
        <v>2</v>
      </c>
      <c r="D63" s="1" t="s">
        <v>47</v>
      </c>
      <c r="E63" s="1">
        <v>3</v>
      </c>
      <c r="F63" s="5">
        <v>124</v>
      </c>
      <c r="G63" s="5">
        <v>29</v>
      </c>
      <c r="H63" s="5">
        <v>153</v>
      </c>
      <c r="I63" s="6">
        <v>502150</v>
      </c>
      <c r="J63" s="1">
        <v>2026</v>
      </c>
      <c r="K63" s="6">
        <v>4049.5967741935478</v>
      </c>
      <c r="L63" s="6">
        <v>3282.0261437908498</v>
      </c>
      <c r="M63" t="str">
        <f t="shared" si="7"/>
        <v>Ativo</v>
      </c>
      <c r="P63" s="8"/>
      <c r="Q63" t="str">
        <f t="shared" si="8"/>
        <v>Benchmark local</v>
      </c>
      <c r="R63" t="s">
        <v>206</v>
      </c>
      <c r="W63" s="7">
        <f t="shared" si="9"/>
        <v>0.7</v>
      </c>
      <c r="X63" t="str">
        <f t="shared" si="10"/>
        <v>B · Benchmark local</v>
      </c>
      <c r="Y63" t="str">
        <f t="shared" si="11"/>
        <v>Baixa</v>
      </c>
      <c r="AA63" t="str">
        <f t="shared" si="12"/>
        <v>Adicionar fonte/URL/data</v>
      </c>
      <c r="AB63" t="str">
        <f t="shared" si="13"/>
        <v>Alta</v>
      </c>
    </row>
    <row r="64" spans="1:28" x14ac:dyDescent="0.3">
      <c r="A64" s="1" t="s">
        <v>64</v>
      </c>
      <c r="B64" s="1" t="s">
        <v>68</v>
      </c>
      <c r="C64" s="1">
        <v>2</v>
      </c>
      <c r="D64" s="1" t="s">
        <v>15</v>
      </c>
      <c r="E64" s="1">
        <v>4</v>
      </c>
      <c r="F64" s="5">
        <v>91</v>
      </c>
      <c r="G64" s="5">
        <v>24</v>
      </c>
      <c r="H64" s="5">
        <v>115</v>
      </c>
      <c r="I64" s="6">
        <v>369600</v>
      </c>
      <c r="J64" s="1">
        <v>2024</v>
      </c>
      <c r="K64" s="6">
        <v>4061.538461538461</v>
      </c>
      <c r="L64" s="6">
        <v>3213.913043478261</v>
      </c>
      <c r="M64" t="str">
        <f t="shared" si="7"/>
        <v>Histórico</v>
      </c>
      <c r="P64" s="8"/>
      <c r="Q64" t="str">
        <f t="shared" si="8"/>
        <v>Benchmark local</v>
      </c>
      <c r="R64" t="s">
        <v>206</v>
      </c>
      <c r="W64" s="7">
        <f t="shared" si="9"/>
        <v>0.25</v>
      </c>
      <c r="X64" t="str">
        <f t="shared" si="10"/>
        <v>C · Histórico/secundário</v>
      </c>
      <c r="Y64" t="str">
        <f t="shared" si="11"/>
        <v>Baixa</v>
      </c>
      <c r="AA64" t="str">
        <f t="shared" si="12"/>
        <v>Atualizar preço/status</v>
      </c>
      <c r="AB64" t="str">
        <f t="shared" si="13"/>
        <v>Alta</v>
      </c>
    </row>
    <row r="65" spans="1:28" x14ac:dyDescent="0.3">
      <c r="A65" s="1" t="s">
        <v>64</v>
      </c>
      <c r="B65" s="1" t="s">
        <v>77</v>
      </c>
      <c r="C65" s="1">
        <v>2</v>
      </c>
      <c r="D65" s="1" t="s">
        <v>15</v>
      </c>
      <c r="E65" s="1">
        <v>4</v>
      </c>
      <c r="F65" s="5">
        <v>93</v>
      </c>
      <c r="G65" s="5">
        <v>24</v>
      </c>
      <c r="H65" s="5">
        <v>117</v>
      </c>
      <c r="I65" s="6">
        <v>376200</v>
      </c>
      <c r="J65" s="1">
        <v>2024</v>
      </c>
      <c r="K65" s="6">
        <v>4045.16129032258</v>
      </c>
      <c r="L65" s="6">
        <v>3215.3846153846148</v>
      </c>
      <c r="M65" t="str">
        <f t="shared" si="7"/>
        <v>Histórico</v>
      </c>
      <c r="P65" s="8"/>
      <c r="Q65" t="str">
        <f t="shared" si="8"/>
        <v>Benchmark local</v>
      </c>
      <c r="R65" t="s">
        <v>206</v>
      </c>
      <c r="W65" s="7">
        <f t="shared" si="9"/>
        <v>0.25</v>
      </c>
      <c r="X65" t="str">
        <f t="shared" si="10"/>
        <v>C · Histórico/secundário</v>
      </c>
      <c r="Y65" t="str">
        <f t="shared" si="11"/>
        <v>Baixa</v>
      </c>
      <c r="AA65" t="str">
        <f t="shared" si="12"/>
        <v>Atualizar preço/status</v>
      </c>
      <c r="AB65" t="str">
        <f t="shared" si="13"/>
        <v>Alta</v>
      </c>
    </row>
    <row r="66" spans="1:28" x14ac:dyDescent="0.3">
      <c r="A66" s="1" t="s">
        <v>64</v>
      </c>
      <c r="B66" s="1" t="s">
        <v>78</v>
      </c>
      <c r="C66" s="1">
        <v>2</v>
      </c>
      <c r="D66" s="1" t="s">
        <v>47</v>
      </c>
      <c r="E66" s="1">
        <v>1</v>
      </c>
      <c r="F66" s="5">
        <v>124</v>
      </c>
      <c r="G66" s="5">
        <v>29</v>
      </c>
      <c r="H66" s="5">
        <v>153</v>
      </c>
      <c r="I66" s="6">
        <v>482350</v>
      </c>
      <c r="J66" s="1">
        <v>2026</v>
      </c>
      <c r="K66" s="6">
        <v>3889.9193548387102</v>
      </c>
      <c r="L66" s="6">
        <v>3152.6143790849669</v>
      </c>
      <c r="M66" t="str">
        <f t="shared" ref="M66:M97" si="14">IF(A66="The View","Projeto",IF(J66&gt;=2026,"Ativo",IF(J66=2025,"Rever","Histórico")))</f>
        <v>Ativo</v>
      </c>
      <c r="P66" s="8"/>
      <c r="Q66" t="str">
        <f t="shared" si="8"/>
        <v>Benchmark local</v>
      </c>
      <c r="R66" t="s">
        <v>206</v>
      </c>
      <c r="W66" s="7">
        <f t="shared" ref="W66:W97" si="15">IF(A66="The View",1,MAX(0.25,MIN(1,IF(J66&gt;=2026,1,IF(J66=2025,0.8,IF(J66=2024,0.45,0.3)))*IF(Q66="Premium waterfront/marina",1,IF(Q66="Benchmark local",0.7,0.6))*IF(M66="Vendido",0.65,IF(M66="Reservado",0.8,IF(M66="Histórico",0.55,1))))))</f>
        <v>0.7</v>
      </c>
      <c r="X66" t="str">
        <f t="shared" ref="X66:X97" si="16">IF(A66="The View","Projeto",IF(W66&gt;=0.85,"A · Premium ativo",IF(W66&gt;=0.55,"B · Benchmark local","C · Histórico/secundário")))</f>
        <v>B · Benchmark local</v>
      </c>
      <c r="Y66" t="str">
        <f t="shared" ref="Y66:Y97" si="17">IF(A66="The View","N/A",IF(AND(N66&lt;&gt;"",O66&lt;&gt;"",P66&lt;&gt;""),"Alta",IF(OR(N66&lt;&gt;"",O66&lt;&gt;"",P66&lt;&gt;""),"Média","Baixa")))</f>
        <v>Baixa</v>
      </c>
      <c r="AA66" t="str">
        <f t="shared" ref="AA66:AA97" si="18">IF(A66="The View","Manter",IF(J66&lt;2026,"Atualizar preço/status",IF(Y66="Baixa","Adicionar fonte/URL/data",IF(W66&lt;0.55,"Rever comparabilidade","OK"))))</f>
        <v>Adicionar fonte/URL/data</v>
      </c>
      <c r="AB66" t="str">
        <f t="shared" ref="AB66:AB97" si="19">IF(A66="The View","",IF(OR(J66&lt;2026,Y66="Baixa"),"Alta",IF(W66&lt;0.55,"Média","Baixa")))</f>
        <v>Alta</v>
      </c>
    </row>
    <row r="67" spans="1:28" x14ac:dyDescent="0.3">
      <c r="A67" s="1" t="s">
        <v>64</v>
      </c>
      <c r="B67" s="1" t="s">
        <v>79</v>
      </c>
      <c r="C67" s="1">
        <v>2</v>
      </c>
      <c r="D67" s="1" t="s">
        <v>15</v>
      </c>
      <c r="E67" s="1">
        <v>2</v>
      </c>
      <c r="F67" s="5">
        <v>83</v>
      </c>
      <c r="G67" s="5">
        <v>23</v>
      </c>
      <c r="H67" s="5">
        <v>106</v>
      </c>
      <c r="I67" s="6">
        <v>339900</v>
      </c>
      <c r="J67" s="1">
        <v>2024</v>
      </c>
      <c r="K67" s="6">
        <v>4095.1807228915659</v>
      </c>
      <c r="L67" s="6">
        <v>3206.6037735849059</v>
      </c>
      <c r="M67" t="str">
        <f t="shared" si="14"/>
        <v>Histórico</v>
      </c>
      <c r="P67" s="8"/>
      <c r="Q67" t="str">
        <f t="shared" si="8"/>
        <v>Benchmark local</v>
      </c>
      <c r="R67" t="s">
        <v>206</v>
      </c>
      <c r="W67" s="7">
        <f t="shared" si="15"/>
        <v>0.25</v>
      </c>
      <c r="X67" t="str">
        <f t="shared" si="16"/>
        <v>C · Histórico/secundário</v>
      </c>
      <c r="Y67" t="str">
        <f t="shared" si="17"/>
        <v>Baixa</v>
      </c>
      <c r="AA67" t="str">
        <f t="shared" si="18"/>
        <v>Atualizar preço/status</v>
      </c>
      <c r="AB67" t="str">
        <f t="shared" si="19"/>
        <v>Alta</v>
      </c>
    </row>
    <row r="68" spans="1:28" x14ac:dyDescent="0.3">
      <c r="A68" s="1" t="s">
        <v>64</v>
      </c>
      <c r="B68" s="1" t="s">
        <v>80</v>
      </c>
      <c r="C68" s="1">
        <v>2</v>
      </c>
      <c r="D68" s="1" t="s">
        <v>15</v>
      </c>
      <c r="E68" s="1">
        <v>2</v>
      </c>
      <c r="F68" s="5">
        <v>83</v>
      </c>
      <c r="G68" s="5">
        <v>23</v>
      </c>
      <c r="H68" s="5">
        <v>106</v>
      </c>
      <c r="I68" s="6">
        <v>339900</v>
      </c>
      <c r="J68" s="1">
        <v>2024</v>
      </c>
      <c r="K68" s="6">
        <v>4095.1807228915659</v>
      </c>
      <c r="L68" s="6">
        <v>3206.6037735849059</v>
      </c>
      <c r="M68" t="str">
        <f t="shared" si="14"/>
        <v>Histórico</v>
      </c>
      <c r="P68" s="8"/>
      <c r="Q68" t="str">
        <f t="shared" si="8"/>
        <v>Benchmark local</v>
      </c>
      <c r="R68" t="s">
        <v>206</v>
      </c>
      <c r="W68" s="7">
        <f t="shared" si="15"/>
        <v>0.25</v>
      </c>
      <c r="X68" t="str">
        <f t="shared" si="16"/>
        <v>C · Histórico/secundário</v>
      </c>
      <c r="Y68" t="str">
        <f t="shared" si="17"/>
        <v>Baixa</v>
      </c>
      <c r="AA68" t="str">
        <f t="shared" si="18"/>
        <v>Atualizar preço/status</v>
      </c>
      <c r="AB68" t="str">
        <f t="shared" si="19"/>
        <v>Alta</v>
      </c>
    </row>
    <row r="69" spans="1:28" x14ac:dyDescent="0.3">
      <c r="A69" s="1" t="s">
        <v>64</v>
      </c>
      <c r="B69" s="1" t="s">
        <v>69</v>
      </c>
      <c r="C69" s="1">
        <v>3</v>
      </c>
      <c r="D69" s="1" t="s">
        <v>47</v>
      </c>
      <c r="E69" s="1">
        <v>3</v>
      </c>
      <c r="F69" s="5">
        <v>124</v>
      </c>
      <c r="G69" s="5">
        <v>29</v>
      </c>
      <c r="H69" s="5">
        <v>153</v>
      </c>
      <c r="I69" s="6">
        <v>503800</v>
      </c>
      <c r="J69" s="1">
        <v>2026</v>
      </c>
      <c r="K69" s="6">
        <v>4062.9032258064522</v>
      </c>
      <c r="L69" s="6">
        <v>3292.8104575163402</v>
      </c>
      <c r="M69" t="str">
        <f t="shared" si="14"/>
        <v>Ativo</v>
      </c>
      <c r="P69" s="8"/>
      <c r="Q69" t="str">
        <f t="shared" si="8"/>
        <v>Benchmark local</v>
      </c>
      <c r="R69" t="s">
        <v>206</v>
      </c>
      <c r="W69" s="7">
        <f t="shared" si="15"/>
        <v>0.7</v>
      </c>
      <c r="X69" t="str">
        <f t="shared" si="16"/>
        <v>B · Benchmark local</v>
      </c>
      <c r="Y69" t="str">
        <f t="shared" si="17"/>
        <v>Baixa</v>
      </c>
      <c r="AA69" t="str">
        <f t="shared" si="18"/>
        <v>Adicionar fonte/URL/data</v>
      </c>
      <c r="AB69" t="str">
        <f t="shared" si="19"/>
        <v>Alta</v>
      </c>
    </row>
    <row r="70" spans="1:28" x14ac:dyDescent="0.3">
      <c r="A70" s="1" t="s">
        <v>64</v>
      </c>
      <c r="B70" s="1" t="s">
        <v>70</v>
      </c>
      <c r="C70" s="1">
        <v>3</v>
      </c>
      <c r="D70" s="1" t="s">
        <v>15</v>
      </c>
      <c r="E70" s="1">
        <v>4</v>
      </c>
      <c r="F70" s="5">
        <v>91</v>
      </c>
      <c r="G70" s="5">
        <v>24</v>
      </c>
      <c r="H70" s="5">
        <v>115</v>
      </c>
      <c r="I70" s="6">
        <v>374000</v>
      </c>
      <c r="J70" s="1">
        <v>2024</v>
      </c>
      <c r="K70" s="6">
        <v>4109.8901098901097</v>
      </c>
      <c r="L70" s="6">
        <v>3252.173913043478</v>
      </c>
      <c r="M70" t="str">
        <f t="shared" si="14"/>
        <v>Histórico</v>
      </c>
      <c r="P70" s="8"/>
      <c r="Q70" t="str">
        <f t="shared" si="8"/>
        <v>Benchmark local</v>
      </c>
      <c r="R70" t="s">
        <v>206</v>
      </c>
      <c r="W70" s="7">
        <f t="shared" si="15"/>
        <v>0.25</v>
      </c>
      <c r="X70" t="str">
        <f t="shared" si="16"/>
        <v>C · Histórico/secundário</v>
      </c>
      <c r="Y70" t="str">
        <f t="shared" si="17"/>
        <v>Baixa</v>
      </c>
      <c r="AA70" t="str">
        <f t="shared" si="18"/>
        <v>Atualizar preço/status</v>
      </c>
      <c r="AB70" t="str">
        <f t="shared" si="19"/>
        <v>Alta</v>
      </c>
    </row>
    <row r="71" spans="1:28" x14ac:dyDescent="0.3">
      <c r="A71" s="1" t="s">
        <v>64</v>
      </c>
      <c r="B71" s="1" t="s">
        <v>81</v>
      </c>
      <c r="C71" s="1">
        <v>3</v>
      </c>
      <c r="D71" s="1" t="s">
        <v>15</v>
      </c>
      <c r="E71" s="1">
        <v>4</v>
      </c>
      <c r="F71" s="5">
        <v>83</v>
      </c>
      <c r="G71" s="5">
        <v>24</v>
      </c>
      <c r="H71" s="5">
        <v>107</v>
      </c>
      <c r="I71" s="6">
        <v>490600</v>
      </c>
      <c r="J71" s="1">
        <v>2026</v>
      </c>
      <c r="K71" s="6">
        <v>5910.8433734939763</v>
      </c>
      <c r="L71" s="6">
        <v>4585.0467289719627</v>
      </c>
      <c r="M71" t="str">
        <f t="shared" si="14"/>
        <v>Ativo</v>
      </c>
      <c r="P71" s="8"/>
      <c r="Q71" t="str">
        <f t="shared" si="8"/>
        <v>Benchmark local</v>
      </c>
      <c r="R71" t="s">
        <v>206</v>
      </c>
      <c r="W71" s="7">
        <f t="shared" si="15"/>
        <v>0.7</v>
      </c>
      <c r="X71" t="str">
        <f t="shared" si="16"/>
        <v>B · Benchmark local</v>
      </c>
      <c r="Y71" t="str">
        <f t="shared" si="17"/>
        <v>Baixa</v>
      </c>
      <c r="AA71" t="str">
        <f t="shared" si="18"/>
        <v>Adicionar fonte/URL/data</v>
      </c>
      <c r="AB71" t="str">
        <f t="shared" si="19"/>
        <v>Alta</v>
      </c>
    </row>
    <row r="72" spans="1:28" x14ac:dyDescent="0.3">
      <c r="A72" s="1" t="s">
        <v>64</v>
      </c>
      <c r="B72" s="1" t="s">
        <v>82</v>
      </c>
      <c r="C72" s="1">
        <v>3</v>
      </c>
      <c r="D72" s="1" t="s">
        <v>47</v>
      </c>
      <c r="E72" s="1">
        <v>1</v>
      </c>
      <c r="F72" s="5">
        <v>124</v>
      </c>
      <c r="G72" s="5">
        <v>29</v>
      </c>
      <c r="H72" s="5">
        <v>153</v>
      </c>
      <c r="I72" s="6">
        <v>486750</v>
      </c>
      <c r="J72" s="1">
        <v>2024</v>
      </c>
      <c r="K72" s="6">
        <v>3925.4032258064522</v>
      </c>
      <c r="L72" s="6">
        <v>3181.372549019608</v>
      </c>
      <c r="M72" t="str">
        <f t="shared" si="14"/>
        <v>Histórico</v>
      </c>
      <c r="P72" s="8"/>
      <c r="Q72" t="str">
        <f t="shared" si="8"/>
        <v>Benchmark local</v>
      </c>
      <c r="R72" t="s">
        <v>206</v>
      </c>
      <c r="W72" s="7">
        <f t="shared" si="15"/>
        <v>0.25</v>
      </c>
      <c r="X72" t="str">
        <f t="shared" si="16"/>
        <v>C · Histórico/secundário</v>
      </c>
      <c r="Y72" t="str">
        <f t="shared" si="17"/>
        <v>Baixa</v>
      </c>
      <c r="AA72" t="str">
        <f t="shared" si="18"/>
        <v>Atualizar preço/status</v>
      </c>
      <c r="AB72" t="str">
        <f t="shared" si="19"/>
        <v>Alta</v>
      </c>
    </row>
    <row r="73" spans="1:28" x14ac:dyDescent="0.3">
      <c r="A73" s="1" t="s">
        <v>64</v>
      </c>
      <c r="B73" s="1" t="s">
        <v>83</v>
      </c>
      <c r="C73" s="1">
        <v>3</v>
      </c>
      <c r="D73" s="1" t="s">
        <v>15</v>
      </c>
      <c r="E73" s="1">
        <v>2</v>
      </c>
      <c r="F73" s="5">
        <v>83</v>
      </c>
      <c r="G73" s="5">
        <v>23</v>
      </c>
      <c r="H73" s="5">
        <v>106</v>
      </c>
      <c r="I73" s="6">
        <v>344300</v>
      </c>
      <c r="J73" s="1">
        <v>2024</v>
      </c>
      <c r="K73" s="6">
        <v>4148.1927710843374</v>
      </c>
      <c r="L73" s="6">
        <v>3248.1132075471701</v>
      </c>
      <c r="M73" t="str">
        <f t="shared" si="14"/>
        <v>Histórico</v>
      </c>
      <c r="P73" s="8"/>
      <c r="Q73" t="str">
        <f t="shared" si="8"/>
        <v>Benchmark local</v>
      </c>
      <c r="R73" t="s">
        <v>206</v>
      </c>
      <c r="W73" s="7">
        <f t="shared" si="15"/>
        <v>0.25</v>
      </c>
      <c r="X73" t="str">
        <f t="shared" si="16"/>
        <v>C · Histórico/secundário</v>
      </c>
      <c r="Y73" t="str">
        <f t="shared" si="17"/>
        <v>Baixa</v>
      </c>
      <c r="AA73" t="str">
        <f t="shared" si="18"/>
        <v>Atualizar preço/status</v>
      </c>
      <c r="AB73" t="str">
        <f t="shared" si="19"/>
        <v>Alta</v>
      </c>
    </row>
    <row r="74" spans="1:28" x14ac:dyDescent="0.3">
      <c r="A74" s="1" t="s">
        <v>64</v>
      </c>
      <c r="B74" s="1" t="s">
        <v>84</v>
      </c>
      <c r="C74" s="1">
        <v>3</v>
      </c>
      <c r="D74" s="1" t="s">
        <v>15</v>
      </c>
      <c r="E74" s="1">
        <v>2</v>
      </c>
      <c r="F74" s="5">
        <v>83</v>
      </c>
      <c r="G74" s="5">
        <v>23</v>
      </c>
      <c r="H74" s="5">
        <v>106</v>
      </c>
      <c r="I74" s="6">
        <v>344300</v>
      </c>
      <c r="J74" s="1">
        <v>2024</v>
      </c>
      <c r="K74" s="6">
        <v>4148.1927710843374</v>
      </c>
      <c r="L74" s="6">
        <v>3248.1132075471701</v>
      </c>
      <c r="M74" t="str">
        <f t="shared" si="14"/>
        <v>Histórico</v>
      </c>
      <c r="P74" s="8"/>
      <c r="Q74" t="str">
        <f t="shared" si="8"/>
        <v>Benchmark local</v>
      </c>
      <c r="R74" t="s">
        <v>206</v>
      </c>
      <c r="W74" s="7">
        <f t="shared" si="15"/>
        <v>0.25</v>
      </c>
      <c r="X74" t="str">
        <f t="shared" si="16"/>
        <v>C · Histórico/secundário</v>
      </c>
      <c r="Y74" t="str">
        <f t="shared" si="17"/>
        <v>Baixa</v>
      </c>
      <c r="AA74" t="str">
        <f t="shared" si="18"/>
        <v>Atualizar preço/status</v>
      </c>
      <c r="AB74" t="str">
        <f t="shared" si="19"/>
        <v>Alta</v>
      </c>
    </row>
    <row r="75" spans="1:28" x14ac:dyDescent="0.3">
      <c r="A75" s="1" t="s">
        <v>64</v>
      </c>
      <c r="B75" s="1" t="s">
        <v>71</v>
      </c>
      <c r="C75" s="1">
        <v>4</v>
      </c>
      <c r="D75" s="1" t="s">
        <v>47</v>
      </c>
      <c r="E75" s="1">
        <v>3</v>
      </c>
      <c r="F75" s="5">
        <v>134</v>
      </c>
      <c r="G75" s="5">
        <v>29</v>
      </c>
      <c r="H75" s="5">
        <v>163</v>
      </c>
      <c r="I75" s="6">
        <v>521400</v>
      </c>
      <c r="J75" s="1">
        <v>2026</v>
      </c>
      <c r="K75" s="6">
        <v>3891.0447761194032</v>
      </c>
      <c r="L75" s="6">
        <v>3198.7730061349689</v>
      </c>
      <c r="M75" t="str">
        <f t="shared" si="14"/>
        <v>Ativo</v>
      </c>
      <c r="P75" s="8"/>
      <c r="Q75" t="str">
        <f t="shared" si="8"/>
        <v>Benchmark local</v>
      </c>
      <c r="R75" t="s">
        <v>206</v>
      </c>
      <c r="W75" s="7">
        <f t="shared" si="15"/>
        <v>0.7</v>
      </c>
      <c r="X75" t="str">
        <f t="shared" si="16"/>
        <v>B · Benchmark local</v>
      </c>
      <c r="Y75" t="str">
        <f t="shared" si="17"/>
        <v>Baixa</v>
      </c>
      <c r="AA75" t="str">
        <f t="shared" si="18"/>
        <v>Adicionar fonte/URL/data</v>
      </c>
      <c r="AB75" t="str">
        <f t="shared" si="19"/>
        <v>Alta</v>
      </c>
    </row>
    <row r="76" spans="1:28" x14ac:dyDescent="0.3">
      <c r="A76" s="1" t="s">
        <v>64</v>
      </c>
      <c r="B76" s="1" t="s">
        <v>72</v>
      </c>
      <c r="C76" s="1">
        <v>4</v>
      </c>
      <c r="D76" s="1" t="s">
        <v>15</v>
      </c>
      <c r="E76" s="1">
        <v>4</v>
      </c>
      <c r="F76" s="5">
        <v>108</v>
      </c>
      <c r="G76" s="5">
        <v>28</v>
      </c>
      <c r="H76" s="5">
        <v>136</v>
      </c>
      <c r="I76" s="6">
        <v>407000</v>
      </c>
      <c r="J76" s="1">
        <v>2024</v>
      </c>
      <c r="K76" s="6">
        <v>3768.5185185185192</v>
      </c>
      <c r="L76" s="6">
        <v>2992.6470588235288</v>
      </c>
      <c r="M76" t="str">
        <f t="shared" si="14"/>
        <v>Histórico</v>
      </c>
      <c r="P76" s="8"/>
      <c r="Q76" t="str">
        <f t="shared" si="8"/>
        <v>Benchmark local</v>
      </c>
      <c r="R76" t="s">
        <v>206</v>
      </c>
      <c r="W76" s="7">
        <f t="shared" si="15"/>
        <v>0.25</v>
      </c>
      <c r="X76" t="str">
        <f t="shared" si="16"/>
        <v>C · Histórico/secundário</v>
      </c>
      <c r="Y76" t="str">
        <f t="shared" si="17"/>
        <v>Baixa</v>
      </c>
      <c r="AA76" t="str">
        <f t="shared" si="18"/>
        <v>Atualizar preço/status</v>
      </c>
      <c r="AB76" t="str">
        <f t="shared" si="19"/>
        <v>Alta</v>
      </c>
    </row>
    <row r="77" spans="1:28" x14ac:dyDescent="0.3">
      <c r="A77" s="1" t="s">
        <v>64</v>
      </c>
      <c r="B77" s="1" t="s">
        <v>85</v>
      </c>
      <c r="C77" s="1">
        <v>4</v>
      </c>
      <c r="D77" s="1" t="s">
        <v>15</v>
      </c>
      <c r="E77" s="1">
        <v>4</v>
      </c>
      <c r="F77" s="5">
        <v>108</v>
      </c>
      <c r="G77" s="5">
        <v>28</v>
      </c>
      <c r="H77" s="5">
        <v>136</v>
      </c>
      <c r="I77" s="6">
        <v>407000</v>
      </c>
      <c r="J77" s="1">
        <v>2024</v>
      </c>
      <c r="K77" s="6">
        <v>3768.5185185185192</v>
      </c>
      <c r="L77" s="6">
        <v>2992.6470588235288</v>
      </c>
      <c r="M77" t="str">
        <f t="shared" si="14"/>
        <v>Histórico</v>
      </c>
      <c r="P77" s="8"/>
      <c r="Q77" t="str">
        <f t="shared" si="8"/>
        <v>Benchmark local</v>
      </c>
      <c r="R77" t="s">
        <v>206</v>
      </c>
      <c r="W77" s="7">
        <f t="shared" si="15"/>
        <v>0.25</v>
      </c>
      <c r="X77" t="str">
        <f t="shared" si="16"/>
        <v>C · Histórico/secundário</v>
      </c>
      <c r="Y77" t="str">
        <f t="shared" si="17"/>
        <v>Baixa</v>
      </c>
      <c r="AA77" t="str">
        <f t="shared" si="18"/>
        <v>Atualizar preço/status</v>
      </c>
      <c r="AB77" t="str">
        <f t="shared" si="19"/>
        <v>Alta</v>
      </c>
    </row>
    <row r="78" spans="1:28" x14ac:dyDescent="0.3">
      <c r="A78" s="1" t="s">
        <v>64</v>
      </c>
      <c r="B78" s="1" t="s">
        <v>86</v>
      </c>
      <c r="C78" s="1">
        <v>4</v>
      </c>
      <c r="D78" s="1" t="s">
        <v>87</v>
      </c>
      <c r="E78" s="1">
        <v>1</v>
      </c>
      <c r="F78" s="5">
        <v>156</v>
      </c>
      <c r="G78" s="5">
        <v>35</v>
      </c>
      <c r="H78" s="5">
        <v>191</v>
      </c>
      <c r="I78" s="6">
        <v>598950</v>
      </c>
      <c r="J78" s="1">
        <v>2024</v>
      </c>
      <c r="K78" s="6">
        <v>3839.4230769230771</v>
      </c>
      <c r="L78" s="6">
        <v>3135.8638743455499</v>
      </c>
      <c r="M78" t="str">
        <f t="shared" si="14"/>
        <v>Histórico</v>
      </c>
      <c r="P78" s="8"/>
      <c r="Q78" t="str">
        <f t="shared" si="8"/>
        <v>Benchmark local</v>
      </c>
      <c r="R78" t="s">
        <v>206</v>
      </c>
      <c r="W78" s="7">
        <f t="shared" si="15"/>
        <v>0.25</v>
      </c>
      <c r="X78" t="str">
        <f t="shared" si="16"/>
        <v>C · Histórico/secundário</v>
      </c>
      <c r="Y78" t="str">
        <f t="shared" si="17"/>
        <v>Baixa</v>
      </c>
      <c r="AA78" t="str">
        <f t="shared" si="18"/>
        <v>Atualizar preço/status</v>
      </c>
      <c r="AB78" t="str">
        <f t="shared" si="19"/>
        <v>Alta</v>
      </c>
    </row>
    <row r="79" spans="1:28" x14ac:dyDescent="0.3">
      <c r="A79" s="1" t="s">
        <v>64</v>
      </c>
      <c r="B79" s="1" t="s">
        <v>88</v>
      </c>
      <c r="C79" s="1">
        <v>4</v>
      </c>
      <c r="D79" s="1" t="s">
        <v>15</v>
      </c>
      <c r="E79" s="1">
        <v>2</v>
      </c>
      <c r="F79" s="5">
        <v>101</v>
      </c>
      <c r="G79" s="5">
        <v>30</v>
      </c>
      <c r="H79" s="5">
        <v>131</v>
      </c>
      <c r="I79" s="6">
        <v>385550</v>
      </c>
      <c r="J79" s="1">
        <v>2024</v>
      </c>
      <c r="K79" s="6">
        <v>3817.326732673268</v>
      </c>
      <c r="L79" s="6">
        <v>2943.129770992367</v>
      </c>
      <c r="M79" t="str">
        <f t="shared" si="14"/>
        <v>Histórico</v>
      </c>
      <c r="P79" s="8"/>
      <c r="Q79" t="str">
        <f t="shared" si="8"/>
        <v>Benchmark local</v>
      </c>
      <c r="R79" t="s">
        <v>206</v>
      </c>
      <c r="W79" s="7">
        <f t="shared" si="15"/>
        <v>0.25</v>
      </c>
      <c r="X79" t="str">
        <f t="shared" si="16"/>
        <v>C · Histórico/secundário</v>
      </c>
      <c r="Y79" t="str">
        <f t="shared" si="17"/>
        <v>Baixa</v>
      </c>
      <c r="AA79" t="str">
        <f t="shared" si="18"/>
        <v>Atualizar preço/status</v>
      </c>
      <c r="AB79" t="str">
        <f t="shared" si="19"/>
        <v>Alta</v>
      </c>
    </row>
    <row r="80" spans="1:28" x14ac:dyDescent="0.3">
      <c r="A80" s="1" t="s">
        <v>64</v>
      </c>
      <c r="B80" s="1" t="s">
        <v>89</v>
      </c>
      <c r="C80" s="1">
        <v>5</v>
      </c>
      <c r="D80" s="1" t="s">
        <v>47</v>
      </c>
      <c r="E80" s="1">
        <v>3</v>
      </c>
      <c r="F80" s="5">
        <v>134</v>
      </c>
      <c r="G80" s="5">
        <v>29</v>
      </c>
      <c r="H80" s="5">
        <v>163</v>
      </c>
      <c r="I80" s="6">
        <v>523050</v>
      </c>
      <c r="J80" s="1">
        <v>2024</v>
      </c>
      <c r="K80" s="6">
        <v>3903.3582089552242</v>
      </c>
      <c r="L80" s="6">
        <v>3208.8957055214719</v>
      </c>
      <c r="M80" t="str">
        <f t="shared" si="14"/>
        <v>Histórico</v>
      </c>
      <c r="P80" s="8"/>
      <c r="Q80" t="str">
        <f t="shared" si="8"/>
        <v>Benchmark local</v>
      </c>
      <c r="R80" t="s">
        <v>206</v>
      </c>
      <c r="W80" s="7">
        <f t="shared" si="15"/>
        <v>0.25</v>
      </c>
      <c r="X80" t="str">
        <f t="shared" si="16"/>
        <v>C · Histórico/secundário</v>
      </c>
      <c r="Y80" t="str">
        <f t="shared" si="17"/>
        <v>Baixa</v>
      </c>
      <c r="AA80" t="str">
        <f t="shared" si="18"/>
        <v>Atualizar preço/status</v>
      </c>
      <c r="AB80" t="str">
        <f t="shared" si="19"/>
        <v>Alta</v>
      </c>
    </row>
    <row r="81" spans="1:28" x14ac:dyDescent="0.3">
      <c r="A81" s="1" t="s">
        <v>64</v>
      </c>
      <c r="B81" s="1" t="s">
        <v>90</v>
      </c>
      <c r="C81" s="1">
        <v>5</v>
      </c>
      <c r="D81" s="1" t="s">
        <v>15</v>
      </c>
      <c r="E81" s="1">
        <v>4</v>
      </c>
      <c r="F81" s="5">
        <v>108</v>
      </c>
      <c r="G81" s="5">
        <v>28</v>
      </c>
      <c r="H81" s="5">
        <v>136</v>
      </c>
      <c r="I81" s="6">
        <v>408650</v>
      </c>
      <c r="J81" s="1">
        <v>2024</v>
      </c>
      <c r="K81" s="6">
        <v>3783.7962962962961</v>
      </c>
      <c r="L81" s="6">
        <v>3004.7794117647059</v>
      </c>
      <c r="M81" t="str">
        <f t="shared" si="14"/>
        <v>Histórico</v>
      </c>
      <c r="P81" s="8"/>
      <c r="Q81" t="str">
        <f t="shared" si="8"/>
        <v>Benchmark local</v>
      </c>
      <c r="R81" t="s">
        <v>206</v>
      </c>
      <c r="W81" s="7">
        <f t="shared" si="15"/>
        <v>0.25</v>
      </c>
      <c r="X81" t="str">
        <f t="shared" si="16"/>
        <v>C · Histórico/secundário</v>
      </c>
      <c r="Y81" t="str">
        <f t="shared" si="17"/>
        <v>Baixa</v>
      </c>
      <c r="AA81" t="str">
        <f t="shared" si="18"/>
        <v>Atualizar preço/status</v>
      </c>
      <c r="AB81" t="str">
        <f t="shared" si="19"/>
        <v>Alta</v>
      </c>
    </row>
    <row r="82" spans="1:28" x14ac:dyDescent="0.3">
      <c r="A82" s="1" t="s">
        <v>64</v>
      </c>
      <c r="B82" s="1" t="s">
        <v>91</v>
      </c>
      <c r="C82" s="1">
        <v>5</v>
      </c>
      <c r="D82" s="1" t="s">
        <v>15</v>
      </c>
      <c r="E82" s="1">
        <v>4</v>
      </c>
      <c r="F82" s="5">
        <v>108</v>
      </c>
      <c r="G82" s="5">
        <v>28</v>
      </c>
      <c r="H82" s="5">
        <v>136</v>
      </c>
      <c r="I82" s="6">
        <v>408650</v>
      </c>
      <c r="J82" s="1">
        <v>2024</v>
      </c>
      <c r="K82" s="6">
        <v>3783.7962962962961</v>
      </c>
      <c r="L82" s="6">
        <v>3004.7794117647059</v>
      </c>
      <c r="M82" t="str">
        <f t="shared" si="14"/>
        <v>Histórico</v>
      </c>
      <c r="P82" s="8"/>
      <c r="Q82" t="str">
        <f t="shared" si="8"/>
        <v>Benchmark local</v>
      </c>
      <c r="R82" t="s">
        <v>206</v>
      </c>
      <c r="W82" s="7">
        <f t="shared" si="15"/>
        <v>0.25</v>
      </c>
      <c r="X82" t="str">
        <f t="shared" si="16"/>
        <v>C · Histórico/secundário</v>
      </c>
      <c r="Y82" t="str">
        <f t="shared" si="17"/>
        <v>Baixa</v>
      </c>
      <c r="AA82" t="str">
        <f t="shared" si="18"/>
        <v>Atualizar preço/status</v>
      </c>
      <c r="AB82" t="str">
        <f t="shared" si="19"/>
        <v>Alta</v>
      </c>
    </row>
    <row r="83" spans="1:28" x14ac:dyDescent="0.3">
      <c r="A83" s="1" t="s">
        <v>64</v>
      </c>
      <c r="B83" s="1" t="s">
        <v>92</v>
      </c>
      <c r="C83" s="1">
        <v>5</v>
      </c>
      <c r="D83" s="1" t="s">
        <v>87</v>
      </c>
      <c r="E83" s="1">
        <v>1</v>
      </c>
      <c r="F83" s="5">
        <v>156</v>
      </c>
      <c r="G83" s="5">
        <v>35</v>
      </c>
      <c r="H83" s="5">
        <v>191</v>
      </c>
      <c r="I83" s="6">
        <v>600600</v>
      </c>
      <c r="J83" s="1">
        <v>2024</v>
      </c>
      <c r="K83" s="6">
        <v>3850</v>
      </c>
      <c r="L83" s="6">
        <v>3144.5026178010471</v>
      </c>
      <c r="M83" t="str">
        <f t="shared" si="14"/>
        <v>Histórico</v>
      </c>
      <c r="P83" s="8"/>
      <c r="Q83" t="str">
        <f t="shared" si="8"/>
        <v>Benchmark local</v>
      </c>
      <c r="R83" t="s">
        <v>206</v>
      </c>
      <c r="W83" s="7">
        <f t="shared" si="15"/>
        <v>0.25</v>
      </c>
      <c r="X83" t="str">
        <f t="shared" si="16"/>
        <v>C · Histórico/secundário</v>
      </c>
      <c r="Y83" t="str">
        <f t="shared" si="17"/>
        <v>Baixa</v>
      </c>
      <c r="AA83" t="str">
        <f t="shared" si="18"/>
        <v>Atualizar preço/status</v>
      </c>
      <c r="AB83" t="str">
        <f t="shared" si="19"/>
        <v>Alta</v>
      </c>
    </row>
    <row r="84" spans="1:28" x14ac:dyDescent="0.3">
      <c r="A84" s="1" t="s">
        <v>64</v>
      </c>
      <c r="B84" s="1" t="s">
        <v>93</v>
      </c>
      <c r="C84" s="1">
        <v>5</v>
      </c>
      <c r="D84" s="1" t="s">
        <v>15</v>
      </c>
      <c r="E84" s="1">
        <v>2</v>
      </c>
      <c r="F84" s="5">
        <v>101</v>
      </c>
      <c r="G84" s="5">
        <v>30</v>
      </c>
      <c r="H84" s="5">
        <v>131</v>
      </c>
      <c r="I84" s="6">
        <v>387200</v>
      </c>
      <c r="J84" s="1">
        <v>2024</v>
      </c>
      <c r="K84" s="6">
        <v>3833.6633663366342</v>
      </c>
      <c r="L84" s="6">
        <v>2955.7251908396952</v>
      </c>
      <c r="M84" t="str">
        <f t="shared" si="14"/>
        <v>Histórico</v>
      </c>
      <c r="P84" s="8"/>
      <c r="Q84" t="str">
        <f t="shared" si="8"/>
        <v>Benchmark local</v>
      </c>
      <c r="R84" t="s">
        <v>206</v>
      </c>
      <c r="W84" s="7">
        <f t="shared" si="15"/>
        <v>0.25</v>
      </c>
      <c r="X84" t="str">
        <f t="shared" si="16"/>
        <v>C · Histórico/secundário</v>
      </c>
      <c r="Y84" t="str">
        <f t="shared" si="17"/>
        <v>Baixa</v>
      </c>
      <c r="AA84" t="str">
        <f t="shared" si="18"/>
        <v>Atualizar preço/status</v>
      </c>
      <c r="AB84" t="str">
        <f t="shared" si="19"/>
        <v>Alta</v>
      </c>
    </row>
    <row r="85" spans="1:28" x14ac:dyDescent="0.3">
      <c r="A85" s="1" t="s">
        <v>64</v>
      </c>
      <c r="B85" s="1" t="s">
        <v>94</v>
      </c>
      <c r="C85" s="1">
        <v>6</v>
      </c>
      <c r="D85" s="1" t="s">
        <v>47</v>
      </c>
      <c r="E85" s="1">
        <v>3</v>
      </c>
      <c r="F85" s="5">
        <v>134</v>
      </c>
      <c r="G85" s="5">
        <v>29</v>
      </c>
      <c r="H85" s="5">
        <v>163</v>
      </c>
      <c r="I85" s="6">
        <v>534050</v>
      </c>
      <c r="J85" s="1">
        <v>2024</v>
      </c>
      <c r="K85" s="6">
        <v>3985.4477611940301</v>
      </c>
      <c r="L85" s="6">
        <v>3276.38036809816</v>
      </c>
      <c r="M85" t="str">
        <f t="shared" si="14"/>
        <v>Histórico</v>
      </c>
      <c r="P85" s="8"/>
      <c r="Q85" t="str">
        <f t="shared" si="8"/>
        <v>Benchmark local</v>
      </c>
      <c r="R85" t="s">
        <v>206</v>
      </c>
      <c r="W85" s="7">
        <f t="shared" si="15"/>
        <v>0.25</v>
      </c>
      <c r="X85" t="str">
        <f t="shared" si="16"/>
        <v>C · Histórico/secundário</v>
      </c>
      <c r="Y85" t="str">
        <f t="shared" si="17"/>
        <v>Baixa</v>
      </c>
      <c r="AA85" t="str">
        <f t="shared" si="18"/>
        <v>Atualizar preço/status</v>
      </c>
      <c r="AB85" t="str">
        <f t="shared" si="19"/>
        <v>Alta</v>
      </c>
    </row>
    <row r="86" spans="1:28" x14ac:dyDescent="0.3">
      <c r="A86" s="1" t="s">
        <v>64</v>
      </c>
      <c r="B86" s="1" t="s">
        <v>95</v>
      </c>
      <c r="C86" s="1">
        <v>6</v>
      </c>
      <c r="D86" s="1" t="s">
        <v>15</v>
      </c>
      <c r="E86" s="1">
        <v>4</v>
      </c>
      <c r="F86" s="5">
        <v>108</v>
      </c>
      <c r="G86" s="5">
        <v>28</v>
      </c>
      <c r="H86" s="5">
        <v>136</v>
      </c>
      <c r="I86" s="6">
        <v>436150</v>
      </c>
      <c r="J86" s="1">
        <v>2024</v>
      </c>
      <c r="K86" s="6">
        <v>4038.4259259259261</v>
      </c>
      <c r="L86" s="6">
        <v>3206.9852941176468</v>
      </c>
      <c r="M86" t="str">
        <f t="shared" si="14"/>
        <v>Histórico</v>
      </c>
      <c r="P86" s="8"/>
      <c r="Q86" t="str">
        <f t="shared" si="8"/>
        <v>Benchmark local</v>
      </c>
      <c r="R86" t="s">
        <v>206</v>
      </c>
      <c r="W86" s="7">
        <f t="shared" si="15"/>
        <v>0.25</v>
      </c>
      <c r="X86" t="str">
        <f t="shared" si="16"/>
        <v>C · Histórico/secundário</v>
      </c>
      <c r="Y86" t="str">
        <f t="shared" si="17"/>
        <v>Baixa</v>
      </c>
      <c r="AA86" t="str">
        <f t="shared" si="18"/>
        <v>Atualizar preço/status</v>
      </c>
      <c r="AB86" t="str">
        <f t="shared" si="19"/>
        <v>Alta</v>
      </c>
    </row>
    <row r="87" spans="1:28" x14ac:dyDescent="0.3">
      <c r="A87" s="1" t="s">
        <v>64</v>
      </c>
      <c r="B87" s="1" t="s">
        <v>96</v>
      </c>
      <c r="C87" s="1">
        <v>6</v>
      </c>
      <c r="D87" s="1" t="s">
        <v>15</v>
      </c>
      <c r="E87" s="1">
        <v>4</v>
      </c>
      <c r="F87" s="5">
        <v>108</v>
      </c>
      <c r="G87" s="5">
        <v>28</v>
      </c>
      <c r="H87" s="5">
        <v>136</v>
      </c>
      <c r="I87" s="6">
        <v>436150</v>
      </c>
      <c r="J87" s="1">
        <v>2024</v>
      </c>
      <c r="K87" s="6">
        <v>4038.4259259259261</v>
      </c>
      <c r="L87" s="6">
        <v>3206.9852941176468</v>
      </c>
      <c r="M87" t="str">
        <f t="shared" si="14"/>
        <v>Histórico</v>
      </c>
      <c r="P87" s="8"/>
      <c r="Q87" t="str">
        <f t="shared" si="8"/>
        <v>Benchmark local</v>
      </c>
      <c r="R87" t="s">
        <v>206</v>
      </c>
      <c r="W87" s="7">
        <f t="shared" si="15"/>
        <v>0.25</v>
      </c>
      <c r="X87" t="str">
        <f t="shared" si="16"/>
        <v>C · Histórico/secundário</v>
      </c>
      <c r="Y87" t="str">
        <f t="shared" si="17"/>
        <v>Baixa</v>
      </c>
      <c r="AA87" t="str">
        <f t="shared" si="18"/>
        <v>Atualizar preço/status</v>
      </c>
      <c r="AB87" t="str">
        <f t="shared" si="19"/>
        <v>Alta</v>
      </c>
    </row>
    <row r="88" spans="1:28" x14ac:dyDescent="0.3">
      <c r="A88" s="1" t="s">
        <v>64</v>
      </c>
      <c r="B88" s="1" t="s">
        <v>97</v>
      </c>
      <c r="C88" s="1">
        <v>6</v>
      </c>
      <c r="D88" s="1" t="s">
        <v>87</v>
      </c>
      <c r="E88" s="1">
        <v>1</v>
      </c>
      <c r="F88" s="5">
        <v>156</v>
      </c>
      <c r="G88" s="5">
        <v>35</v>
      </c>
      <c r="H88" s="5">
        <v>191</v>
      </c>
      <c r="I88" s="6">
        <v>611600</v>
      </c>
      <c r="J88" s="1">
        <v>2024</v>
      </c>
      <c r="K88" s="6">
        <v>3920.5128205128199</v>
      </c>
      <c r="L88" s="6">
        <v>3202.0942408376959</v>
      </c>
      <c r="M88" t="str">
        <f t="shared" si="14"/>
        <v>Histórico</v>
      </c>
      <c r="P88" s="8"/>
      <c r="Q88" t="str">
        <f t="shared" si="8"/>
        <v>Benchmark local</v>
      </c>
      <c r="R88" t="s">
        <v>206</v>
      </c>
      <c r="W88" s="7">
        <f t="shared" si="15"/>
        <v>0.25</v>
      </c>
      <c r="X88" t="str">
        <f t="shared" si="16"/>
        <v>C · Histórico/secundário</v>
      </c>
      <c r="Y88" t="str">
        <f t="shared" si="17"/>
        <v>Baixa</v>
      </c>
      <c r="AA88" t="str">
        <f t="shared" si="18"/>
        <v>Atualizar preço/status</v>
      </c>
      <c r="AB88" t="str">
        <f t="shared" si="19"/>
        <v>Alta</v>
      </c>
    </row>
    <row r="89" spans="1:28" x14ac:dyDescent="0.3">
      <c r="A89" s="1" t="s">
        <v>64</v>
      </c>
      <c r="B89" s="1" t="s">
        <v>98</v>
      </c>
      <c r="C89" s="1">
        <v>6</v>
      </c>
      <c r="D89" s="1" t="s">
        <v>15</v>
      </c>
      <c r="E89" s="1">
        <v>2</v>
      </c>
      <c r="F89" s="5">
        <v>101</v>
      </c>
      <c r="G89" s="5">
        <v>30</v>
      </c>
      <c r="H89" s="5">
        <v>131</v>
      </c>
      <c r="I89" s="6">
        <v>414700</v>
      </c>
      <c r="J89" s="1">
        <v>2024</v>
      </c>
      <c r="K89" s="6">
        <v>4105.9405940594061</v>
      </c>
      <c r="L89" s="6">
        <v>3165.6488549618321</v>
      </c>
      <c r="M89" t="str">
        <f t="shared" si="14"/>
        <v>Histórico</v>
      </c>
      <c r="P89" s="8"/>
      <c r="Q89" t="str">
        <f t="shared" si="8"/>
        <v>Benchmark local</v>
      </c>
      <c r="R89" t="s">
        <v>206</v>
      </c>
      <c r="W89" s="7">
        <f t="shared" si="15"/>
        <v>0.25</v>
      </c>
      <c r="X89" t="str">
        <f t="shared" si="16"/>
        <v>C · Histórico/secundário</v>
      </c>
      <c r="Y89" t="str">
        <f t="shared" si="17"/>
        <v>Baixa</v>
      </c>
      <c r="AA89" t="str">
        <f t="shared" si="18"/>
        <v>Atualizar preço/status</v>
      </c>
      <c r="AB89" t="str">
        <f t="shared" si="19"/>
        <v>Alta</v>
      </c>
    </row>
    <row r="90" spans="1:28" x14ac:dyDescent="0.3">
      <c r="A90" s="1" t="s">
        <v>64</v>
      </c>
      <c r="B90" s="1" t="s">
        <v>65</v>
      </c>
      <c r="C90" s="1">
        <v>1</v>
      </c>
      <c r="D90" s="1" t="s">
        <v>47</v>
      </c>
      <c r="E90" s="1">
        <v>3</v>
      </c>
      <c r="F90" s="5">
        <v>130</v>
      </c>
      <c r="G90" s="5">
        <v>87</v>
      </c>
      <c r="H90" s="5">
        <v>217</v>
      </c>
      <c r="I90" s="6">
        <v>537900</v>
      </c>
      <c r="J90" s="1">
        <v>2024</v>
      </c>
      <c r="K90" s="6">
        <v>4137.6923076923076</v>
      </c>
      <c r="L90" s="6">
        <v>2478.8018433179718</v>
      </c>
      <c r="M90" t="str">
        <f t="shared" si="14"/>
        <v>Histórico</v>
      </c>
      <c r="P90" s="8"/>
      <c r="Q90" t="str">
        <f t="shared" si="8"/>
        <v>Benchmark local</v>
      </c>
      <c r="R90" t="s">
        <v>206</v>
      </c>
      <c r="W90" s="7">
        <f t="shared" si="15"/>
        <v>0.25</v>
      </c>
      <c r="X90" t="str">
        <f t="shared" si="16"/>
        <v>C · Histórico/secundário</v>
      </c>
      <c r="Y90" t="str">
        <f t="shared" si="17"/>
        <v>Baixa</v>
      </c>
      <c r="AA90" t="str">
        <f t="shared" si="18"/>
        <v>Atualizar preço/status</v>
      </c>
      <c r="AB90" t="str">
        <f t="shared" si="19"/>
        <v>Alta</v>
      </c>
    </row>
    <row r="91" spans="1:28" x14ac:dyDescent="0.3">
      <c r="A91" s="1" t="s">
        <v>64</v>
      </c>
      <c r="B91" s="1" t="s">
        <v>66</v>
      </c>
      <c r="C91" s="1">
        <v>1</v>
      </c>
      <c r="D91" s="1" t="s">
        <v>25</v>
      </c>
      <c r="E91" s="1">
        <v>4</v>
      </c>
      <c r="F91" s="5">
        <v>58</v>
      </c>
      <c r="G91" s="5">
        <v>6</v>
      </c>
      <c r="H91" s="5">
        <v>64</v>
      </c>
      <c r="I91" s="6">
        <v>232650</v>
      </c>
      <c r="J91" s="1">
        <v>2024</v>
      </c>
      <c r="K91" s="6">
        <v>4011.2068965517242</v>
      </c>
      <c r="L91" s="6">
        <v>3635.15625</v>
      </c>
      <c r="M91" t="str">
        <f t="shared" si="14"/>
        <v>Histórico</v>
      </c>
      <c r="P91" s="8"/>
      <c r="Q91" t="str">
        <f t="shared" si="8"/>
        <v>Benchmark local</v>
      </c>
      <c r="R91" t="s">
        <v>206</v>
      </c>
      <c r="W91" s="7">
        <f t="shared" si="15"/>
        <v>0.25</v>
      </c>
      <c r="X91" t="str">
        <f t="shared" si="16"/>
        <v>C · Histórico/secundário</v>
      </c>
      <c r="Y91" t="str">
        <f t="shared" si="17"/>
        <v>Baixa</v>
      </c>
      <c r="AA91" t="str">
        <f t="shared" si="18"/>
        <v>Atualizar preço/status</v>
      </c>
      <c r="AB91" t="str">
        <f t="shared" si="19"/>
        <v>Alta</v>
      </c>
    </row>
    <row r="92" spans="1:28" x14ac:dyDescent="0.3">
      <c r="A92" s="1" t="s">
        <v>64</v>
      </c>
      <c r="B92" s="1" t="s">
        <v>73</v>
      </c>
      <c r="C92" s="1">
        <v>1</v>
      </c>
      <c r="D92" s="1" t="s">
        <v>47</v>
      </c>
      <c r="E92" s="1">
        <v>1</v>
      </c>
      <c r="F92" s="5">
        <v>126</v>
      </c>
      <c r="G92" s="5">
        <v>74</v>
      </c>
      <c r="H92" s="5">
        <v>200</v>
      </c>
      <c r="I92" s="6">
        <v>519750</v>
      </c>
      <c r="J92" s="1">
        <v>2024</v>
      </c>
      <c r="K92" s="6">
        <v>4125</v>
      </c>
      <c r="L92" s="6">
        <v>2598.75</v>
      </c>
      <c r="M92" t="str">
        <f t="shared" si="14"/>
        <v>Histórico</v>
      </c>
      <c r="P92" s="8"/>
      <c r="Q92" t="str">
        <f t="shared" si="8"/>
        <v>Benchmark local</v>
      </c>
      <c r="R92" t="s">
        <v>206</v>
      </c>
      <c r="W92" s="7">
        <f t="shared" si="15"/>
        <v>0.25</v>
      </c>
      <c r="X92" t="str">
        <f t="shared" si="16"/>
        <v>C · Histórico/secundário</v>
      </c>
      <c r="Y92" t="str">
        <f t="shared" si="17"/>
        <v>Baixa</v>
      </c>
      <c r="AA92" t="str">
        <f t="shared" si="18"/>
        <v>Atualizar preço/status</v>
      </c>
      <c r="AB92" t="str">
        <f t="shared" si="19"/>
        <v>Alta</v>
      </c>
    </row>
    <row r="93" spans="1:28" x14ac:dyDescent="0.3">
      <c r="A93" s="1" t="s">
        <v>64</v>
      </c>
      <c r="B93" s="1" t="s">
        <v>67</v>
      </c>
      <c r="C93" s="1">
        <v>2</v>
      </c>
      <c r="D93" s="1" t="s">
        <v>47</v>
      </c>
      <c r="E93" s="1">
        <v>3</v>
      </c>
      <c r="F93" s="5">
        <v>130</v>
      </c>
      <c r="G93" s="5">
        <v>28</v>
      </c>
      <c r="H93" s="5">
        <v>158</v>
      </c>
      <c r="I93" s="6">
        <v>502150</v>
      </c>
      <c r="J93" s="1">
        <v>2024</v>
      </c>
      <c r="K93" s="6">
        <v>3862.6923076923081</v>
      </c>
      <c r="L93" s="6">
        <v>3178.164556962025</v>
      </c>
      <c r="M93" t="str">
        <f t="shared" si="14"/>
        <v>Histórico</v>
      </c>
      <c r="P93" s="8"/>
      <c r="Q93" t="str">
        <f t="shared" si="8"/>
        <v>Benchmark local</v>
      </c>
      <c r="R93" t="s">
        <v>206</v>
      </c>
      <c r="W93" s="7">
        <f t="shared" si="15"/>
        <v>0.25</v>
      </c>
      <c r="X93" t="str">
        <f t="shared" si="16"/>
        <v>C · Histórico/secundário</v>
      </c>
      <c r="Y93" t="str">
        <f t="shared" si="17"/>
        <v>Baixa</v>
      </c>
      <c r="AA93" t="str">
        <f t="shared" si="18"/>
        <v>Atualizar preço/status</v>
      </c>
      <c r="AB93" t="str">
        <f t="shared" si="19"/>
        <v>Alta</v>
      </c>
    </row>
    <row r="94" spans="1:28" x14ac:dyDescent="0.3">
      <c r="A94" s="1" t="s">
        <v>64</v>
      </c>
      <c r="B94" s="1" t="s">
        <v>68</v>
      </c>
      <c r="C94" s="1">
        <v>2</v>
      </c>
      <c r="D94" s="1" t="s">
        <v>25</v>
      </c>
      <c r="E94" s="1">
        <v>4</v>
      </c>
      <c r="F94" s="5">
        <v>65</v>
      </c>
      <c r="G94" s="5">
        <v>15</v>
      </c>
      <c r="H94" s="5">
        <v>80</v>
      </c>
      <c r="I94" s="6">
        <v>272250</v>
      </c>
      <c r="J94" s="1">
        <v>2024</v>
      </c>
      <c r="K94" s="6">
        <v>4188.4615384615381</v>
      </c>
      <c r="L94" s="6">
        <v>3403.125</v>
      </c>
      <c r="M94" t="str">
        <f t="shared" si="14"/>
        <v>Histórico</v>
      </c>
      <c r="P94" s="8"/>
      <c r="Q94" t="str">
        <f t="shared" si="8"/>
        <v>Benchmark local</v>
      </c>
      <c r="R94" t="s">
        <v>206</v>
      </c>
      <c r="W94" s="7">
        <f t="shared" si="15"/>
        <v>0.25</v>
      </c>
      <c r="X94" t="str">
        <f t="shared" si="16"/>
        <v>C · Histórico/secundário</v>
      </c>
      <c r="Y94" t="str">
        <f t="shared" si="17"/>
        <v>Baixa</v>
      </c>
      <c r="AA94" t="str">
        <f t="shared" si="18"/>
        <v>Atualizar preço/status</v>
      </c>
      <c r="AB94" t="str">
        <f t="shared" si="19"/>
        <v>Alta</v>
      </c>
    </row>
    <row r="95" spans="1:28" x14ac:dyDescent="0.3">
      <c r="A95" s="1" t="s">
        <v>64</v>
      </c>
      <c r="B95" s="1" t="s">
        <v>77</v>
      </c>
      <c r="C95" s="1">
        <v>2</v>
      </c>
      <c r="D95" s="1" t="s">
        <v>47</v>
      </c>
      <c r="E95" s="1">
        <v>1</v>
      </c>
      <c r="F95" s="5">
        <v>126</v>
      </c>
      <c r="G95" s="5">
        <v>29</v>
      </c>
      <c r="H95" s="5">
        <v>155</v>
      </c>
      <c r="I95" s="6">
        <v>488950</v>
      </c>
      <c r="J95" s="1">
        <v>2024</v>
      </c>
      <c r="K95" s="6">
        <v>3880.5555555555561</v>
      </c>
      <c r="L95" s="6">
        <v>3154.516129032258</v>
      </c>
      <c r="M95" t="str">
        <f t="shared" si="14"/>
        <v>Histórico</v>
      </c>
      <c r="P95" s="8"/>
      <c r="Q95" t="str">
        <f t="shared" si="8"/>
        <v>Benchmark local</v>
      </c>
      <c r="R95" t="s">
        <v>206</v>
      </c>
      <c r="W95" s="7">
        <f t="shared" si="15"/>
        <v>0.25</v>
      </c>
      <c r="X95" t="str">
        <f t="shared" si="16"/>
        <v>C · Histórico/secundário</v>
      </c>
      <c r="Y95" t="str">
        <f t="shared" si="17"/>
        <v>Baixa</v>
      </c>
      <c r="AA95" t="str">
        <f t="shared" si="18"/>
        <v>Atualizar preço/status</v>
      </c>
      <c r="AB95" t="str">
        <f t="shared" si="19"/>
        <v>Alta</v>
      </c>
    </row>
    <row r="96" spans="1:28" x14ac:dyDescent="0.3">
      <c r="A96" s="1" t="s">
        <v>64</v>
      </c>
      <c r="B96" s="1" t="s">
        <v>69</v>
      </c>
      <c r="C96" s="1">
        <v>3</v>
      </c>
      <c r="D96" s="1" t="s">
        <v>47</v>
      </c>
      <c r="E96" s="1">
        <v>3</v>
      </c>
      <c r="F96" s="5">
        <v>130</v>
      </c>
      <c r="G96" s="5">
        <v>28</v>
      </c>
      <c r="H96" s="5">
        <v>158</v>
      </c>
      <c r="I96" s="6">
        <v>503800</v>
      </c>
      <c r="J96" s="1">
        <v>2024</v>
      </c>
      <c r="K96" s="6">
        <v>3875.3846153846148</v>
      </c>
      <c r="L96" s="6">
        <v>3188.6075949367091</v>
      </c>
      <c r="M96" t="str">
        <f t="shared" si="14"/>
        <v>Histórico</v>
      </c>
      <c r="P96" s="8"/>
      <c r="Q96" t="str">
        <f t="shared" si="8"/>
        <v>Benchmark local</v>
      </c>
      <c r="R96" t="s">
        <v>206</v>
      </c>
      <c r="W96" s="7">
        <f t="shared" si="15"/>
        <v>0.25</v>
      </c>
      <c r="X96" t="str">
        <f t="shared" si="16"/>
        <v>C · Histórico/secundário</v>
      </c>
      <c r="Y96" t="str">
        <f t="shared" si="17"/>
        <v>Baixa</v>
      </c>
      <c r="AA96" t="str">
        <f t="shared" si="18"/>
        <v>Atualizar preço/status</v>
      </c>
      <c r="AB96" t="str">
        <f t="shared" si="19"/>
        <v>Alta</v>
      </c>
    </row>
    <row r="97" spans="1:28" x14ac:dyDescent="0.3">
      <c r="A97" s="1" t="s">
        <v>64</v>
      </c>
      <c r="B97" s="1" t="s">
        <v>70</v>
      </c>
      <c r="C97" s="1">
        <v>3</v>
      </c>
      <c r="D97" s="1" t="s">
        <v>25</v>
      </c>
      <c r="E97" s="1">
        <v>4</v>
      </c>
      <c r="F97" s="5">
        <v>65</v>
      </c>
      <c r="G97" s="5">
        <v>15</v>
      </c>
      <c r="H97" s="5">
        <v>80</v>
      </c>
      <c r="I97" s="6">
        <v>273900</v>
      </c>
      <c r="J97" s="1">
        <v>2024</v>
      </c>
      <c r="K97" s="6">
        <v>4213.8461538461543</v>
      </c>
      <c r="L97" s="6">
        <v>3423.75</v>
      </c>
      <c r="M97" t="str">
        <f t="shared" si="14"/>
        <v>Histórico</v>
      </c>
      <c r="P97" s="8"/>
      <c r="Q97" t="str">
        <f t="shared" si="8"/>
        <v>Benchmark local</v>
      </c>
      <c r="R97" t="s">
        <v>206</v>
      </c>
      <c r="W97" s="7">
        <f t="shared" si="15"/>
        <v>0.25</v>
      </c>
      <c r="X97" t="str">
        <f t="shared" si="16"/>
        <v>C · Histórico/secundário</v>
      </c>
      <c r="Y97" t="str">
        <f t="shared" si="17"/>
        <v>Baixa</v>
      </c>
      <c r="AA97" t="str">
        <f t="shared" si="18"/>
        <v>Atualizar preço/status</v>
      </c>
      <c r="AB97" t="str">
        <f t="shared" si="19"/>
        <v>Alta</v>
      </c>
    </row>
    <row r="98" spans="1:28" x14ac:dyDescent="0.3">
      <c r="A98" s="1" t="s">
        <v>64</v>
      </c>
      <c r="B98" s="1" t="s">
        <v>81</v>
      </c>
      <c r="C98" s="1">
        <v>3</v>
      </c>
      <c r="D98" s="1" t="s">
        <v>47</v>
      </c>
      <c r="E98" s="1">
        <v>1</v>
      </c>
      <c r="F98" s="5">
        <v>126</v>
      </c>
      <c r="G98" s="5">
        <v>29</v>
      </c>
      <c r="H98" s="5">
        <v>155</v>
      </c>
      <c r="I98" s="6">
        <v>490600</v>
      </c>
      <c r="J98" s="1">
        <v>2024</v>
      </c>
      <c r="K98" s="6">
        <v>3893.6507936507942</v>
      </c>
      <c r="L98" s="6">
        <v>3165.16129032258</v>
      </c>
      <c r="M98" t="str">
        <f t="shared" ref="M98:M129" si="20">IF(A98="The View","Projeto",IF(J98&gt;=2026,"Ativo",IF(J98=2025,"Rever","Histórico")))</f>
        <v>Histórico</v>
      </c>
      <c r="P98" s="8"/>
      <c r="Q98" t="str">
        <f t="shared" ref="Q98:Q161" si="21">IF(A98="The View","Projeto",IF(A98="Le Parc","Benchmark local",IF(OR(A98="Del Mar Waterfront",A98="Aura Living"),"Premium waterfront/marina","A classificar")))</f>
        <v>Benchmark local</v>
      </c>
      <c r="R98" t="s">
        <v>206</v>
      </c>
      <c r="W98" s="7">
        <f t="shared" ref="W98:W129" si="22">IF(A98="The View",1,MAX(0.25,MIN(1,IF(J98&gt;=2026,1,IF(J98=2025,0.8,IF(J98=2024,0.45,0.3)))*IF(Q98="Premium waterfront/marina",1,IF(Q98="Benchmark local",0.7,0.6))*IF(M98="Vendido",0.65,IF(M98="Reservado",0.8,IF(M98="Histórico",0.55,1))))))</f>
        <v>0.25</v>
      </c>
      <c r="X98" t="str">
        <f t="shared" ref="X98:X129" si="23">IF(A98="The View","Projeto",IF(W98&gt;=0.85,"A · Premium ativo",IF(W98&gt;=0.55,"B · Benchmark local","C · Histórico/secundário")))</f>
        <v>C · Histórico/secundário</v>
      </c>
      <c r="Y98" t="str">
        <f t="shared" ref="Y98:Y129" si="24">IF(A98="The View","N/A",IF(AND(N98&lt;&gt;"",O98&lt;&gt;"",P98&lt;&gt;""),"Alta",IF(OR(N98&lt;&gt;"",O98&lt;&gt;"",P98&lt;&gt;""),"Média","Baixa")))</f>
        <v>Baixa</v>
      </c>
      <c r="AA98" t="str">
        <f t="shared" ref="AA98:AA129" si="25">IF(A98="The View","Manter",IF(J98&lt;2026,"Atualizar preço/status",IF(Y98="Baixa","Adicionar fonte/URL/data",IF(W98&lt;0.55,"Rever comparabilidade","OK"))))</f>
        <v>Atualizar preço/status</v>
      </c>
      <c r="AB98" t="str">
        <f t="shared" ref="AB98:AB129" si="26">IF(A98="The View","",IF(OR(J98&lt;2026,Y98="Baixa"),"Alta",IF(W98&lt;0.55,"Média","Baixa")))</f>
        <v>Alta</v>
      </c>
    </row>
    <row r="99" spans="1:28" x14ac:dyDescent="0.3">
      <c r="A99" s="1" t="s">
        <v>64</v>
      </c>
      <c r="B99" s="1" t="s">
        <v>71</v>
      </c>
      <c r="C99" s="1">
        <v>4</v>
      </c>
      <c r="D99" s="1" t="s">
        <v>47</v>
      </c>
      <c r="E99" s="1">
        <v>3</v>
      </c>
      <c r="F99" s="5">
        <v>130</v>
      </c>
      <c r="G99" s="5">
        <v>28</v>
      </c>
      <c r="H99" s="5">
        <v>158</v>
      </c>
      <c r="I99" s="6">
        <v>508200</v>
      </c>
      <c r="J99" s="1">
        <v>2024</v>
      </c>
      <c r="K99" s="6">
        <v>3909.2307692307691</v>
      </c>
      <c r="L99" s="6">
        <v>3216.4556962025322</v>
      </c>
      <c r="M99" t="str">
        <f t="shared" si="20"/>
        <v>Histórico</v>
      </c>
      <c r="P99" s="8"/>
      <c r="Q99" t="str">
        <f t="shared" si="21"/>
        <v>Benchmark local</v>
      </c>
      <c r="R99" t="s">
        <v>206</v>
      </c>
      <c r="W99" s="7">
        <f t="shared" si="22"/>
        <v>0.25</v>
      </c>
      <c r="X99" t="str">
        <f t="shared" si="23"/>
        <v>C · Histórico/secundário</v>
      </c>
      <c r="Y99" t="str">
        <f t="shared" si="24"/>
        <v>Baixa</v>
      </c>
      <c r="AA99" t="str">
        <f t="shared" si="25"/>
        <v>Atualizar preço/status</v>
      </c>
      <c r="AB99" t="str">
        <f t="shared" si="26"/>
        <v>Alta</v>
      </c>
    </row>
    <row r="100" spans="1:28" x14ac:dyDescent="0.3">
      <c r="A100" s="1" t="s">
        <v>64</v>
      </c>
      <c r="B100" s="1" t="s">
        <v>72</v>
      </c>
      <c r="C100" s="1">
        <v>4</v>
      </c>
      <c r="D100" s="1" t="s">
        <v>25</v>
      </c>
      <c r="E100" s="1">
        <v>4</v>
      </c>
      <c r="F100" s="5">
        <v>65</v>
      </c>
      <c r="G100" s="5">
        <v>15</v>
      </c>
      <c r="H100" s="5">
        <v>80</v>
      </c>
      <c r="I100" s="6">
        <v>275550</v>
      </c>
      <c r="J100" s="1">
        <v>2024</v>
      </c>
      <c r="K100" s="6">
        <v>4239.2307692307704</v>
      </c>
      <c r="L100" s="6">
        <v>3444.375</v>
      </c>
      <c r="M100" t="str">
        <f t="shared" si="20"/>
        <v>Histórico</v>
      </c>
      <c r="P100" s="8"/>
      <c r="Q100" t="str">
        <f t="shared" si="21"/>
        <v>Benchmark local</v>
      </c>
      <c r="R100" t="s">
        <v>206</v>
      </c>
      <c r="W100" s="7">
        <f t="shared" si="22"/>
        <v>0.25</v>
      </c>
      <c r="X100" t="str">
        <f t="shared" si="23"/>
        <v>C · Histórico/secundário</v>
      </c>
      <c r="Y100" t="str">
        <f t="shared" si="24"/>
        <v>Baixa</v>
      </c>
      <c r="AA100" t="str">
        <f t="shared" si="25"/>
        <v>Atualizar preço/status</v>
      </c>
      <c r="AB100" t="str">
        <f t="shared" si="26"/>
        <v>Alta</v>
      </c>
    </row>
    <row r="101" spans="1:28" x14ac:dyDescent="0.3">
      <c r="A101" s="1" t="s">
        <v>64</v>
      </c>
      <c r="B101" s="1" t="s">
        <v>85</v>
      </c>
      <c r="C101" s="1">
        <v>4</v>
      </c>
      <c r="D101" s="1" t="s">
        <v>47</v>
      </c>
      <c r="E101" s="1">
        <v>1</v>
      </c>
      <c r="F101" s="5">
        <v>126</v>
      </c>
      <c r="G101" s="5">
        <v>29</v>
      </c>
      <c r="H101" s="5">
        <v>155</v>
      </c>
      <c r="I101" s="6">
        <v>495000</v>
      </c>
      <c r="J101" s="1">
        <v>2024</v>
      </c>
      <c r="K101" s="6">
        <v>3928.571428571428</v>
      </c>
      <c r="L101" s="6">
        <v>3193.5483870967741</v>
      </c>
      <c r="M101" t="str">
        <f t="shared" si="20"/>
        <v>Histórico</v>
      </c>
      <c r="P101" s="8"/>
      <c r="Q101" t="str">
        <f t="shared" si="21"/>
        <v>Benchmark local</v>
      </c>
      <c r="R101" t="s">
        <v>206</v>
      </c>
      <c r="W101" s="7">
        <f t="shared" si="22"/>
        <v>0.25</v>
      </c>
      <c r="X101" t="str">
        <f t="shared" si="23"/>
        <v>C · Histórico/secundário</v>
      </c>
      <c r="Y101" t="str">
        <f t="shared" si="24"/>
        <v>Baixa</v>
      </c>
      <c r="AA101" t="str">
        <f t="shared" si="25"/>
        <v>Atualizar preço/status</v>
      </c>
      <c r="AB101" t="str">
        <f t="shared" si="26"/>
        <v>Alta</v>
      </c>
    </row>
    <row r="102" spans="1:28" x14ac:dyDescent="0.3">
      <c r="A102" s="1" t="s">
        <v>64</v>
      </c>
      <c r="B102" s="1" t="s">
        <v>89</v>
      </c>
      <c r="C102" s="1">
        <v>5</v>
      </c>
      <c r="D102" s="1" t="s">
        <v>47</v>
      </c>
      <c r="E102" s="1">
        <v>3</v>
      </c>
      <c r="F102" s="5">
        <v>130</v>
      </c>
      <c r="G102" s="5">
        <v>28</v>
      </c>
      <c r="H102" s="5">
        <v>158</v>
      </c>
      <c r="I102" s="6">
        <v>509850</v>
      </c>
      <c r="J102" s="1">
        <v>2024</v>
      </c>
      <c r="K102" s="6">
        <v>3921.9230769230771</v>
      </c>
      <c r="L102" s="6">
        <v>3226.8987341772149</v>
      </c>
      <c r="M102" t="str">
        <f t="shared" si="20"/>
        <v>Histórico</v>
      </c>
      <c r="P102" s="8"/>
      <c r="Q102" t="str">
        <f t="shared" si="21"/>
        <v>Benchmark local</v>
      </c>
      <c r="R102" t="s">
        <v>206</v>
      </c>
      <c r="W102" s="7">
        <f t="shared" si="22"/>
        <v>0.25</v>
      </c>
      <c r="X102" t="str">
        <f t="shared" si="23"/>
        <v>C · Histórico/secundário</v>
      </c>
      <c r="Y102" t="str">
        <f t="shared" si="24"/>
        <v>Baixa</v>
      </c>
      <c r="AA102" t="str">
        <f t="shared" si="25"/>
        <v>Atualizar preço/status</v>
      </c>
      <c r="AB102" t="str">
        <f t="shared" si="26"/>
        <v>Alta</v>
      </c>
    </row>
    <row r="103" spans="1:28" x14ac:dyDescent="0.3">
      <c r="A103" s="1" t="s">
        <v>64</v>
      </c>
      <c r="B103" s="1" t="s">
        <v>90</v>
      </c>
      <c r="C103" s="1">
        <v>5</v>
      </c>
      <c r="D103" s="1" t="s">
        <v>25</v>
      </c>
      <c r="E103" s="1">
        <v>4</v>
      </c>
      <c r="F103" s="5">
        <v>65</v>
      </c>
      <c r="G103" s="5">
        <v>15</v>
      </c>
      <c r="H103" s="5">
        <v>80</v>
      </c>
      <c r="I103" s="6">
        <v>277200</v>
      </c>
      <c r="J103" s="1">
        <v>2024</v>
      </c>
      <c r="K103" s="6">
        <v>4264.6153846153848</v>
      </c>
      <c r="L103" s="6">
        <v>3465</v>
      </c>
      <c r="M103" t="str">
        <f t="shared" si="20"/>
        <v>Histórico</v>
      </c>
      <c r="P103" s="8"/>
      <c r="Q103" t="str">
        <f t="shared" si="21"/>
        <v>Benchmark local</v>
      </c>
      <c r="R103" t="s">
        <v>206</v>
      </c>
      <c r="W103" s="7">
        <f t="shared" si="22"/>
        <v>0.25</v>
      </c>
      <c r="X103" t="str">
        <f t="shared" si="23"/>
        <v>C · Histórico/secundário</v>
      </c>
      <c r="Y103" t="str">
        <f t="shared" si="24"/>
        <v>Baixa</v>
      </c>
      <c r="AA103" t="str">
        <f t="shared" si="25"/>
        <v>Atualizar preço/status</v>
      </c>
      <c r="AB103" t="str">
        <f t="shared" si="26"/>
        <v>Alta</v>
      </c>
    </row>
    <row r="104" spans="1:28" x14ac:dyDescent="0.3">
      <c r="A104" s="1" t="s">
        <v>64</v>
      </c>
      <c r="B104" s="1" t="s">
        <v>91</v>
      </c>
      <c r="C104" s="1">
        <v>5</v>
      </c>
      <c r="D104" s="1" t="s">
        <v>47</v>
      </c>
      <c r="E104" s="1">
        <v>1</v>
      </c>
      <c r="F104" s="5">
        <v>126</v>
      </c>
      <c r="G104" s="5">
        <v>29</v>
      </c>
      <c r="H104" s="5">
        <v>155</v>
      </c>
      <c r="I104" s="6">
        <v>496650</v>
      </c>
      <c r="J104" s="1">
        <v>2024</v>
      </c>
      <c r="K104" s="6">
        <v>3941.666666666667</v>
      </c>
      <c r="L104" s="6">
        <v>3204.1935483870971</v>
      </c>
      <c r="M104" t="str">
        <f t="shared" si="20"/>
        <v>Histórico</v>
      </c>
      <c r="P104" s="8"/>
      <c r="Q104" t="str">
        <f t="shared" si="21"/>
        <v>Benchmark local</v>
      </c>
      <c r="R104" t="s">
        <v>206</v>
      </c>
      <c r="W104" s="7">
        <f t="shared" si="22"/>
        <v>0.25</v>
      </c>
      <c r="X104" t="str">
        <f t="shared" si="23"/>
        <v>C · Histórico/secundário</v>
      </c>
      <c r="Y104" t="str">
        <f t="shared" si="24"/>
        <v>Baixa</v>
      </c>
      <c r="AA104" t="str">
        <f t="shared" si="25"/>
        <v>Atualizar preço/status</v>
      </c>
      <c r="AB104" t="str">
        <f t="shared" si="26"/>
        <v>Alta</v>
      </c>
    </row>
    <row r="105" spans="1:28" x14ac:dyDescent="0.3">
      <c r="A105" s="1" t="s">
        <v>64</v>
      </c>
      <c r="B105" s="1" t="s">
        <v>94</v>
      </c>
      <c r="C105" s="1">
        <v>6</v>
      </c>
      <c r="D105" s="1" t="s">
        <v>47</v>
      </c>
      <c r="E105" s="1">
        <v>3</v>
      </c>
      <c r="F105" s="5">
        <v>130</v>
      </c>
      <c r="G105" s="5">
        <v>28</v>
      </c>
      <c r="H105" s="5">
        <v>158</v>
      </c>
      <c r="I105" s="6">
        <v>520850</v>
      </c>
      <c r="J105" s="1">
        <v>2024</v>
      </c>
      <c r="K105" s="6">
        <v>4006.538461538461</v>
      </c>
      <c r="L105" s="6">
        <v>3296.5189873417721</v>
      </c>
      <c r="M105" t="str">
        <f t="shared" si="20"/>
        <v>Histórico</v>
      </c>
      <c r="P105" s="8"/>
      <c r="Q105" t="str">
        <f t="shared" si="21"/>
        <v>Benchmark local</v>
      </c>
      <c r="R105" t="s">
        <v>206</v>
      </c>
      <c r="W105" s="7">
        <f t="shared" si="22"/>
        <v>0.25</v>
      </c>
      <c r="X105" t="str">
        <f t="shared" si="23"/>
        <v>C · Histórico/secundário</v>
      </c>
      <c r="Y105" t="str">
        <f t="shared" si="24"/>
        <v>Baixa</v>
      </c>
      <c r="AA105" t="str">
        <f t="shared" si="25"/>
        <v>Atualizar preço/status</v>
      </c>
      <c r="AB105" t="str">
        <f t="shared" si="26"/>
        <v>Alta</v>
      </c>
    </row>
    <row r="106" spans="1:28" x14ac:dyDescent="0.3">
      <c r="A106" s="1" t="s">
        <v>64</v>
      </c>
      <c r="B106" s="1" t="s">
        <v>95</v>
      </c>
      <c r="C106" s="1">
        <v>6</v>
      </c>
      <c r="D106" s="1" t="s">
        <v>25</v>
      </c>
      <c r="E106" s="1">
        <v>4</v>
      </c>
      <c r="F106" s="5">
        <v>65</v>
      </c>
      <c r="G106" s="5">
        <v>15</v>
      </c>
      <c r="H106" s="5">
        <v>80</v>
      </c>
      <c r="I106" s="6">
        <v>288200</v>
      </c>
      <c r="J106" s="1">
        <v>2024</v>
      </c>
      <c r="K106" s="6">
        <v>4433.8461538461543</v>
      </c>
      <c r="L106" s="6">
        <v>3602.5</v>
      </c>
      <c r="M106" t="str">
        <f t="shared" si="20"/>
        <v>Histórico</v>
      </c>
      <c r="P106" s="8"/>
      <c r="Q106" t="str">
        <f t="shared" si="21"/>
        <v>Benchmark local</v>
      </c>
      <c r="R106" t="s">
        <v>206</v>
      </c>
      <c r="W106" s="7">
        <f t="shared" si="22"/>
        <v>0.25</v>
      </c>
      <c r="X106" t="str">
        <f t="shared" si="23"/>
        <v>C · Histórico/secundário</v>
      </c>
      <c r="Y106" t="str">
        <f t="shared" si="24"/>
        <v>Baixa</v>
      </c>
      <c r="AA106" t="str">
        <f t="shared" si="25"/>
        <v>Atualizar preço/status</v>
      </c>
      <c r="AB106" t="str">
        <f t="shared" si="26"/>
        <v>Alta</v>
      </c>
    </row>
    <row r="107" spans="1:28" x14ac:dyDescent="0.3">
      <c r="A107" s="1" t="s">
        <v>64</v>
      </c>
      <c r="B107" s="1" t="s">
        <v>96</v>
      </c>
      <c r="C107" s="1">
        <v>6</v>
      </c>
      <c r="D107" s="1" t="s">
        <v>47</v>
      </c>
      <c r="E107" s="1">
        <v>1</v>
      </c>
      <c r="F107" s="5">
        <v>126</v>
      </c>
      <c r="G107" s="5">
        <v>29</v>
      </c>
      <c r="H107" s="5">
        <v>155</v>
      </c>
      <c r="I107" s="6">
        <v>507650</v>
      </c>
      <c r="J107" s="1">
        <v>2024</v>
      </c>
      <c r="K107" s="6">
        <v>4028.968253968254</v>
      </c>
      <c r="L107" s="6">
        <v>3275.16129032258</v>
      </c>
      <c r="M107" t="str">
        <f t="shared" si="20"/>
        <v>Histórico</v>
      </c>
      <c r="P107" s="8"/>
      <c r="Q107" t="str">
        <f t="shared" si="21"/>
        <v>Benchmark local</v>
      </c>
      <c r="R107" t="s">
        <v>206</v>
      </c>
      <c r="W107" s="7">
        <f t="shared" si="22"/>
        <v>0.25</v>
      </c>
      <c r="X107" t="str">
        <f t="shared" si="23"/>
        <v>C · Histórico/secundário</v>
      </c>
      <c r="Y107" t="str">
        <f t="shared" si="24"/>
        <v>Baixa</v>
      </c>
      <c r="AA107" t="str">
        <f t="shared" si="25"/>
        <v>Atualizar preço/status</v>
      </c>
      <c r="AB107" t="str">
        <f t="shared" si="26"/>
        <v>Alta</v>
      </c>
    </row>
    <row r="108" spans="1:28" x14ac:dyDescent="0.3">
      <c r="A108" s="1" t="s">
        <v>99</v>
      </c>
      <c r="B108" s="1" t="s">
        <v>100</v>
      </c>
      <c r="C108" s="1">
        <v>1</v>
      </c>
      <c r="D108" s="1" t="s">
        <v>25</v>
      </c>
      <c r="E108" s="1">
        <v>1</v>
      </c>
      <c r="F108" s="5">
        <v>99.74</v>
      </c>
      <c r="G108" s="5">
        <v>43.37</v>
      </c>
      <c r="H108" s="5">
        <v>143.11000000000001</v>
      </c>
      <c r="I108" s="6">
        <v>545000</v>
      </c>
      <c r="J108" s="1">
        <v>2026</v>
      </c>
      <c r="K108" s="6">
        <v>5464.2069380389012</v>
      </c>
      <c r="L108" s="6">
        <v>3808.259380895815</v>
      </c>
      <c r="M108" t="str">
        <f t="shared" si="20"/>
        <v>Projeto</v>
      </c>
      <c r="P108" s="8"/>
      <c r="Q108" t="str">
        <f t="shared" si="21"/>
        <v>Projeto</v>
      </c>
      <c r="R108" t="s">
        <v>206</v>
      </c>
      <c r="W108" s="7">
        <f t="shared" si="22"/>
        <v>1</v>
      </c>
      <c r="X108" t="str">
        <f t="shared" si="23"/>
        <v>Projeto</v>
      </c>
      <c r="Y108" t="str">
        <f t="shared" si="24"/>
        <v>N/A</v>
      </c>
      <c r="AA108" t="str">
        <f t="shared" si="25"/>
        <v>Manter</v>
      </c>
      <c r="AB108" t="str">
        <f t="shared" si="26"/>
        <v/>
      </c>
    </row>
    <row r="109" spans="1:28" x14ac:dyDescent="0.3">
      <c r="A109" s="1" t="s">
        <v>99</v>
      </c>
      <c r="B109" s="1" t="s">
        <v>101</v>
      </c>
      <c r="C109" s="1">
        <v>1</v>
      </c>
      <c r="D109" s="1" t="s">
        <v>15</v>
      </c>
      <c r="E109" s="1">
        <v>2</v>
      </c>
      <c r="F109" s="5">
        <v>123.72</v>
      </c>
      <c r="G109" s="5">
        <v>41.1</v>
      </c>
      <c r="H109" s="5">
        <v>164.82</v>
      </c>
      <c r="I109" s="6">
        <v>593000</v>
      </c>
      <c r="J109" s="1">
        <v>2026</v>
      </c>
      <c r="K109" s="6">
        <v>4793.0811509860978</v>
      </c>
      <c r="L109" s="6">
        <v>3597.864336852324</v>
      </c>
      <c r="M109" t="str">
        <f t="shared" si="20"/>
        <v>Projeto</v>
      </c>
      <c r="P109" s="8"/>
      <c r="Q109" t="str">
        <f t="shared" si="21"/>
        <v>Projeto</v>
      </c>
      <c r="R109" t="s">
        <v>206</v>
      </c>
      <c r="W109" s="7">
        <f t="shared" si="22"/>
        <v>1</v>
      </c>
      <c r="X109" t="str">
        <f t="shared" si="23"/>
        <v>Projeto</v>
      </c>
      <c r="Y109" t="str">
        <f t="shared" si="24"/>
        <v>N/A</v>
      </c>
      <c r="AA109" t="str">
        <f t="shared" si="25"/>
        <v>Manter</v>
      </c>
      <c r="AB109" t="str">
        <f t="shared" si="26"/>
        <v/>
      </c>
    </row>
    <row r="110" spans="1:28" x14ac:dyDescent="0.3">
      <c r="A110" s="1" t="s">
        <v>99</v>
      </c>
      <c r="B110" s="1" t="s">
        <v>102</v>
      </c>
      <c r="C110" s="1">
        <v>1</v>
      </c>
      <c r="D110" s="1" t="s">
        <v>25</v>
      </c>
      <c r="E110" s="1">
        <v>4</v>
      </c>
      <c r="F110" s="5">
        <v>77.56</v>
      </c>
      <c r="G110" s="5">
        <v>16</v>
      </c>
      <c r="H110" s="5">
        <v>93.56</v>
      </c>
      <c r="I110" s="6">
        <v>380000</v>
      </c>
      <c r="J110" s="1">
        <v>2026</v>
      </c>
      <c r="K110" s="6">
        <v>4899.4326972666322</v>
      </c>
      <c r="L110" s="6">
        <v>4061.5647712697728</v>
      </c>
      <c r="M110" t="str">
        <f t="shared" si="20"/>
        <v>Projeto</v>
      </c>
      <c r="P110" s="8"/>
      <c r="Q110" t="str">
        <f t="shared" si="21"/>
        <v>Projeto</v>
      </c>
      <c r="R110" t="s">
        <v>206</v>
      </c>
      <c r="W110" s="7">
        <f t="shared" si="22"/>
        <v>1</v>
      </c>
      <c r="X110" t="str">
        <f t="shared" si="23"/>
        <v>Projeto</v>
      </c>
      <c r="Y110" t="str">
        <f t="shared" si="24"/>
        <v>N/A</v>
      </c>
      <c r="AA110" t="str">
        <f t="shared" si="25"/>
        <v>Manter</v>
      </c>
      <c r="AB110" t="str">
        <f t="shared" si="26"/>
        <v/>
      </c>
    </row>
    <row r="111" spans="1:28" x14ac:dyDescent="0.3">
      <c r="A111" s="1" t="s">
        <v>99</v>
      </c>
      <c r="B111" s="1" t="s">
        <v>103</v>
      </c>
      <c r="C111" s="1">
        <v>1</v>
      </c>
      <c r="D111" s="1" t="s">
        <v>104</v>
      </c>
      <c r="E111" s="1">
        <v>4</v>
      </c>
      <c r="F111" s="5">
        <v>102.52</v>
      </c>
      <c r="G111" s="5">
        <v>15.48</v>
      </c>
      <c r="H111" s="5">
        <v>118</v>
      </c>
      <c r="I111" s="6">
        <v>475000</v>
      </c>
      <c r="J111" s="1">
        <v>2026</v>
      </c>
      <c r="K111" s="6">
        <v>4633.2422941865007</v>
      </c>
      <c r="L111" s="6">
        <v>4025.4237288135591</v>
      </c>
      <c r="M111" t="str">
        <f t="shared" si="20"/>
        <v>Projeto</v>
      </c>
      <c r="P111" s="8"/>
      <c r="Q111" t="str">
        <f t="shared" si="21"/>
        <v>Projeto</v>
      </c>
      <c r="R111" t="s">
        <v>206</v>
      </c>
      <c r="W111" s="7">
        <f t="shared" si="22"/>
        <v>1</v>
      </c>
      <c r="X111" t="str">
        <f t="shared" si="23"/>
        <v>Projeto</v>
      </c>
      <c r="Y111" t="str">
        <f t="shared" si="24"/>
        <v>N/A</v>
      </c>
      <c r="AA111" t="str">
        <f t="shared" si="25"/>
        <v>Manter</v>
      </c>
      <c r="AB111" t="str">
        <f t="shared" si="26"/>
        <v/>
      </c>
    </row>
    <row r="112" spans="1:28" x14ac:dyDescent="0.3">
      <c r="A112" s="1" t="s">
        <v>99</v>
      </c>
      <c r="B112" s="1" t="s">
        <v>105</v>
      </c>
      <c r="C112" s="1">
        <v>1</v>
      </c>
      <c r="D112" s="1" t="s">
        <v>104</v>
      </c>
      <c r="E112" s="1">
        <v>4</v>
      </c>
      <c r="F112" s="5">
        <v>97.5</v>
      </c>
      <c r="G112" s="5">
        <v>15.7</v>
      </c>
      <c r="H112" s="5">
        <v>113.2</v>
      </c>
      <c r="I112" s="6">
        <v>450000</v>
      </c>
      <c r="J112" s="1">
        <v>2026</v>
      </c>
      <c r="K112" s="6">
        <v>4615.3846153846152</v>
      </c>
      <c r="L112" s="6">
        <v>3975.2650176678439</v>
      </c>
      <c r="M112" t="str">
        <f t="shared" si="20"/>
        <v>Projeto</v>
      </c>
      <c r="P112" s="8"/>
      <c r="Q112" t="str">
        <f t="shared" si="21"/>
        <v>Projeto</v>
      </c>
      <c r="R112" t="s">
        <v>206</v>
      </c>
      <c r="W112" s="7">
        <f t="shared" si="22"/>
        <v>1</v>
      </c>
      <c r="X112" t="str">
        <f t="shared" si="23"/>
        <v>Projeto</v>
      </c>
      <c r="Y112" t="str">
        <f t="shared" si="24"/>
        <v>N/A</v>
      </c>
      <c r="AA112" t="str">
        <f t="shared" si="25"/>
        <v>Manter</v>
      </c>
      <c r="AB112" t="str">
        <f t="shared" si="26"/>
        <v/>
      </c>
    </row>
    <row r="113" spans="1:28" x14ac:dyDescent="0.3">
      <c r="A113" s="1" t="s">
        <v>99</v>
      </c>
      <c r="B113" s="1" t="s">
        <v>106</v>
      </c>
      <c r="C113" s="1">
        <v>1</v>
      </c>
      <c r="D113" s="1" t="s">
        <v>107</v>
      </c>
      <c r="E113" s="1">
        <v>3</v>
      </c>
      <c r="F113" s="5">
        <v>131.19999999999999</v>
      </c>
      <c r="G113" s="5">
        <v>31.68</v>
      </c>
      <c r="H113" s="5">
        <v>162.88</v>
      </c>
      <c r="I113" s="6">
        <v>600000</v>
      </c>
      <c r="J113" s="1">
        <v>2026</v>
      </c>
      <c r="K113" s="6">
        <v>4573.1707317073178</v>
      </c>
      <c r="L113" s="6">
        <v>3683.6935166994108</v>
      </c>
      <c r="M113" t="str">
        <f t="shared" si="20"/>
        <v>Projeto</v>
      </c>
      <c r="P113" s="8"/>
      <c r="Q113" t="str">
        <f t="shared" si="21"/>
        <v>Projeto</v>
      </c>
      <c r="R113" t="s">
        <v>206</v>
      </c>
      <c r="W113" s="7">
        <f t="shared" si="22"/>
        <v>1</v>
      </c>
      <c r="X113" t="str">
        <f t="shared" si="23"/>
        <v>Projeto</v>
      </c>
      <c r="Y113" t="str">
        <f t="shared" si="24"/>
        <v>N/A</v>
      </c>
      <c r="AA113" t="str">
        <f t="shared" si="25"/>
        <v>Manter</v>
      </c>
      <c r="AB113" t="str">
        <f t="shared" si="26"/>
        <v/>
      </c>
    </row>
    <row r="114" spans="1:28" x14ac:dyDescent="0.3">
      <c r="A114" s="1" t="s">
        <v>99</v>
      </c>
      <c r="B114" s="1" t="s">
        <v>108</v>
      </c>
      <c r="C114" s="1">
        <v>1</v>
      </c>
      <c r="D114" s="1" t="s">
        <v>15</v>
      </c>
      <c r="E114" s="1">
        <v>3</v>
      </c>
      <c r="F114" s="5">
        <v>105.04</v>
      </c>
      <c r="G114" s="5">
        <v>39.29</v>
      </c>
      <c r="H114" s="5">
        <v>144.33000000000001</v>
      </c>
      <c r="I114" s="6">
        <v>507000</v>
      </c>
      <c r="J114" s="1">
        <v>2026</v>
      </c>
      <c r="K114" s="6">
        <v>4826.7326732673264</v>
      </c>
      <c r="L114" s="6">
        <v>3512.783205154853</v>
      </c>
      <c r="M114" t="str">
        <f t="shared" si="20"/>
        <v>Projeto</v>
      </c>
      <c r="P114" s="8"/>
      <c r="Q114" t="str">
        <f t="shared" si="21"/>
        <v>Projeto</v>
      </c>
      <c r="R114" t="s">
        <v>206</v>
      </c>
      <c r="W114" s="7">
        <f t="shared" si="22"/>
        <v>1</v>
      </c>
      <c r="X114" t="str">
        <f t="shared" si="23"/>
        <v>Projeto</v>
      </c>
      <c r="Y114" t="str">
        <f t="shared" si="24"/>
        <v>N/A</v>
      </c>
      <c r="AA114" t="str">
        <f t="shared" si="25"/>
        <v>Manter</v>
      </c>
      <c r="AB114" t="str">
        <f t="shared" si="26"/>
        <v/>
      </c>
    </row>
    <row r="115" spans="1:28" x14ac:dyDescent="0.3">
      <c r="A115" s="1" t="s">
        <v>99</v>
      </c>
      <c r="B115" s="1" t="s">
        <v>109</v>
      </c>
      <c r="C115" s="1">
        <v>1</v>
      </c>
      <c r="D115" s="1" t="s">
        <v>25</v>
      </c>
      <c r="E115" s="1">
        <v>3</v>
      </c>
      <c r="F115" s="5">
        <v>53.33</v>
      </c>
      <c r="G115" s="5">
        <v>20.67</v>
      </c>
      <c r="H115" s="5">
        <v>74</v>
      </c>
      <c r="I115" s="6">
        <v>380000</v>
      </c>
      <c r="J115" s="1">
        <v>2026</v>
      </c>
      <c r="K115" s="6">
        <v>7125.4453403337711</v>
      </c>
      <c r="L115" s="6">
        <v>5135.135135135135</v>
      </c>
      <c r="M115" t="str">
        <f t="shared" si="20"/>
        <v>Projeto</v>
      </c>
      <c r="P115" s="8"/>
      <c r="Q115" t="str">
        <f t="shared" si="21"/>
        <v>Projeto</v>
      </c>
      <c r="R115" t="s">
        <v>206</v>
      </c>
      <c r="W115" s="7">
        <f t="shared" si="22"/>
        <v>1</v>
      </c>
      <c r="X115" t="str">
        <f t="shared" si="23"/>
        <v>Projeto</v>
      </c>
      <c r="Y115" t="str">
        <f t="shared" si="24"/>
        <v>N/A</v>
      </c>
      <c r="AA115" t="str">
        <f t="shared" si="25"/>
        <v>Manter</v>
      </c>
      <c r="AB115" t="str">
        <f t="shared" si="26"/>
        <v/>
      </c>
    </row>
    <row r="116" spans="1:28" x14ac:dyDescent="0.3">
      <c r="A116" s="1" t="s">
        <v>99</v>
      </c>
      <c r="B116" s="1" t="s">
        <v>110</v>
      </c>
      <c r="C116" s="1">
        <v>2</v>
      </c>
      <c r="D116" s="1" t="s">
        <v>47</v>
      </c>
      <c r="E116" s="1">
        <v>1</v>
      </c>
      <c r="F116" s="5">
        <v>157.13999999999999</v>
      </c>
      <c r="G116" s="5">
        <v>64.62</v>
      </c>
      <c r="H116" s="5">
        <v>221.76</v>
      </c>
      <c r="I116" s="6">
        <v>880000</v>
      </c>
      <c r="J116" s="1">
        <v>2026</v>
      </c>
      <c r="K116" s="6">
        <v>5600.1018200330918</v>
      </c>
      <c r="L116" s="6">
        <v>3968.2539682539682</v>
      </c>
      <c r="M116" t="str">
        <f t="shared" si="20"/>
        <v>Projeto</v>
      </c>
      <c r="P116" s="8"/>
      <c r="Q116" t="str">
        <f t="shared" si="21"/>
        <v>Projeto</v>
      </c>
      <c r="R116" t="s">
        <v>206</v>
      </c>
      <c r="W116" s="7">
        <f t="shared" si="22"/>
        <v>1</v>
      </c>
      <c r="X116" t="str">
        <f t="shared" si="23"/>
        <v>Projeto</v>
      </c>
      <c r="Y116" t="str">
        <f t="shared" si="24"/>
        <v>N/A</v>
      </c>
      <c r="AA116" t="str">
        <f t="shared" si="25"/>
        <v>Manter</v>
      </c>
      <c r="AB116" t="str">
        <f t="shared" si="26"/>
        <v/>
      </c>
    </row>
    <row r="117" spans="1:28" x14ac:dyDescent="0.3">
      <c r="A117" s="1" t="s">
        <v>99</v>
      </c>
      <c r="B117" s="1" t="s">
        <v>111</v>
      </c>
      <c r="C117" s="1">
        <v>2</v>
      </c>
      <c r="D117" s="1" t="s">
        <v>15</v>
      </c>
      <c r="E117" s="1">
        <v>2</v>
      </c>
      <c r="F117" s="5">
        <v>124.52</v>
      </c>
      <c r="G117" s="5">
        <v>40.97</v>
      </c>
      <c r="H117" s="5">
        <v>165.49</v>
      </c>
      <c r="I117" s="6">
        <v>610000</v>
      </c>
      <c r="J117" s="1">
        <v>2026</v>
      </c>
      <c r="K117" s="6">
        <v>4898.8114359139099</v>
      </c>
      <c r="L117" s="6">
        <v>3686.023324672185</v>
      </c>
      <c r="M117" t="str">
        <f t="shared" si="20"/>
        <v>Projeto</v>
      </c>
      <c r="P117" s="8"/>
      <c r="Q117" t="str">
        <f t="shared" si="21"/>
        <v>Projeto</v>
      </c>
      <c r="R117" t="s">
        <v>206</v>
      </c>
      <c r="W117" s="7">
        <f t="shared" si="22"/>
        <v>1</v>
      </c>
      <c r="X117" t="str">
        <f t="shared" si="23"/>
        <v>Projeto</v>
      </c>
      <c r="Y117" t="str">
        <f t="shared" si="24"/>
        <v>N/A</v>
      </c>
      <c r="AA117" t="str">
        <f t="shared" si="25"/>
        <v>Manter</v>
      </c>
      <c r="AB117" t="str">
        <f t="shared" si="26"/>
        <v/>
      </c>
    </row>
    <row r="118" spans="1:28" x14ac:dyDescent="0.3">
      <c r="A118" s="1" t="s">
        <v>99</v>
      </c>
      <c r="B118" s="1" t="s">
        <v>112</v>
      </c>
      <c r="C118" s="1">
        <v>2</v>
      </c>
      <c r="D118" s="1" t="s">
        <v>25</v>
      </c>
      <c r="E118" s="1">
        <v>4</v>
      </c>
      <c r="F118" s="5">
        <v>76.7</v>
      </c>
      <c r="G118" s="5">
        <v>16.96</v>
      </c>
      <c r="H118" s="5">
        <v>93.66</v>
      </c>
      <c r="I118" s="6">
        <v>387000</v>
      </c>
      <c r="J118" s="1">
        <v>2026</v>
      </c>
      <c r="K118" s="6">
        <v>5045.6323337679269</v>
      </c>
      <c r="L118" s="6">
        <v>4131.9666880205004</v>
      </c>
      <c r="M118" t="str">
        <f t="shared" si="20"/>
        <v>Projeto</v>
      </c>
      <c r="P118" s="8"/>
      <c r="Q118" t="str">
        <f t="shared" si="21"/>
        <v>Projeto</v>
      </c>
      <c r="R118" t="s">
        <v>206</v>
      </c>
      <c r="W118" s="7">
        <f t="shared" si="22"/>
        <v>1</v>
      </c>
      <c r="X118" t="str">
        <f t="shared" si="23"/>
        <v>Projeto</v>
      </c>
      <c r="Y118" t="str">
        <f t="shared" si="24"/>
        <v>N/A</v>
      </c>
      <c r="AA118" t="str">
        <f t="shared" si="25"/>
        <v>Manter</v>
      </c>
      <c r="AB118" t="str">
        <f t="shared" si="26"/>
        <v/>
      </c>
    </row>
    <row r="119" spans="1:28" x14ac:dyDescent="0.3">
      <c r="A119" s="1" t="s">
        <v>99</v>
      </c>
      <c r="B119" s="1" t="s">
        <v>113</v>
      </c>
      <c r="C119" s="1">
        <v>2</v>
      </c>
      <c r="D119" s="1" t="s">
        <v>104</v>
      </c>
      <c r="E119" s="1">
        <v>4</v>
      </c>
      <c r="F119" s="5">
        <v>90.43</v>
      </c>
      <c r="G119" s="5">
        <v>27.07</v>
      </c>
      <c r="H119" s="5">
        <v>117.5</v>
      </c>
      <c r="I119" s="6">
        <v>428000</v>
      </c>
      <c r="J119" s="1">
        <v>2026</v>
      </c>
      <c r="K119" s="6">
        <v>4732.942607541745</v>
      </c>
      <c r="L119" s="6">
        <v>3642.5531914893618</v>
      </c>
      <c r="M119" t="str">
        <f t="shared" si="20"/>
        <v>Projeto</v>
      </c>
      <c r="P119" s="8"/>
      <c r="Q119" t="str">
        <f t="shared" si="21"/>
        <v>Projeto</v>
      </c>
      <c r="R119" t="s">
        <v>206</v>
      </c>
      <c r="W119" s="7">
        <f t="shared" si="22"/>
        <v>1</v>
      </c>
      <c r="X119" t="str">
        <f t="shared" si="23"/>
        <v>Projeto</v>
      </c>
      <c r="Y119" t="str">
        <f t="shared" si="24"/>
        <v>N/A</v>
      </c>
      <c r="AA119" t="str">
        <f t="shared" si="25"/>
        <v>Manter</v>
      </c>
      <c r="AB119" t="str">
        <f t="shared" si="26"/>
        <v/>
      </c>
    </row>
    <row r="120" spans="1:28" x14ac:dyDescent="0.3">
      <c r="A120" s="1" t="s">
        <v>99</v>
      </c>
      <c r="B120" s="1" t="s">
        <v>114</v>
      </c>
      <c r="C120" s="1">
        <v>2</v>
      </c>
      <c r="D120" s="1" t="s">
        <v>104</v>
      </c>
      <c r="E120" s="1">
        <v>4</v>
      </c>
      <c r="F120" s="5">
        <v>87</v>
      </c>
      <c r="G120" s="5">
        <v>22.5</v>
      </c>
      <c r="H120" s="5">
        <v>109.5</v>
      </c>
      <c r="I120" s="6">
        <v>413000</v>
      </c>
      <c r="J120" s="1">
        <v>2026</v>
      </c>
      <c r="K120" s="6">
        <v>4747.1264367816093</v>
      </c>
      <c r="L120" s="6">
        <v>3771.6894977168949</v>
      </c>
      <c r="M120" t="str">
        <f t="shared" si="20"/>
        <v>Projeto</v>
      </c>
      <c r="P120" s="8"/>
      <c r="Q120" t="str">
        <f t="shared" si="21"/>
        <v>Projeto</v>
      </c>
      <c r="R120" t="s">
        <v>206</v>
      </c>
      <c r="W120" s="7">
        <f t="shared" si="22"/>
        <v>1</v>
      </c>
      <c r="X120" t="str">
        <f t="shared" si="23"/>
        <v>Projeto</v>
      </c>
      <c r="Y120" t="str">
        <f t="shared" si="24"/>
        <v>N/A</v>
      </c>
      <c r="AA120" t="str">
        <f t="shared" si="25"/>
        <v>Manter</v>
      </c>
      <c r="AB120" t="str">
        <f t="shared" si="26"/>
        <v/>
      </c>
    </row>
    <row r="121" spans="1:28" x14ac:dyDescent="0.3">
      <c r="A121" s="1" t="s">
        <v>99</v>
      </c>
      <c r="B121" s="1" t="s">
        <v>115</v>
      </c>
      <c r="C121" s="1">
        <v>2</v>
      </c>
      <c r="D121" s="1" t="s">
        <v>15</v>
      </c>
      <c r="E121" s="1">
        <v>3</v>
      </c>
      <c r="F121" s="5">
        <v>119.59</v>
      </c>
      <c r="G121" s="5">
        <v>43.18</v>
      </c>
      <c r="H121" s="5">
        <v>162.77000000000001</v>
      </c>
      <c r="I121" s="6">
        <v>582000</v>
      </c>
      <c r="J121" s="1">
        <v>2026</v>
      </c>
      <c r="K121" s="6">
        <v>4866.6276444518771</v>
      </c>
      <c r="L121" s="6">
        <v>3575.5974688210358</v>
      </c>
      <c r="M121" t="str">
        <f t="shared" si="20"/>
        <v>Projeto</v>
      </c>
      <c r="P121" s="8"/>
      <c r="Q121" t="str">
        <f t="shared" si="21"/>
        <v>Projeto</v>
      </c>
      <c r="R121" t="s">
        <v>206</v>
      </c>
      <c r="W121" s="7">
        <f t="shared" si="22"/>
        <v>1</v>
      </c>
      <c r="X121" t="str">
        <f t="shared" si="23"/>
        <v>Projeto</v>
      </c>
      <c r="Y121" t="str">
        <f t="shared" si="24"/>
        <v>N/A</v>
      </c>
      <c r="AA121" t="str">
        <f t="shared" si="25"/>
        <v>Manter</v>
      </c>
      <c r="AB121" t="str">
        <f t="shared" si="26"/>
        <v/>
      </c>
    </row>
    <row r="122" spans="1:28" x14ac:dyDescent="0.3">
      <c r="A122" s="1" t="s">
        <v>99</v>
      </c>
      <c r="B122" s="1" t="s">
        <v>116</v>
      </c>
      <c r="C122" s="1">
        <v>2</v>
      </c>
      <c r="D122" s="1" t="s">
        <v>15</v>
      </c>
      <c r="E122" s="1">
        <v>3</v>
      </c>
      <c r="F122" s="5">
        <v>104.88</v>
      </c>
      <c r="G122" s="5">
        <v>39.35</v>
      </c>
      <c r="H122" s="5">
        <v>144.22999999999999</v>
      </c>
      <c r="I122" s="6">
        <v>561000</v>
      </c>
      <c r="J122" s="1">
        <v>2026</v>
      </c>
      <c r="K122" s="6">
        <v>5348.9702517162477</v>
      </c>
      <c r="L122" s="6">
        <v>3889.6207446439721</v>
      </c>
      <c r="M122" t="str">
        <f t="shared" si="20"/>
        <v>Projeto</v>
      </c>
      <c r="P122" s="8"/>
      <c r="Q122" t="str">
        <f t="shared" si="21"/>
        <v>Projeto</v>
      </c>
      <c r="R122" t="s">
        <v>206</v>
      </c>
      <c r="W122" s="7">
        <f t="shared" si="22"/>
        <v>1</v>
      </c>
      <c r="X122" t="str">
        <f t="shared" si="23"/>
        <v>Projeto</v>
      </c>
      <c r="Y122" t="str">
        <f t="shared" si="24"/>
        <v>N/A</v>
      </c>
      <c r="AA122" t="str">
        <f t="shared" si="25"/>
        <v>Manter</v>
      </c>
      <c r="AB122" t="str">
        <f t="shared" si="26"/>
        <v/>
      </c>
    </row>
    <row r="123" spans="1:28" x14ac:dyDescent="0.3">
      <c r="A123" s="1" t="s">
        <v>99</v>
      </c>
      <c r="B123" s="1" t="s">
        <v>117</v>
      </c>
      <c r="C123" s="1">
        <v>3</v>
      </c>
      <c r="D123" s="1" t="s">
        <v>47</v>
      </c>
      <c r="E123" s="1">
        <v>1</v>
      </c>
      <c r="F123" s="5">
        <v>158</v>
      </c>
      <c r="G123" s="5">
        <v>65.349999999999994</v>
      </c>
      <c r="H123" s="5">
        <v>223.35</v>
      </c>
      <c r="I123" s="6">
        <v>950000</v>
      </c>
      <c r="J123" s="1">
        <v>2026</v>
      </c>
      <c r="K123" s="6">
        <v>6012.658227848101</v>
      </c>
      <c r="L123" s="6">
        <v>4253.4139243340051</v>
      </c>
      <c r="M123" t="str">
        <f t="shared" si="20"/>
        <v>Projeto</v>
      </c>
      <c r="P123" s="8"/>
      <c r="Q123" t="str">
        <f t="shared" si="21"/>
        <v>Projeto</v>
      </c>
      <c r="R123" t="s">
        <v>206</v>
      </c>
      <c r="W123" s="7">
        <f t="shared" si="22"/>
        <v>1</v>
      </c>
      <c r="X123" t="str">
        <f t="shared" si="23"/>
        <v>Projeto</v>
      </c>
      <c r="Y123" t="str">
        <f t="shared" si="24"/>
        <v>N/A</v>
      </c>
      <c r="AA123" t="str">
        <f t="shared" si="25"/>
        <v>Manter</v>
      </c>
      <c r="AB123" t="str">
        <f t="shared" si="26"/>
        <v/>
      </c>
    </row>
    <row r="124" spans="1:28" x14ac:dyDescent="0.3">
      <c r="A124" s="1" t="s">
        <v>99</v>
      </c>
      <c r="B124" s="1" t="s">
        <v>118</v>
      </c>
      <c r="C124" s="1">
        <v>3</v>
      </c>
      <c r="D124" s="1" t="s">
        <v>15</v>
      </c>
      <c r="E124" s="1">
        <v>2</v>
      </c>
      <c r="F124" s="5">
        <v>126.7</v>
      </c>
      <c r="G124" s="5">
        <v>41.5</v>
      </c>
      <c r="H124" s="5">
        <v>168.2</v>
      </c>
      <c r="I124" s="6">
        <v>622000</v>
      </c>
      <c r="J124" s="1">
        <v>2026</v>
      </c>
      <c r="K124" s="6">
        <v>4909.2344119968429</v>
      </c>
      <c r="L124" s="6">
        <v>3697.9785969084428</v>
      </c>
      <c r="M124" t="str">
        <f t="shared" si="20"/>
        <v>Projeto</v>
      </c>
      <c r="P124" s="8"/>
      <c r="Q124" t="str">
        <f t="shared" si="21"/>
        <v>Projeto</v>
      </c>
      <c r="R124" t="s">
        <v>206</v>
      </c>
      <c r="W124" s="7">
        <f t="shared" si="22"/>
        <v>1</v>
      </c>
      <c r="X124" t="str">
        <f t="shared" si="23"/>
        <v>Projeto</v>
      </c>
      <c r="Y124" t="str">
        <f t="shared" si="24"/>
        <v>N/A</v>
      </c>
      <c r="AA124" t="str">
        <f t="shared" si="25"/>
        <v>Manter</v>
      </c>
      <c r="AB124" t="str">
        <f t="shared" si="26"/>
        <v/>
      </c>
    </row>
    <row r="125" spans="1:28" x14ac:dyDescent="0.3">
      <c r="A125" s="1" t="s">
        <v>99</v>
      </c>
      <c r="B125" s="1" t="s">
        <v>119</v>
      </c>
      <c r="C125" s="1">
        <v>3</v>
      </c>
      <c r="D125" s="1" t="s">
        <v>25</v>
      </c>
      <c r="E125" s="1">
        <v>4</v>
      </c>
      <c r="F125" s="5">
        <v>77.81</v>
      </c>
      <c r="G125" s="5">
        <v>16.41</v>
      </c>
      <c r="H125" s="5">
        <v>94.22</v>
      </c>
      <c r="I125" s="6">
        <v>393000</v>
      </c>
      <c r="J125" s="1">
        <v>2026</v>
      </c>
      <c r="K125" s="6">
        <v>5050.764683202673</v>
      </c>
      <c r="L125" s="6">
        <v>4171.0889407769046</v>
      </c>
      <c r="M125" t="str">
        <f t="shared" si="20"/>
        <v>Projeto</v>
      </c>
      <c r="P125" s="8"/>
      <c r="Q125" t="str">
        <f t="shared" si="21"/>
        <v>Projeto</v>
      </c>
      <c r="R125" t="s">
        <v>206</v>
      </c>
      <c r="W125" s="7">
        <f t="shared" si="22"/>
        <v>1</v>
      </c>
      <c r="X125" t="str">
        <f t="shared" si="23"/>
        <v>Projeto</v>
      </c>
      <c r="Y125" t="str">
        <f t="shared" si="24"/>
        <v>N/A</v>
      </c>
      <c r="AA125" t="str">
        <f t="shared" si="25"/>
        <v>Manter</v>
      </c>
      <c r="AB125" t="str">
        <f t="shared" si="26"/>
        <v/>
      </c>
    </row>
    <row r="126" spans="1:28" x14ac:dyDescent="0.3">
      <c r="A126" s="1" t="s">
        <v>99</v>
      </c>
      <c r="B126" s="1" t="s">
        <v>120</v>
      </c>
      <c r="C126" s="1">
        <v>3</v>
      </c>
      <c r="D126" s="1" t="s">
        <v>25</v>
      </c>
      <c r="E126" s="1">
        <v>4</v>
      </c>
      <c r="F126" s="5">
        <v>70.180000000000007</v>
      </c>
      <c r="G126" s="5">
        <v>24.21</v>
      </c>
      <c r="H126" s="5">
        <v>94.390000000000015</v>
      </c>
      <c r="I126" s="6">
        <v>434000</v>
      </c>
      <c r="J126" s="1">
        <v>2026</v>
      </c>
      <c r="K126" s="6">
        <v>6184.0980336278126</v>
      </c>
      <c r="L126" s="6">
        <v>4597.9446975315177</v>
      </c>
      <c r="M126" t="str">
        <f t="shared" si="20"/>
        <v>Projeto</v>
      </c>
      <c r="P126" s="8"/>
      <c r="Q126" t="str">
        <f t="shared" si="21"/>
        <v>Projeto</v>
      </c>
      <c r="R126" t="s">
        <v>206</v>
      </c>
      <c r="W126" s="7">
        <f t="shared" si="22"/>
        <v>1</v>
      </c>
      <c r="X126" t="str">
        <f t="shared" si="23"/>
        <v>Projeto</v>
      </c>
      <c r="Y126" t="str">
        <f t="shared" si="24"/>
        <v>N/A</v>
      </c>
      <c r="AA126" t="str">
        <f t="shared" si="25"/>
        <v>Manter</v>
      </c>
      <c r="AB126" t="str">
        <f t="shared" si="26"/>
        <v/>
      </c>
    </row>
    <row r="127" spans="1:28" x14ac:dyDescent="0.3">
      <c r="A127" s="1" t="s">
        <v>99</v>
      </c>
      <c r="B127" s="1" t="s">
        <v>121</v>
      </c>
      <c r="C127" s="1">
        <v>3</v>
      </c>
      <c r="D127" s="1" t="s">
        <v>25</v>
      </c>
      <c r="E127" s="1">
        <v>4</v>
      </c>
      <c r="F127" s="5">
        <v>66.5</v>
      </c>
      <c r="G127" s="5">
        <v>24.04</v>
      </c>
      <c r="H127" s="5">
        <v>90.539999999999992</v>
      </c>
      <c r="I127" s="6">
        <v>422000</v>
      </c>
      <c r="J127" s="1">
        <v>2026</v>
      </c>
      <c r="K127" s="6">
        <v>6345.8646616541346</v>
      </c>
      <c r="L127" s="6">
        <v>4660.9233487961128</v>
      </c>
      <c r="M127" t="str">
        <f t="shared" si="20"/>
        <v>Projeto</v>
      </c>
      <c r="P127" s="8"/>
      <c r="Q127" t="str">
        <f t="shared" si="21"/>
        <v>Projeto</v>
      </c>
      <c r="R127" t="s">
        <v>206</v>
      </c>
      <c r="W127" s="7">
        <f t="shared" si="22"/>
        <v>1</v>
      </c>
      <c r="X127" t="str">
        <f t="shared" si="23"/>
        <v>Projeto</v>
      </c>
      <c r="Y127" t="str">
        <f t="shared" si="24"/>
        <v>N/A</v>
      </c>
      <c r="AA127" t="str">
        <f t="shared" si="25"/>
        <v>Manter</v>
      </c>
      <c r="AB127" t="str">
        <f t="shared" si="26"/>
        <v/>
      </c>
    </row>
    <row r="128" spans="1:28" x14ac:dyDescent="0.3">
      <c r="A128" s="1" t="s">
        <v>99</v>
      </c>
      <c r="B128" s="1" t="s">
        <v>122</v>
      </c>
      <c r="C128" s="1">
        <v>3</v>
      </c>
      <c r="D128" s="1" t="s">
        <v>15</v>
      </c>
      <c r="E128" s="1">
        <v>3</v>
      </c>
      <c r="F128" s="5">
        <v>99.63</v>
      </c>
      <c r="G128" s="5">
        <v>39.96</v>
      </c>
      <c r="H128" s="5">
        <v>139.59</v>
      </c>
      <c r="I128" s="6">
        <v>593000</v>
      </c>
      <c r="J128" s="1">
        <v>2026</v>
      </c>
      <c r="K128" s="6">
        <v>5952.0224831877949</v>
      </c>
      <c r="L128" s="6">
        <v>4248.1553119850987</v>
      </c>
      <c r="M128" t="str">
        <f t="shared" si="20"/>
        <v>Projeto</v>
      </c>
      <c r="P128" s="8"/>
      <c r="Q128" t="str">
        <f t="shared" si="21"/>
        <v>Projeto</v>
      </c>
      <c r="R128" t="s">
        <v>206</v>
      </c>
      <c r="W128" s="7">
        <f t="shared" si="22"/>
        <v>1</v>
      </c>
      <c r="X128" t="str">
        <f t="shared" si="23"/>
        <v>Projeto</v>
      </c>
      <c r="Y128" t="str">
        <f t="shared" si="24"/>
        <v>N/A</v>
      </c>
      <c r="AA128" t="str">
        <f t="shared" si="25"/>
        <v>Manter</v>
      </c>
      <c r="AB128" t="str">
        <f t="shared" si="26"/>
        <v/>
      </c>
    </row>
    <row r="129" spans="1:28" x14ac:dyDescent="0.3">
      <c r="A129" s="1" t="s">
        <v>99</v>
      </c>
      <c r="B129" s="1" t="s">
        <v>123</v>
      </c>
      <c r="C129" s="1">
        <v>3</v>
      </c>
      <c r="D129" s="1" t="s">
        <v>15</v>
      </c>
      <c r="E129" s="1">
        <v>3</v>
      </c>
      <c r="F129" s="5">
        <v>106.74</v>
      </c>
      <c r="G129" s="5">
        <v>40</v>
      </c>
      <c r="H129" s="5">
        <v>146.74</v>
      </c>
      <c r="I129" s="6">
        <v>568000</v>
      </c>
      <c r="J129" s="1">
        <v>2026</v>
      </c>
      <c r="K129" s="6">
        <v>5321.3415776653565</v>
      </c>
      <c r="L129" s="6">
        <v>3870.7918767888782</v>
      </c>
      <c r="M129" t="str">
        <f t="shared" si="20"/>
        <v>Projeto</v>
      </c>
      <c r="P129" s="8"/>
      <c r="Q129" t="str">
        <f t="shared" si="21"/>
        <v>Projeto</v>
      </c>
      <c r="R129" t="s">
        <v>206</v>
      </c>
      <c r="W129" s="7">
        <f t="shared" si="22"/>
        <v>1</v>
      </c>
      <c r="X129" t="str">
        <f t="shared" si="23"/>
        <v>Projeto</v>
      </c>
      <c r="Y129" t="str">
        <f t="shared" si="24"/>
        <v>N/A</v>
      </c>
      <c r="AA129" t="str">
        <f t="shared" si="25"/>
        <v>Manter</v>
      </c>
      <c r="AB129" t="str">
        <f t="shared" si="26"/>
        <v/>
      </c>
    </row>
    <row r="130" spans="1:28" x14ac:dyDescent="0.3">
      <c r="A130" s="1" t="s">
        <v>99</v>
      </c>
      <c r="B130" s="1" t="s">
        <v>124</v>
      </c>
      <c r="C130" s="1">
        <v>4</v>
      </c>
      <c r="D130" s="1" t="s">
        <v>15</v>
      </c>
      <c r="E130" s="1">
        <v>1</v>
      </c>
      <c r="F130" s="5">
        <v>108.2</v>
      </c>
      <c r="G130" s="5">
        <v>46.71</v>
      </c>
      <c r="H130" s="5">
        <v>154.91</v>
      </c>
      <c r="I130" s="6">
        <v>900000</v>
      </c>
      <c r="J130" s="1">
        <v>2026</v>
      </c>
      <c r="K130" s="6">
        <v>8317.9297597042514</v>
      </c>
      <c r="L130" s="6">
        <v>5809.8250597120914</v>
      </c>
      <c r="M130" t="str">
        <f t="shared" ref="M130:M161" si="27">IF(A130="The View","Projeto",IF(J130&gt;=2026,"Ativo",IF(J130=2025,"Rever","Histórico")))</f>
        <v>Projeto</v>
      </c>
      <c r="P130" s="8"/>
      <c r="Q130" t="str">
        <f t="shared" si="21"/>
        <v>Projeto</v>
      </c>
      <c r="R130" t="s">
        <v>206</v>
      </c>
      <c r="W130" s="7">
        <f t="shared" ref="W130:W161" si="28">IF(A130="The View",1,MAX(0.25,MIN(1,IF(J130&gt;=2026,1,IF(J130=2025,0.8,IF(J130=2024,0.45,0.3)))*IF(Q130="Premium waterfront/marina",1,IF(Q130="Benchmark local",0.7,0.6))*IF(M130="Vendido",0.65,IF(M130="Reservado",0.8,IF(M130="Histórico",0.55,1))))))</f>
        <v>1</v>
      </c>
      <c r="X130" t="str">
        <f t="shared" ref="X130:X161" si="29">IF(A130="The View","Projeto",IF(W130&gt;=0.85,"A · Premium ativo",IF(W130&gt;=0.55,"B · Benchmark local","C · Histórico/secundário")))</f>
        <v>Projeto</v>
      </c>
      <c r="Y130" t="str">
        <f t="shared" ref="Y130:Y161" si="30">IF(A130="The View","N/A",IF(AND(N130&lt;&gt;"",O130&lt;&gt;"",P130&lt;&gt;""),"Alta",IF(OR(N130&lt;&gt;"",O130&lt;&gt;"",P130&lt;&gt;""),"Média","Baixa")))</f>
        <v>N/A</v>
      </c>
      <c r="AA130" t="str">
        <f t="shared" ref="AA130:AA161" si="31">IF(A130="The View","Manter",IF(J130&lt;2026,"Atualizar preço/status",IF(Y130="Baixa","Adicionar fonte/URL/data",IF(W130&lt;0.55,"Rever comparabilidade","OK"))))</f>
        <v>Manter</v>
      </c>
      <c r="AB130" t="str">
        <f t="shared" ref="AB130:AB161" si="32">IF(A130="The View","",IF(OR(J130&lt;2026,Y130="Baixa"),"Alta",IF(W130&lt;0.55,"Média","Baixa")))</f>
        <v/>
      </c>
    </row>
    <row r="131" spans="1:28" x14ac:dyDescent="0.3">
      <c r="A131" s="1" t="s">
        <v>99</v>
      </c>
      <c r="B131" s="1" t="s">
        <v>125</v>
      </c>
      <c r="C131" s="1">
        <v>4</v>
      </c>
      <c r="D131" s="1" t="s">
        <v>15</v>
      </c>
      <c r="E131" s="1">
        <v>2</v>
      </c>
      <c r="F131" s="5">
        <v>122.1</v>
      </c>
      <c r="G131" s="5">
        <v>40.82</v>
      </c>
      <c r="H131" s="5">
        <v>162.91999999999999</v>
      </c>
      <c r="I131" s="6">
        <v>629000</v>
      </c>
      <c r="J131" s="1">
        <v>2026</v>
      </c>
      <c r="K131" s="6">
        <v>5151.515151515152</v>
      </c>
      <c r="L131" s="6">
        <v>3860.7905720599069</v>
      </c>
      <c r="M131" t="str">
        <f t="shared" si="27"/>
        <v>Projeto</v>
      </c>
      <c r="P131" s="8"/>
      <c r="Q131" t="str">
        <f t="shared" si="21"/>
        <v>Projeto</v>
      </c>
      <c r="R131" t="s">
        <v>206</v>
      </c>
      <c r="W131" s="7">
        <f t="shared" si="28"/>
        <v>1</v>
      </c>
      <c r="X131" t="str">
        <f t="shared" si="29"/>
        <v>Projeto</v>
      </c>
      <c r="Y131" t="str">
        <f t="shared" si="30"/>
        <v>N/A</v>
      </c>
      <c r="AA131" t="str">
        <f t="shared" si="31"/>
        <v>Manter</v>
      </c>
      <c r="AB131" t="str">
        <f t="shared" si="32"/>
        <v/>
      </c>
    </row>
    <row r="132" spans="1:28" x14ac:dyDescent="0.3">
      <c r="A132" s="1" t="s">
        <v>99</v>
      </c>
      <c r="B132" s="1" t="s">
        <v>126</v>
      </c>
      <c r="C132" s="1">
        <v>4</v>
      </c>
      <c r="D132" s="1" t="s">
        <v>25</v>
      </c>
      <c r="E132" s="1">
        <v>4</v>
      </c>
      <c r="F132" s="5">
        <v>76.48</v>
      </c>
      <c r="G132" s="5">
        <v>16.22</v>
      </c>
      <c r="H132" s="5">
        <v>92.7</v>
      </c>
      <c r="I132" s="6">
        <v>401000</v>
      </c>
      <c r="J132" s="1">
        <v>2026</v>
      </c>
      <c r="K132" s="6">
        <v>5243.2008368200832</v>
      </c>
      <c r="L132" s="6">
        <v>4325.7820927723842</v>
      </c>
      <c r="M132" t="str">
        <f t="shared" si="27"/>
        <v>Projeto</v>
      </c>
      <c r="P132" s="8"/>
      <c r="Q132" t="str">
        <f t="shared" si="21"/>
        <v>Projeto</v>
      </c>
      <c r="R132" t="s">
        <v>206</v>
      </c>
      <c r="W132" s="7">
        <f t="shared" si="28"/>
        <v>1</v>
      </c>
      <c r="X132" t="str">
        <f t="shared" si="29"/>
        <v>Projeto</v>
      </c>
      <c r="Y132" t="str">
        <f t="shared" si="30"/>
        <v>N/A</v>
      </c>
      <c r="AA132" t="str">
        <f t="shared" si="31"/>
        <v>Manter</v>
      </c>
      <c r="AB132" t="str">
        <f t="shared" si="32"/>
        <v/>
      </c>
    </row>
    <row r="133" spans="1:28" x14ac:dyDescent="0.3">
      <c r="A133" s="1" t="s">
        <v>99</v>
      </c>
      <c r="B133" s="1" t="s">
        <v>127</v>
      </c>
      <c r="C133" s="1">
        <v>4</v>
      </c>
      <c r="D133" s="1" t="s">
        <v>15</v>
      </c>
      <c r="E133" s="1">
        <v>3</v>
      </c>
      <c r="F133" s="5">
        <v>96.66</v>
      </c>
      <c r="G133" s="5">
        <v>40.67</v>
      </c>
      <c r="H133" s="5">
        <v>137.33000000000001</v>
      </c>
      <c r="I133" s="6">
        <v>576000</v>
      </c>
      <c r="J133" s="1">
        <v>2026</v>
      </c>
      <c r="K133" s="6">
        <v>5959.0316573556802</v>
      </c>
      <c r="L133" s="6">
        <v>4194.276560110683</v>
      </c>
      <c r="M133" t="str">
        <f t="shared" si="27"/>
        <v>Projeto</v>
      </c>
      <c r="P133" s="8"/>
      <c r="Q133" t="str">
        <f t="shared" si="21"/>
        <v>Projeto</v>
      </c>
      <c r="R133" t="s">
        <v>206</v>
      </c>
      <c r="W133" s="7">
        <f t="shared" si="28"/>
        <v>1</v>
      </c>
      <c r="X133" t="str">
        <f t="shared" si="29"/>
        <v>Projeto</v>
      </c>
      <c r="Y133" t="str">
        <f t="shared" si="30"/>
        <v>N/A</v>
      </c>
      <c r="AA133" t="str">
        <f t="shared" si="31"/>
        <v>Manter</v>
      </c>
      <c r="AB133" t="str">
        <f t="shared" si="32"/>
        <v/>
      </c>
    </row>
    <row r="134" spans="1:28" x14ac:dyDescent="0.3">
      <c r="A134" s="1" t="s">
        <v>99</v>
      </c>
      <c r="B134" s="1" t="s">
        <v>128</v>
      </c>
      <c r="C134" s="1">
        <v>4</v>
      </c>
      <c r="D134" s="1" t="s">
        <v>25</v>
      </c>
      <c r="E134" s="1">
        <v>4</v>
      </c>
      <c r="F134" s="5">
        <v>69.790000000000006</v>
      </c>
      <c r="G134" s="5">
        <v>39.35</v>
      </c>
      <c r="H134" s="5">
        <v>109.14</v>
      </c>
      <c r="I134" s="6">
        <v>369000</v>
      </c>
      <c r="J134" s="1">
        <v>2026</v>
      </c>
      <c r="K134" s="6">
        <v>5287.2904427568419</v>
      </c>
      <c r="L134" s="6">
        <v>3380.9785596481579</v>
      </c>
      <c r="M134" t="str">
        <f t="shared" si="27"/>
        <v>Projeto</v>
      </c>
      <c r="P134" s="8"/>
      <c r="Q134" t="str">
        <f t="shared" si="21"/>
        <v>Projeto</v>
      </c>
      <c r="R134" t="s">
        <v>206</v>
      </c>
      <c r="W134" s="7">
        <f t="shared" si="28"/>
        <v>1</v>
      </c>
      <c r="X134" t="str">
        <f t="shared" si="29"/>
        <v>Projeto</v>
      </c>
      <c r="Y134" t="str">
        <f t="shared" si="30"/>
        <v>N/A</v>
      </c>
      <c r="AA134" t="str">
        <f t="shared" si="31"/>
        <v>Manter</v>
      </c>
      <c r="AB134" t="str">
        <f t="shared" si="32"/>
        <v/>
      </c>
    </row>
    <row r="135" spans="1:28" x14ac:dyDescent="0.3">
      <c r="A135" s="1" t="s">
        <v>99</v>
      </c>
      <c r="B135" s="1" t="s">
        <v>129</v>
      </c>
      <c r="C135" s="1">
        <v>4</v>
      </c>
      <c r="D135" s="1" t="s">
        <v>25</v>
      </c>
      <c r="E135" s="1">
        <v>3</v>
      </c>
      <c r="F135" s="5">
        <v>70.86</v>
      </c>
      <c r="G135" s="5">
        <v>41.86</v>
      </c>
      <c r="H135" s="5">
        <v>112.72</v>
      </c>
      <c r="I135" s="6">
        <v>435000</v>
      </c>
      <c r="J135" s="1">
        <v>2026</v>
      </c>
      <c r="K135" s="6">
        <v>6138.8653683319226</v>
      </c>
      <c r="L135" s="6">
        <v>3859.1199432221429</v>
      </c>
      <c r="M135" t="str">
        <f t="shared" si="27"/>
        <v>Projeto</v>
      </c>
      <c r="P135" s="8"/>
      <c r="Q135" t="str">
        <f t="shared" si="21"/>
        <v>Projeto</v>
      </c>
      <c r="R135" t="s">
        <v>206</v>
      </c>
      <c r="W135" s="7">
        <f t="shared" si="28"/>
        <v>1</v>
      </c>
      <c r="X135" t="str">
        <f t="shared" si="29"/>
        <v>Projeto</v>
      </c>
      <c r="Y135" t="str">
        <f t="shared" si="30"/>
        <v>N/A</v>
      </c>
      <c r="AA135" t="str">
        <f t="shared" si="31"/>
        <v>Manter</v>
      </c>
      <c r="AB135" t="str">
        <f t="shared" si="32"/>
        <v/>
      </c>
    </row>
    <row r="136" spans="1:28" x14ac:dyDescent="0.3">
      <c r="A136" s="1" t="s">
        <v>99</v>
      </c>
      <c r="B136" s="1" t="s">
        <v>130</v>
      </c>
      <c r="C136" s="1">
        <v>4</v>
      </c>
      <c r="D136" s="1" t="s">
        <v>25</v>
      </c>
      <c r="E136" s="1">
        <v>3</v>
      </c>
      <c r="F136" s="5">
        <v>72.45</v>
      </c>
      <c r="G136" s="5">
        <v>29.56</v>
      </c>
      <c r="H136" s="5">
        <v>102.01</v>
      </c>
      <c r="I136" s="6">
        <v>454000</v>
      </c>
      <c r="J136" s="1">
        <v>2026</v>
      </c>
      <c r="K136" s="6">
        <v>6266.3906142167007</v>
      </c>
      <c r="L136" s="6">
        <v>4450.5440643074207</v>
      </c>
      <c r="M136" t="str">
        <f t="shared" si="27"/>
        <v>Projeto</v>
      </c>
      <c r="P136" s="8"/>
      <c r="Q136" t="str">
        <f t="shared" si="21"/>
        <v>Projeto</v>
      </c>
      <c r="R136" t="s">
        <v>206</v>
      </c>
      <c r="W136" s="7">
        <f t="shared" si="28"/>
        <v>1</v>
      </c>
      <c r="X136" t="str">
        <f t="shared" si="29"/>
        <v>Projeto</v>
      </c>
      <c r="Y136" t="str">
        <f t="shared" si="30"/>
        <v>N/A</v>
      </c>
      <c r="AA136" t="str">
        <f t="shared" si="31"/>
        <v>Manter</v>
      </c>
      <c r="AB136" t="str">
        <f t="shared" si="32"/>
        <v/>
      </c>
    </row>
    <row r="137" spans="1:28" x14ac:dyDescent="0.3">
      <c r="A137" s="1" t="s">
        <v>99</v>
      </c>
      <c r="B137" s="1" t="s">
        <v>131</v>
      </c>
      <c r="C137" s="1">
        <v>5</v>
      </c>
      <c r="D137" s="1" t="s">
        <v>15</v>
      </c>
      <c r="E137" s="1">
        <v>1</v>
      </c>
      <c r="F137" s="5">
        <v>108.04</v>
      </c>
      <c r="G137" s="5">
        <v>46.81</v>
      </c>
      <c r="H137" s="5">
        <v>154.85</v>
      </c>
      <c r="I137" s="6">
        <v>1050000</v>
      </c>
      <c r="J137" s="1">
        <v>2026</v>
      </c>
      <c r="K137" s="6">
        <v>9718.6227323213625</v>
      </c>
      <c r="L137" s="6">
        <v>6780.7555699063596</v>
      </c>
      <c r="M137" t="str">
        <f t="shared" si="27"/>
        <v>Projeto</v>
      </c>
      <c r="P137" s="8"/>
      <c r="Q137" t="str">
        <f t="shared" si="21"/>
        <v>Projeto</v>
      </c>
      <c r="R137" t="s">
        <v>206</v>
      </c>
      <c r="W137" s="7">
        <f t="shared" si="28"/>
        <v>1</v>
      </c>
      <c r="X137" t="str">
        <f t="shared" si="29"/>
        <v>Projeto</v>
      </c>
      <c r="Y137" t="str">
        <f t="shared" si="30"/>
        <v>N/A</v>
      </c>
      <c r="AA137" t="str">
        <f t="shared" si="31"/>
        <v>Manter</v>
      </c>
      <c r="AB137" t="str">
        <f t="shared" si="32"/>
        <v/>
      </c>
    </row>
    <row r="138" spans="1:28" x14ac:dyDescent="0.3">
      <c r="A138" s="1" t="s">
        <v>99</v>
      </c>
      <c r="B138" s="1" t="s">
        <v>132</v>
      </c>
      <c r="C138" s="1">
        <v>5</v>
      </c>
      <c r="D138" s="1" t="s">
        <v>15</v>
      </c>
      <c r="E138" s="1">
        <v>2</v>
      </c>
      <c r="F138" s="5">
        <v>121.8</v>
      </c>
      <c r="G138" s="5">
        <v>40.799999999999997</v>
      </c>
      <c r="H138" s="5">
        <v>162.6</v>
      </c>
      <c r="I138" s="6">
        <v>641000</v>
      </c>
      <c r="J138" s="1">
        <v>2026</v>
      </c>
      <c r="K138" s="6">
        <v>5262.7257799671597</v>
      </c>
      <c r="L138" s="6">
        <v>3942.1894218942189</v>
      </c>
      <c r="M138" t="str">
        <f t="shared" si="27"/>
        <v>Projeto</v>
      </c>
      <c r="P138" s="8"/>
      <c r="Q138" t="str">
        <f t="shared" si="21"/>
        <v>Projeto</v>
      </c>
      <c r="R138" t="s">
        <v>206</v>
      </c>
      <c r="W138" s="7">
        <f t="shared" si="28"/>
        <v>1</v>
      </c>
      <c r="X138" t="str">
        <f t="shared" si="29"/>
        <v>Projeto</v>
      </c>
      <c r="Y138" t="str">
        <f t="shared" si="30"/>
        <v>N/A</v>
      </c>
      <c r="AA138" t="str">
        <f t="shared" si="31"/>
        <v>Manter</v>
      </c>
      <c r="AB138" t="str">
        <f t="shared" si="32"/>
        <v/>
      </c>
    </row>
    <row r="139" spans="1:28" x14ac:dyDescent="0.3">
      <c r="A139" s="1" t="s">
        <v>99</v>
      </c>
      <c r="B139" s="1" t="s">
        <v>133</v>
      </c>
      <c r="C139" s="1">
        <v>5</v>
      </c>
      <c r="D139" s="1" t="s">
        <v>25</v>
      </c>
      <c r="E139" s="1">
        <v>4</v>
      </c>
      <c r="F139" s="5">
        <v>76.2</v>
      </c>
      <c r="G139" s="5">
        <v>16.260000000000002</v>
      </c>
      <c r="H139" s="5">
        <v>92.460000000000008</v>
      </c>
      <c r="I139" s="6">
        <v>408000</v>
      </c>
      <c r="J139" s="1">
        <v>2026</v>
      </c>
      <c r="K139" s="6">
        <v>5354.3307086614168</v>
      </c>
      <c r="L139" s="6">
        <v>4412.719013627514</v>
      </c>
      <c r="M139" t="str">
        <f t="shared" si="27"/>
        <v>Projeto</v>
      </c>
      <c r="P139" s="8"/>
      <c r="Q139" t="str">
        <f t="shared" si="21"/>
        <v>Projeto</v>
      </c>
      <c r="R139" t="s">
        <v>206</v>
      </c>
      <c r="W139" s="7">
        <f t="shared" si="28"/>
        <v>1</v>
      </c>
      <c r="X139" t="str">
        <f t="shared" si="29"/>
        <v>Projeto</v>
      </c>
      <c r="Y139" t="str">
        <f t="shared" si="30"/>
        <v>N/A</v>
      </c>
      <c r="AA139" t="str">
        <f t="shared" si="31"/>
        <v>Manter</v>
      </c>
      <c r="AB139" t="str">
        <f t="shared" si="32"/>
        <v/>
      </c>
    </row>
    <row r="140" spans="1:28" x14ac:dyDescent="0.3">
      <c r="A140" s="1" t="s">
        <v>99</v>
      </c>
      <c r="B140" s="1" t="s">
        <v>134</v>
      </c>
      <c r="C140" s="1">
        <v>5</v>
      </c>
      <c r="D140" s="1" t="s">
        <v>15</v>
      </c>
      <c r="E140" s="1">
        <v>3</v>
      </c>
      <c r="F140" s="5">
        <v>84.63</v>
      </c>
      <c r="G140" s="5">
        <v>41.85</v>
      </c>
      <c r="H140" s="5">
        <v>126.48</v>
      </c>
      <c r="I140" s="6">
        <v>585000</v>
      </c>
      <c r="J140" s="1">
        <v>2026</v>
      </c>
      <c r="K140" s="6">
        <v>6912.442396313364</v>
      </c>
      <c r="L140" s="6">
        <v>4625.2371916508546</v>
      </c>
      <c r="M140" t="str">
        <f t="shared" si="27"/>
        <v>Projeto</v>
      </c>
      <c r="P140" s="8"/>
      <c r="Q140" t="str">
        <f t="shared" si="21"/>
        <v>Projeto</v>
      </c>
      <c r="R140" t="s">
        <v>206</v>
      </c>
      <c r="W140" s="7">
        <f t="shared" si="28"/>
        <v>1</v>
      </c>
      <c r="X140" t="str">
        <f t="shared" si="29"/>
        <v>Projeto</v>
      </c>
      <c r="Y140" t="str">
        <f t="shared" si="30"/>
        <v>N/A</v>
      </c>
      <c r="AA140" t="str">
        <f t="shared" si="31"/>
        <v>Manter</v>
      </c>
      <c r="AB140" t="str">
        <f t="shared" si="32"/>
        <v/>
      </c>
    </row>
    <row r="141" spans="1:28" x14ac:dyDescent="0.3">
      <c r="A141" s="1" t="s">
        <v>99</v>
      </c>
      <c r="B141" s="1" t="s">
        <v>135</v>
      </c>
      <c r="C141" s="1">
        <v>5</v>
      </c>
      <c r="D141" s="1" t="s">
        <v>15</v>
      </c>
      <c r="E141" s="1">
        <v>3</v>
      </c>
      <c r="F141" s="5">
        <v>102.95</v>
      </c>
      <c r="G141" s="5">
        <v>70.23</v>
      </c>
      <c r="H141" s="5">
        <v>173.18</v>
      </c>
      <c r="I141" s="6">
        <v>633000</v>
      </c>
      <c r="J141" s="1">
        <v>2026</v>
      </c>
      <c r="K141" s="6">
        <v>6148.6158329286063</v>
      </c>
      <c r="L141" s="6">
        <v>3655.1564845825151</v>
      </c>
      <c r="M141" t="str">
        <f t="shared" si="27"/>
        <v>Projeto</v>
      </c>
      <c r="P141" s="8"/>
      <c r="Q141" t="str">
        <f t="shared" si="21"/>
        <v>Projeto</v>
      </c>
      <c r="R141" t="s">
        <v>206</v>
      </c>
      <c r="W141" s="7">
        <f t="shared" si="28"/>
        <v>1</v>
      </c>
      <c r="X141" t="str">
        <f t="shared" si="29"/>
        <v>Projeto</v>
      </c>
      <c r="Y141" t="str">
        <f t="shared" si="30"/>
        <v>N/A</v>
      </c>
      <c r="AA141" t="str">
        <f t="shared" si="31"/>
        <v>Manter</v>
      </c>
      <c r="AB141" t="str">
        <f t="shared" si="32"/>
        <v/>
      </c>
    </row>
    <row r="142" spans="1:28" x14ac:dyDescent="0.3">
      <c r="A142" s="1" t="s">
        <v>99</v>
      </c>
      <c r="B142" s="1" t="s">
        <v>136</v>
      </c>
      <c r="C142" s="1">
        <v>5</v>
      </c>
      <c r="D142" s="1" t="s">
        <v>137</v>
      </c>
      <c r="E142" s="1">
        <v>3</v>
      </c>
      <c r="F142" s="5">
        <v>82.42</v>
      </c>
      <c r="G142" s="5">
        <v>71.8</v>
      </c>
      <c r="H142" s="5">
        <v>154.22</v>
      </c>
      <c r="I142" s="6">
        <v>551000</v>
      </c>
      <c r="J142" s="1">
        <v>2026</v>
      </c>
      <c r="K142" s="6">
        <v>6685.2705653967478</v>
      </c>
      <c r="L142" s="6">
        <v>3572.8180521333161</v>
      </c>
      <c r="M142" t="str">
        <f t="shared" si="27"/>
        <v>Projeto</v>
      </c>
      <c r="P142" s="8"/>
      <c r="Q142" t="str">
        <f t="shared" si="21"/>
        <v>Projeto</v>
      </c>
      <c r="R142" t="s">
        <v>206</v>
      </c>
      <c r="W142" s="7">
        <f t="shared" si="28"/>
        <v>1</v>
      </c>
      <c r="X142" t="str">
        <f t="shared" si="29"/>
        <v>Projeto</v>
      </c>
      <c r="Y142" t="str">
        <f t="shared" si="30"/>
        <v>N/A</v>
      </c>
      <c r="AA142" t="str">
        <f t="shared" si="31"/>
        <v>Manter</v>
      </c>
      <c r="AB142" t="str">
        <f t="shared" si="32"/>
        <v/>
      </c>
    </row>
    <row r="143" spans="1:28" x14ac:dyDescent="0.3">
      <c r="A143" s="1" t="s">
        <v>99</v>
      </c>
      <c r="B143" s="1" t="s">
        <v>138</v>
      </c>
      <c r="C143" s="1">
        <v>6</v>
      </c>
      <c r="D143" s="1" t="s">
        <v>47</v>
      </c>
      <c r="E143" s="1">
        <v>1</v>
      </c>
      <c r="F143" s="5">
        <v>152.80000000000001</v>
      </c>
      <c r="G143" s="5">
        <v>64.459999999999994</v>
      </c>
      <c r="H143" s="5">
        <v>217.26</v>
      </c>
      <c r="I143" s="6">
        <v>1450000</v>
      </c>
      <c r="J143" s="1">
        <v>2026</v>
      </c>
      <c r="K143" s="6">
        <v>9489.5287958115168</v>
      </c>
      <c r="L143" s="6">
        <v>6674.0311147933353</v>
      </c>
      <c r="M143" t="str">
        <f t="shared" si="27"/>
        <v>Projeto</v>
      </c>
      <c r="P143" s="8"/>
      <c r="Q143" t="str">
        <f t="shared" si="21"/>
        <v>Projeto</v>
      </c>
      <c r="R143" t="s">
        <v>206</v>
      </c>
      <c r="W143" s="7">
        <f t="shared" si="28"/>
        <v>1</v>
      </c>
      <c r="X143" t="str">
        <f t="shared" si="29"/>
        <v>Projeto</v>
      </c>
      <c r="Y143" t="str">
        <f t="shared" si="30"/>
        <v>N/A</v>
      </c>
      <c r="AA143" t="str">
        <f t="shared" si="31"/>
        <v>Manter</v>
      </c>
      <c r="AB143" t="str">
        <f t="shared" si="32"/>
        <v/>
      </c>
    </row>
    <row r="144" spans="1:28" x14ac:dyDescent="0.3">
      <c r="A144" s="1" t="s">
        <v>99</v>
      </c>
      <c r="B144" s="1" t="s">
        <v>139</v>
      </c>
      <c r="C144" s="1">
        <v>6</v>
      </c>
      <c r="D144" s="1" t="s">
        <v>15</v>
      </c>
      <c r="E144" s="1">
        <v>2</v>
      </c>
      <c r="F144" s="5">
        <v>123.81</v>
      </c>
      <c r="G144" s="5">
        <v>40.74</v>
      </c>
      <c r="H144" s="5">
        <v>164.55</v>
      </c>
      <c r="I144" s="6">
        <v>1100000</v>
      </c>
      <c r="J144" s="1">
        <v>2026</v>
      </c>
      <c r="K144" s="6">
        <v>8884.5812131491803</v>
      </c>
      <c r="L144" s="6">
        <v>6684.898207231844</v>
      </c>
      <c r="M144" t="str">
        <f t="shared" si="27"/>
        <v>Projeto</v>
      </c>
      <c r="P144" s="8"/>
      <c r="Q144" t="str">
        <f t="shared" si="21"/>
        <v>Projeto</v>
      </c>
      <c r="R144" t="s">
        <v>206</v>
      </c>
      <c r="W144" s="7">
        <f t="shared" si="28"/>
        <v>1</v>
      </c>
      <c r="X144" t="str">
        <f t="shared" si="29"/>
        <v>Projeto</v>
      </c>
      <c r="Y144" t="str">
        <f t="shared" si="30"/>
        <v>N/A</v>
      </c>
      <c r="AA144" t="str">
        <f t="shared" si="31"/>
        <v>Manter</v>
      </c>
      <c r="AB144" t="str">
        <f t="shared" si="32"/>
        <v/>
      </c>
    </row>
    <row r="145" spans="1:28" x14ac:dyDescent="0.3">
      <c r="A145" s="1" t="s">
        <v>99</v>
      </c>
      <c r="B145" s="1" t="s">
        <v>140</v>
      </c>
      <c r="C145" s="1">
        <v>6</v>
      </c>
      <c r="D145" s="1" t="s">
        <v>25</v>
      </c>
      <c r="E145" s="1">
        <v>4</v>
      </c>
      <c r="F145" s="5">
        <v>75.66</v>
      </c>
      <c r="G145" s="5">
        <v>16.190000000000001</v>
      </c>
      <c r="H145" s="5">
        <v>91.85</v>
      </c>
      <c r="I145" s="6">
        <v>520000</v>
      </c>
      <c r="J145" s="1">
        <v>2026</v>
      </c>
      <c r="K145" s="6">
        <v>6872.8522336769774</v>
      </c>
      <c r="L145" s="6">
        <v>5661.404463799674</v>
      </c>
      <c r="M145" t="str">
        <f t="shared" si="27"/>
        <v>Projeto</v>
      </c>
      <c r="P145" s="8"/>
      <c r="Q145" t="str">
        <f t="shared" si="21"/>
        <v>Projeto</v>
      </c>
      <c r="R145" t="s">
        <v>206</v>
      </c>
      <c r="W145" s="7">
        <f t="shared" si="28"/>
        <v>1</v>
      </c>
      <c r="X145" t="str">
        <f t="shared" si="29"/>
        <v>Projeto</v>
      </c>
      <c r="Y145" t="str">
        <f t="shared" si="30"/>
        <v>N/A</v>
      </c>
      <c r="AA145" t="str">
        <f t="shared" si="31"/>
        <v>Manter</v>
      </c>
      <c r="AB145" t="str">
        <f t="shared" si="32"/>
        <v/>
      </c>
    </row>
    <row r="146" spans="1:28" x14ac:dyDescent="0.3">
      <c r="A146" s="1" t="s">
        <v>99</v>
      </c>
      <c r="B146" s="1" t="s">
        <v>141</v>
      </c>
      <c r="C146" s="1">
        <v>6</v>
      </c>
      <c r="D146" s="1" t="s">
        <v>47</v>
      </c>
      <c r="E146" s="1">
        <v>3</v>
      </c>
      <c r="F146" s="5">
        <v>111.99</v>
      </c>
      <c r="G146" s="5">
        <v>92.22</v>
      </c>
      <c r="H146" s="5">
        <v>204.21</v>
      </c>
      <c r="I146" s="6">
        <v>1100000</v>
      </c>
      <c r="J146" s="1">
        <v>2026</v>
      </c>
      <c r="K146" s="6">
        <v>9822.3055629966966</v>
      </c>
      <c r="L146" s="6">
        <v>5386.611821164488</v>
      </c>
      <c r="M146" t="str">
        <f t="shared" si="27"/>
        <v>Projeto</v>
      </c>
      <c r="P146" s="8"/>
      <c r="Q146" t="str">
        <f t="shared" si="21"/>
        <v>Projeto</v>
      </c>
      <c r="R146" t="s">
        <v>206</v>
      </c>
      <c r="W146" s="7">
        <f t="shared" si="28"/>
        <v>1</v>
      </c>
      <c r="X146" t="str">
        <f t="shared" si="29"/>
        <v>Projeto</v>
      </c>
      <c r="Y146" t="str">
        <f t="shared" si="30"/>
        <v>N/A</v>
      </c>
      <c r="AA146" t="str">
        <f t="shared" si="31"/>
        <v>Manter</v>
      </c>
      <c r="AB146" t="str">
        <f t="shared" si="32"/>
        <v/>
      </c>
    </row>
    <row r="147" spans="1:28" x14ac:dyDescent="0.3">
      <c r="A147" s="1" t="s">
        <v>142</v>
      </c>
      <c r="B147" s="1" t="s">
        <v>143</v>
      </c>
      <c r="C147" s="1">
        <v>3</v>
      </c>
      <c r="D147" s="1" t="s">
        <v>15</v>
      </c>
      <c r="E147" s="1">
        <v>2</v>
      </c>
      <c r="F147" s="5">
        <v>48.4</v>
      </c>
      <c r="G147" s="5">
        <v>11.300000000000004</v>
      </c>
      <c r="H147" s="5">
        <v>59.7</v>
      </c>
      <c r="I147" s="6">
        <v>560000</v>
      </c>
      <c r="J147" s="1">
        <v>2026</v>
      </c>
      <c r="K147" s="6">
        <v>11570.247933884299</v>
      </c>
      <c r="L147" s="6">
        <v>9380.234505862647</v>
      </c>
      <c r="M147" t="str">
        <f t="shared" si="27"/>
        <v>Ativo</v>
      </c>
      <c r="P147" s="8"/>
      <c r="Q147" t="str">
        <f t="shared" si="21"/>
        <v>Premium waterfront/marina</v>
      </c>
      <c r="R147" t="s">
        <v>206</v>
      </c>
      <c r="W147" s="7">
        <f t="shared" si="28"/>
        <v>1</v>
      </c>
      <c r="X147" t="str">
        <f t="shared" si="29"/>
        <v>A · Premium ativo</v>
      </c>
      <c r="Y147" t="str">
        <f t="shared" si="30"/>
        <v>Baixa</v>
      </c>
      <c r="AA147" t="str">
        <f t="shared" si="31"/>
        <v>Adicionar fonte/URL/data</v>
      </c>
      <c r="AB147" t="str">
        <f t="shared" si="32"/>
        <v>Alta</v>
      </c>
    </row>
    <row r="148" spans="1:28" x14ac:dyDescent="0.3">
      <c r="A148" s="1" t="s">
        <v>142</v>
      </c>
      <c r="B148" s="1" t="s">
        <v>144</v>
      </c>
      <c r="C148" s="1">
        <v>2</v>
      </c>
      <c r="D148" s="1" t="s">
        <v>47</v>
      </c>
      <c r="E148" s="1">
        <v>4</v>
      </c>
      <c r="F148" s="5">
        <v>62.6</v>
      </c>
      <c r="G148" s="5">
        <v>18.499999999999993</v>
      </c>
      <c r="H148" s="5">
        <v>81.099999999999994</v>
      </c>
      <c r="I148" s="6">
        <v>415000</v>
      </c>
      <c r="J148" s="1">
        <v>2026</v>
      </c>
      <c r="K148" s="6">
        <v>6629.3929712460058</v>
      </c>
      <c r="L148" s="6">
        <v>5117.1393341553639</v>
      </c>
      <c r="M148" t="str">
        <f t="shared" si="27"/>
        <v>Ativo</v>
      </c>
      <c r="P148" s="8"/>
      <c r="Q148" t="str">
        <f t="shared" si="21"/>
        <v>Premium waterfront/marina</v>
      </c>
      <c r="R148" t="s">
        <v>206</v>
      </c>
      <c r="W148" s="7">
        <f t="shared" si="28"/>
        <v>1</v>
      </c>
      <c r="X148" t="str">
        <f t="shared" si="29"/>
        <v>A · Premium ativo</v>
      </c>
      <c r="Y148" t="str">
        <f t="shared" si="30"/>
        <v>Baixa</v>
      </c>
      <c r="AA148" t="str">
        <f t="shared" si="31"/>
        <v>Adicionar fonte/URL/data</v>
      </c>
      <c r="AB148" t="str">
        <f t="shared" si="32"/>
        <v>Alta</v>
      </c>
    </row>
    <row r="149" spans="1:28" x14ac:dyDescent="0.3">
      <c r="A149" s="1" t="s">
        <v>142</v>
      </c>
      <c r="B149" s="1" t="s">
        <v>145</v>
      </c>
      <c r="C149" s="1">
        <v>2</v>
      </c>
      <c r="D149" s="1" t="s">
        <v>15</v>
      </c>
      <c r="E149" s="1">
        <v>4</v>
      </c>
      <c r="F149" s="5">
        <v>50.15</v>
      </c>
      <c r="G149" s="5">
        <v>17.949999999999996</v>
      </c>
      <c r="H149" s="5">
        <v>68.099999999999994</v>
      </c>
      <c r="I149" s="6">
        <v>380000</v>
      </c>
      <c r="J149" s="1">
        <v>2026</v>
      </c>
      <c r="K149" s="6">
        <v>7577.2681954137588</v>
      </c>
      <c r="L149" s="6">
        <v>5580.0293685756242</v>
      </c>
      <c r="M149" t="str">
        <f t="shared" si="27"/>
        <v>Ativo</v>
      </c>
      <c r="P149" s="8"/>
      <c r="Q149" t="str">
        <f t="shared" si="21"/>
        <v>Premium waterfront/marina</v>
      </c>
      <c r="R149" t="s">
        <v>206</v>
      </c>
      <c r="W149" s="7">
        <f t="shared" si="28"/>
        <v>1</v>
      </c>
      <c r="X149" t="str">
        <f t="shared" si="29"/>
        <v>A · Premium ativo</v>
      </c>
      <c r="Y149" t="str">
        <f t="shared" si="30"/>
        <v>Baixa</v>
      </c>
      <c r="AA149" t="str">
        <f t="shared" si="31"/>
        <v>Adicionar fonte/URL/data</v>
      </c>
      <c r="AB149" t="str">
        <f t="shared" si="32"/>
        <v>Alta</v>
      </c>
    </row>
    <row r="150" spans="1:28" x14ac:dyDescent="0.3">
      <c r="A150" s="1" t="s">
        <v>142</v>
      </c>
      <c r="B150" s="1" t="s">
        <v>13</v>
      </c>
      <c r="C150" s="1" t="s">
        <v>14</v>
      </c>
      <c r="D150" s="1" t="s">
        <v>15</v>
      </c>
      <c r="E150" s="1">
        <v>3</v>
      </c>
      <c r="F150" s="5">
        <v>59.5</v>
      </c>
      <c r="G150" s="5">
        <v>12.5</v>
      </c>
      <c r="H150" s="5">
        <v>72</v>
      </c>
      <c r="I150" s="6">
        <v>495000</v>
      </c>
      <c r="J150" s="1">
        <v>2026</v>
      </c>
      <c r="K150" s="6">
        <v>8319.3277310924368</v>
      </c>
      <c r="L150" s="6">
        <v>6875</v>
      </c>
      <c r="M150" t="str">
        <f t="shared" si="27"/>
        <v>Ativo</v>
      </c>
      <c r="P150" s="8"/>
      <c r="Q150" t="str">
        <f t="shared" si="21"/>
        <v>Premium waterfront/marina</v>
      </c>
      <c r="R150" t="s">
        <v>206</v>
      </c>
      <c r="W150" s="7">
        <f t="shared" si="28"/>
        <v>1</v>
      </c>
      <c r="X150" t="str">
        <f t="shared" si="29"/>
        <v>A · Premium ativo</v>
      </c>
      <c r="Y150" t="str">
        <f t="shared" si="30"/>
        <v>Baixa</v>
      </c>
      <c r="AA150" t="str">
        <f t="shared" si="31"/>
        <v>Adicionar fonte/URL/data</v>
      </c>
      <c r="AB150" t="str">
        <f t="shared" si="32"/>
        <v>Alta</v>
      </c>
    </row>
    <row r="151" spans="1:28" x14ac:dyDescent="0.3">
      <c r="A151" s="1" t="s">
        <v>142</v>
      </c>
      <c r="B151" s="1" t="s">
        <v>21</v>
      </c>
      <c r="C151" s="1">
        <v>2</v>
      </c>
      <c r="D151" s="1" t="s">
        <v>15</v>
      </c>
      <c r="E151" s="1">
        <v>4</v>
      </c>
      <c r="F151" s="5">
        <v>50.15</v>
      </c>
      <c r="G151" s="5">
        <v>12.050000000000004</v>
      </c>
      <c r="H151" s="5">
        <v>62.2</v>
      </c>
      <c r="I151" s="6">
        <v>380000</v>
      </c>
      <c r="J151" s="1">
        <v>2026</v>
      </c>
      <c r="K151" s="6">
        <v>7577.2681954137588</v>
      </c>
      <c r="L151" s="6">
        <v>6109.3247588424438</v>
      </c>
      <c r="M151" t="str">
        <f t="shared" si="27"/>
        <v>Ativo</v>
      </c>
      <c r="P151" s="8"/>
      <c r="Q151" t="str">
        <f t="shared" si="21"/>
        <v>Premium waterfront/marina</v>
      </c>
      <c r="R151" t="s">
        <v>206</v>
      </c>
      <c r="W151" s="7">
        <f t="shared" si="28"/>
        <v>1</v>
      </c>
      <c r="X151" t="str">
        <f t="shared" si="29"/>
        <v>A · Premium ativo</v>
      </c>
      <c r="Y151" t="str">
        <f t="shared" si="30"/>
        <v>Baixa</v>
      </c>
      <c r="AA151" t="str">
        <f t="shared" si="31"/>
        <v>Adicionar fonte/URL/data</v>
      </c>
      <c r="AB151" t="str">
        <f t="shared" si="32"/>
        <v>Alta</v>
      </c>
    </row>
    <row r="152" spans="1:28" x14ac:dyDescent="0.3">
      <c r="A152" s="1" t="s">
        <v>142</v>
      </c>
      <c r="B152" s="1" t="s">
        <v>22</v>
      </c>
      <c r="C152" s="1">
        <v>3</v>
      </c>
      <c r="D152" s="1" t="s">
        <v>25</v>
      </c>
      <c r="E152" s="1">
        <v>3</v>
      </c>
      <c r="F152" s="5">
        <v>40.4</v>
      </c>
      <c r="G152" s="5">
        <v>8.5</v>
      </c>
      <c r="H152" s="5">
        <v>48.9</v>
      </c>
      <c r="I152" s="6">
        <v>385000</v>
      </c>
      <c r="J152" s="1">
        <v>2026</v>
      </c>
      <c r="K152" s="6">
        <v>9529.7029702970303</v>
      </c>
      <c r="L152" s="6">
        <v>7873.2106339468301</v>
      </c>
      <c r="M152" t="str">
        <f t="shared" si="27"/>
        <v>Ativo</v>
      </c>
      <c r="P152" s="8"/>
      <c r="Q152" t="str">
        <f t="shared" si="21"/>
        <v>Premium waterfront/marina</v>
      </c>
      <c r="R152" t="s">
        <v>206</v>
      </c>
      <c r="W152" s="7">
        <f t="shared" si="28"/>
        <v>1</v>
      </c>
      <c r="X152" t="str">
        <f t="shared" si="29"/>
        <v>A · Premium ativo</v>
      </c>
      <c r="Y152" t="str">
        <f t="shared" si="30"/>
        <v>Baixa</v>
      </c>
      <c r="AA152" t="str">
        <f t="shared" si="31"/>
        <v>Adicionar fonte/URL/data</v>
      </c>
      <c r="AB152" t="str">
        <f t="shared" si="32"/>
        <v>Alta</v>
      </c>
    </row>
    <row r="153" spans="1:28" x14ac:dyDescent="0.3">
      <c r="A153" s="1" t="s">
        <v>142</v>
      </c>
      <c r="B153" s="1" t="s">
        <v>146</v>
      </c>
      <c r="C153" s="1">
        <v>3</v>
      </c>
      <c r="D153" s="1" t="s">
        <v>25</v>
      </c>
      <c r="E153" s="1">
        <v>4</v>
      </c>
      <c r="F153" s="5">
        <v>40.4</v>
      </c>
      <c r="G153" s="5">
        <v>8.5</v>
      </c>
      <c r="H153" s="5">
        <v>48.9</v>
      </c>
      <c r="I153" s="6">
        <v>385000</v>
      </c>
      <c r="J153" s="1">
        <v>2026</v>
      </c>
      <c r="K153" s="6">
        <v>9529.7029702970303</v>
      </c>
      <c r="L153" s="6">
        <v>7873.2106339468301</v>
      </c>
      <c r="M153" t="str">
        <f t="shared" si="27"/>
        <v>Ativo</v>
      </c>
      <c r="P153" s="8"/>
      <c r="Q153" t="str">
        <f t="shared" si="21"/>
        <v>Premium waterfront/marina</v>
      </c>
      <c r="R153" t="s">
        <v>206</v>
      </c>
      <c r="W153" s="7">
        <f t="shared" si="28"/>
        <v>1</v>
      </c>
      <c r="X153" t="str">
        <f t="shared" si="29"/>
        <v>A · Premium ativo</v>
      </c>
      <c r="Y153" t="str">
        <f t="shared" si="30"/>
        <v>Baixa</v>
      </c>
      <c r="AA153" t="str">
        <f t="shared" si="31"/>
        <v>Adicionar fonte/URL/data</v>
      </c>
      <c r="AB153" t="str">
        <f t="shared" si="32"/>
        <v>Alta</v>
      </c>
    </row>
    <row r="154" spans="1:28" x14ac:dyDescent="0.3">
      <c r="A154" s="1" t="s">
        <v>142</v>
      </c>
      <c r="B154" s="1" t="s">
        <v>28</v>
      </c>
      <c r="C154" s="1">
        <v>1</v>
      </c>
      <c r="D154" s="1" t="s">
        <v>15</v>
      </c>
      <c r="E154" s="1">
        <v>4</v>
      </c>
      <c r="F154" s="5">
        <v>81.25</v>
      </c>
      <c r="G154" s="5">
        <v>30.25</v>
      </c>
      <c r="H154" s="5">
        <v>111.5</v>
      </c>
      <c r="I154" s="6">
        <v>600000</v>
      </c>
      <c r="J154" s="1">
        <v>2026</v>
      </c>
      <c r="K154" s="6">
        <v>7384.6153846153848</v>
      </c>
      <c r="L154" s="6">
        <v>5381.1659192825109</v>
      </c>
      <c r="M154" t="str">
        <f t="shared" si="27"/>
        <v>Ativo</v>
      </c>
      <c r="P154" s="8"/>
      <c r="Q154" t="str">
        <f t="shared" si="21"/>
        <v>Premium waterfront/marina</v>
      </c>
      <c r="R154" t="s">
        <v>206</v>
      </c>
      <c r="W154" s="7">
        <f t="shared" si="28"/>
        <v>1</v>
      </c>
      <c r="X154" t="str">
        <f t="shared" si="29"/>
        <v>A · Premium ativo</v>
      </c>
      <c r="Y154" t="str">
        <f t="shared" si="30"/>
        <v>Baixa</v>
      </c>
      <c r="AA154" t="str">
        <f t="shared" si="31"/>
        <v>Adicionar fonte/URL/data</v>
      </c>
      <c r="AB154" t="str">
        <f t="shared" si="32"/>
        <v>Alta</v>
      </c>
    </row>
    <row r="155" spans="1:28" x14ac:dyDescent="0.3">
      <c r="A155" s="1" t="s">
        <v>142</v>
      </c>
      <c r="B155" s="1" t="s">
        <v>147</v>
      </c>
      <c r="C155" s="1">
        <v>1</v>
      </c>
      <c r="D155" s="1" t="s">
        <v>15</v>
      </c>
      <c r="E155" s="1">
        <v>1</v>
      </c>
      <c r="F155" s="5">
        <v>81.3</v>
      </c>
      <c r="G155" s="5">
        <v>12.100000000000009</v>
      </c>
      <c r="H155" s="5">
        <v>93.4</v>
      </c>
      <c r="I155" s="6">
        <v>495000</v>
      </c>
      <c r="J155" s="1">
        <v>2026</v>
      </c>
      <c r="K155" s="6">
        <v>6088.5608856088566</v>
      </c>
      <c r="L155" s="6">
        <v>5299.7858672376869</v>
      </c>
      <c r="M155" t="str">
        <f t="shared" si="27"/>
        <v>Ativo</v>
      </c>
      <c r="P155" s="8"/>
      <c r="Q155" t="str">
        <f t="shared" si="21"/>
        <v>Premium waterfront/marina</v>
      </c>
      <c r="R155" t="s">
        <v>206</v>
      </c>
      <c r="W155" s="7">
        <f t="shared" si="28"/>
        <v>1</v>
      </c>
      <c r="X155" t="str">
        <f t="shared" si="29"/>
        <v>A · Premium ativo</v>
      </c>
      <c r="Y155" t="str">
        <f t="shared" si="30"/>
        <v>Baixa</v>
      </c>
      <c r="AA155" t="str">
        <f t="shared" si="31"/>
        <v>Adicionar fonte/URL/data</v>
      </c>
      <c r="AB155" t="str">
        <f t="shared" si="32"/>
        <v>Alta</v>
      </c>
    </row>
    <row r="156" spans="1:28" x14ac:dyDescent="0.3">
      <c r="A156" s="1" t="s">
        <v>142</v>
      </c>
      <c r="B156" s="1" t="s">
        <v>148</v>
      </c>
      <c r="C156" s="1">
        <v>1</v>
      </c>
      <c r="D156" s="1" t="s">
        <v>15</v>
      </c>
      <c r="E156" s="1">
        <v>1</v>
      </c>
      <c r="F156" s="5">
        <v>76.7</v>
      </c>
      <c r="G156" s="5">
        <v>30.200000000000003</v>
      </c>
      <c r="H156" s="5">
        <v>106.9</v>
      </c>
      <c r="I156" s="6">
        <v>599000</v>
      </c>
      <c r="J156" s="1">
        <v>2026</v>
      </c>
      <c r="K156" s="6">
        <v>7809.6479791395041</v>
      </c>
      <c r="L156" s="6">
        <v>5603.3676333021513</v>
      </c>
      <c r="M156" t="str">
        <f t="shared" si="27"/>
        <v>Ativo</v>
      </c>
      <c r="P156" s="8"/>
      <c r="Q156" t="str">
        <f t="shared" si="21"/>
        <v>Premium waterfront/marina</v>
      </c>
      <c r="R156" t="s">
        <v>206</v>
      </c>
      <c r="W156" s="7">
        <f t="shared" si="28"/>
        <v>1</v>
      </c>
      <c r="X156" t="str">
        <f t="shared" si="29"/>
        <v>A · Premium ativo</v>
      </c>
      <c r="Y156" t="str">
        <f t="shared" si="30"/>
        <v>Baixa</v>
      </c>
      <c r="AA156" t="str">
        <f t="shared" si="31"/>
        <v>Adicionar fonte/URL/data</v>
      </c>
      <c r="AB156" t="str">
        <f t="shared" si="32"/>
        <v>Alta</v>
      </c>
    </row>
    <row r="157" spans="1:28" x14ac:dyDescent="0.3">
      <c r="A157" s="1" t="s">
        <v>142</v>
      </c>
      <c r="B157" s="1" t="s">
        <v>149</v>
      </c>
      <c r="C157" s="1">
        <v>2</v>
      </c>
      <c r="D157" s="1" t="s">
        <v>15</v>
      </c>
      <c r="E157" s="1">
        <v>2</v>
      </c>
      <c r="F157" s="5">
        <v>81.25</v>
      </c>
      <c r="G157" s="5">
        <v>30.25</v>
      </c>
      <c r="H157" s="5">
        <v>111.5</v>
      </c>
      <c r="I157" s="6">
        <v>620000</v>
      </c>
      <c r="J157" s="1">
        <v>2026</v>
      </c>
      <c r="K157" s="6">
        <v>7630.7692307692305</v>
      </c>
      <c r="L157" s="6">
        <v>5560.538116591928</v>
      </c>
      <c r="M157" t="str">
        <f t="shared" si="27"/>
        <v>Ativo</v>
      </c>
      <c r="P157" s="8"/>
      <c r="Q157" t="str">
        <f t="shared" si="21"/>
        <v>Premium waterfront/marina</v>
      </c>
      <c r="R157" t="s">
        <v>206</v>
      </c>
      <c r="W157" s="7">
        <f t="shared" si="28"/>
        <v>1</v>
      </c>
      <c r="X157" t="str">
        <f t="shared" si="29"/>
        <v>A · Premium ativo</v>
      </c>
      <c r="Y157" t="str">
        <f t="shared" si="30"/>
        <v>Baixa</v>
      </c>
      <c r="AA157" t="str">
        <f t="shared" si="31"/>
        <v>Adicionar fonte/URL/data</v>
      </c>
      <c r="AB157" t="str">
        <f t="shared" si="32"/>
        <v>Alta</v>
      </c>
    </row>
    <row r="158" spans="1:28" x14ac:dyDescent="0.3">
      <c r="A158" s="1" t="s">
        <v>142</v>
      </c>
      <c r="B158" s="1" t="s">
        <v>59</v>
      </c>
      <c r="C158" s="1">
        <v>2</v>
      </c>
      <c r="D158" s="1" t="s">
        <v>15</v>
      </c>
      <c r="E158" s="1">
        <v>2</v>
      </c>
      <c r="F158" s="5">
        <v>81.3</v>
      </c>
      <c r="G158" s="5">
        <v>12.100000000000009</v>
      </c>
      <c r="H158" s="5">
        <v>93.4</v>
      </c>
      <c r="I158" s="6">
        <v>515000</v>
      </c>
      <c r="J158" s="1">
        <v>2026</v>
      </c>
      <c r="K158" s="6">
        <v>6334.5633456334563</v>
      </c>
      <c r="L158" s="6">
        <v>5513.9186295503205</v>
      </c>
      <c r="M158" t="str">
        <f t="shared" si="27"/>
        <v>Ativo</v>
      </c>
      <c r="P158" s="8"/>
      <c r="Q158" t="str">
        <f t="shared" si="21"/>
        <v>Premium waterfront/marina</v>
      </c>
      <c r="R158" t="s">
        <v>206</v>
      </c>
      <c r="W158" s="7">
        <f t="shared" si="28"/>
        <v>1</v>
      </c>
      <c r="X158" t="str">
        <f t="shared" si="29"/>
        <v>A · Premium ativo</v>
      </c>
      <c r="Y158" t="str">
        <f t="shared" si="30"/>
        <v>Baixa</v>
      </c>
      <c r="AA158" t="str">
        <f t="shared" si="31"/>
        <v>Adicionar fonte/URL/data</v>
      </c>
      <c r="AB158" t="str">
        <f t="shared" si="32"/>
        <v>Alta</v>
      </c>
    </row>
    <row r="159" spans="1:28" x14ac:dyDescent="0.3">
      <c r="A159" s="1" t="s">
        <v>142</v>
      </c>
      <c r="B159" s="1" t="s">
        <v>150</v>
      </c>
      <c r="C159" s="1">
        <v>2</v>
      </c>
      <c r="D159" s="1" t="s">
        <v>15</v>
      </c>
      <c r="E159" s="1">
        <v>1</v>
      </c>
      <c r="F159" s="5">
        <v>76.7</v>
      </c>
      <c r="G159" s="5">
        <v>30.200000000000003</v>
      </c>
      <c r="H159" s="5">
        <v>106.9</v>
      </c>
      <c r="I159" s="6">
        <v>619000</v>
      </c>
      <c r="J159" s="1">
        <v>2026</v>
      </c>
      <c r="K159" s="6">
        <v>8070.4041720990872</v>
      </c>
      <c r="L159" s="6">
        <v>5790.4583723105707</v>
      </c>
      <c r="M159" t="str">
        <f t="shared" si="27"/>
        <v>Ativo</v>
      </c>
      <c r="P159" s="8"/>
      <c r="Q159" t="str">
        <f t="shared" si="21"/>
        <v>Premium waterfront/marina</v>
      </c>
      <c r="R159" t="s">
        <v>206</v>
      </c>
      <c r="W159" s="7">
        <f t="shared" si="28"/>
        <v>1</v>
      </c>
      <c r="X159" t="str">
        <f t="shared" si="29"/>
        <v>A · Premium ativo</v>
      </c>
      <c r="Y159" t="str">
        <f t="shared" si="30"/>
        <v>Baixa</v>
      </c>
      <c r="AA159" t="str">
        <f t="shared" si="31"/>
        <v>Adicionar fonte/URL/data</v>
      </c>
      <c r="AB159" t="str">
        <f t="shared" si="32"/>
        <v>Alta</v>
      </c>
    </row>
    <row r="160" spans="1:28" x14ac:dyDescent="0.3">
      <c r="A160" s="1" t="s">
        <v>142</v>
      </c>
      <c r="B160" s="1" t="s">
        <v>151</v>
      </c>
      <c r="C160" s="1">
        <v>3</v>
      </c>
      <c r="D160" s="1" t="s">
        <v>15</v>
      </c>
      <c r="E160" s="1">
        <v>1</v>
      </c>
      <c r="F160" s="5">
        <v>81.25</v>
      </c>
      <c r="G160" s="5">
        <v>30.25</v>
      </c>
      <c r="H160" s="5">
        <v>111.5</v>
      </c>
      <c r="I160" s="6">
        <v>645000</v>
      </c>
      <c r="J160" s="1">
        <v>2026</v>
      </c>
      <c r="K160" s="6">
        <v>7938.4615384615381</v>
      </c>
      <c r="L160" s="6">
        <v>5784.7533632286995</v>
      </c>
      <c r="M160" t="str">
        <f t="shared" si="27"/>
        <v>Ativo</v>
      </c>
      <c r="P160" s="8"/>
      <c r="Q160" t="str">
        <f t="shared" si="21"/>
        <v>Premium waterfront/marina</v>
      </c>
      <c r="R160" t="s">
        <v>206</v>
      </c>
      <c r="W160" s="7">
        <f t="shared" si="28"/>
        <v>1</v>
      </c>
      <c r="X160" t="str">
        <f t="shared" si="29"/>
        <v>A · Premium ativo</v>
      </c>
      <c r="Y160" t="str">
        <f t="shared" si="30"/>
        <v>Baixa</v>
      </c>
      <c r="AA160" t="str">
        <f t="shared" si="31"/>
        <v>Adicionar fonte/URL/data</v>
      </c>
      <c r="AB160" t="str">
        <f t="shared" si="32"/>
        <v>Alta</v>
      </c>
    </row>
    <row r="161" spans="1:28" x14ac:dyDescent="0.3">
      <c r="A161" s="1" t="s">
        <v>142</v>
      </c>
      <c r="B161" s="1" t="s">
        <v>152</v>
      </c>
      <c r="C161" s="1">
        <v>3</v>
      </c>
      <c r="D161" s="1" t="s">
        <v>15</v>
      </c>
      <c r="E161" s="1">
        <v>2</v>
      </c>
      <c r="F161" s="5">
        <v>81.3</v>
      </c>
      <c r="G161" s="5">
        <v>12.100000000000009</v>
      </c>
      <c r="H161" s="5">
        <v>93.4</v>
      </c>
      <c r="I161" s="6">
        <v>540000</v>
      </c>
      <c r="J161" s="1">
        <v>2026</v>
      </c>
      <c r="K161" s="6">
        <v>6642.0664206642068</v>
      </c>
      <c r="L161" s="6">
        <v>5781.5845824411135</v>
      </c>
      <c r="M161" t="str">
        <f t="shared" si="27"/>
        <v>Ativo</v>
      </c>
      <c r="P161" s="8"/>
      <c r="Q161" t="str">
        <f t="shared" si="21"/>
        <v>Premium waterfront/marina</v>
      </c>
      <c r="R161" t="s">
        <v>206</v>
      </c>
      <c r="W161" s="7">
        <f t="shared" si="28"/>
        <v>1</v>
      </c>
      <c r="X161" t="str">
        <f t="shared" si="29"/>
        <v>A · Premium ativo</v>
      </c>
      <c r="Y161" t="str">
        <f t="shared" si="30"/>
        <v>Baixa</v>
      </c>
      <c r="AA161" t="str">
        <f t="shared" si="31"/>
        <v>Adicionar fonte/URL/data</v>
      </c>
      <c r="AB161" t="str">
        <f t="shared" si="32"/>
        <v>Alta</v>
      </c>
    </row>
    <row r="162" spans="1:28" x14ac:dyDescent="0.3">
      <c r="A162" s="1" t="s">
        <v>142</v>
      </c>
      <c r="B162" s="1" t="s">
        <v>153</v>
      </c>
      <c r="C162" s="1">
        <v>3</v>
      </c>
      <c r="D162" s="1" t="s">
        <v>15</v>
      </c>
      <c r="E162" s="1">
        <v>2</v>
      </c>
      <c r="F162" s="5">
        <v>106.85</v>
      </c>
      <c r="G162" s="5">
        <v>5.0000000000011369E-2</v>
      </c>
      <c r="H162" s="5">
        <v>106.9</v>
      </c>
      <c r="I162" s="6">
        <v>644000</v>
      </c>
      <c r="J162" s="1">
        <v>2026</v>
      </c>
      <c r="K162" s="6">
        <v>6027.1408516612073</v>
      </c>
      <c r="L162" s="6">
        <v>6024.3217960710945</v>
      </c>
      <c r="M162" t="str">
        <f t="shared" ref="M162:M225" si="33">IF(A162="The View","Projeto",IF(J162&gt;=2026,"Ativo",IF(J162=2025,"Rever","Histórico")))</f>
        <v>Ativo</v>
      </c>
      <c r="P162" s="8"/>
      <c r="Q162" t="str">
        <f t="shared" ref="Q162:Q198" si="34">IF(A162="The View","Projeto",IF(A162="Le Parc","Benchmark local",IF(OR(A162="Del Mar Waterfront",A162="Aura Living"),"Premium waterfront/marina","A classificar")))</f>
        <v>Premium waterfront/marina</v>
      </c>
      <c r="R162" t="s">
        <v>206</v>
      </c>
      <c r="W162" s="7">
        <f t="shared" ref="W162:W173" si="35">IF(A162="The View",1,MAX(0.25,MIN(1,IF(J162&gt;=2026,1,IF(J162=2025,0.8,IF(J162=2024,0.45,0.3)))*IF(Q162="Premium waterfront/marina",1,IF(Q162="Benchmark local",0.7,0.6))*IF(M162="Vendido",0.65,IF(M162="Reservado",0.8,IF(M162="Histórico",0.55,1))))))</f>
        <v>1</v>
      </c>
      <c r="X162" t="str">
        <f t="shared" ref="X162:X173" si="36">IF(A162="The View","Projeto",IF(W162&gt;=0.85,"A · Premium ativo",IF(W162&gt;=0.55,"B · Benchmark local","C · Histórico/secundário")))</f>
        <v>A · Premium ativo</v>
      </c>
      <c r="Y162" t="str">
        <f t="shared" ref="Y162:Y173" si="37">IF(A162="The View","N/A",IF(AND(N162&lt;&gt;"",O162&lt;&gt;"",P162&lt;&gt;""),"Alta",IF(OR(N162&lt;&gt;"",O162&lt;&gt;"",P162&lt;&gt;""),"Média","Baixa")))</f>
        <v>Baixa</v>
      </c>
      <c r="AA162" t="str">
        <f t="shared" ref="AA162:AA173" si="38">IF(A162="The View","Manter",IF(J162&lt;2026,"Atualizar preço/status",IF(Y162="Baixa","Adicionar fonte/URL/data",IF(W162&lt;0.55,"Rever comparabilidade","OK"))))</f>
        <v>Adicionar fonte/URL/data</v>
      </c>
      <c r="AB162" t="str">
        <f t="shared" ref="AB162:AB173" si="39">IF(A162="The View","",IF(OR(J162&lt;2026,Y162="Baixa"),"Alta",IF(W162&lt;0.55,"Média","Baixa")))</f>
        <v>Alta</v>
      </c>
    </row>
    <row r="163" spans="1:28" x14ac:dyDescent="0.3">
      <c r="A163" s="1" t="s">
        <v>142</v>
      </c>
      <c r="B163" s="1" t="s">
        <v>17</v>
      </c>
      <c r="C163" s="1" t="s">
        <v>14</v>
      </c>
      <c r="D163" s="1" t="s">
        <v>15</v>
      </c>
      <c r="E163" s="1">
        <v>3</v>
      </c>
      <c r="F163" s="5">
        <v>44.4</v>
      </c>
      <c r="G163" s="5">
        <v>10.600000000000001</v>
      </c>
      <c r="H163" s="5">
        <v>55</v>
      </c>
      <c r="I163" s="6">
        <v>445000</v>
      </c>
      <c r="J163" s="1">
        <v>2026</v>
      </c>
      <c r="K163" s="6">
        <v>10022.522522522522</v>
      </c>
      <c r="L163" s="6">
        <v>8090.909090909091</v>
      </c>
      <c r="M163" t="str">
        <f t="shared" si="33"/>
        <v>Ativo</v>
      </c>
      <c r="P163" s="8"/>
      <c r="Q163" t="str">
        <f t="shared" si="34"/>
        <v>Premium waterfront/marina</v>
      </c>
      <c r="R163" t="s">
        <v>206</v>
      </c>
      <c r="W163" s="7">
        <f t="shared" si="35"/>
        <v>1</v>
      </c>
      <c r="X163" t="str">
        <f t="shared" si="36"/>
        <v>A · Premium ativo</v>
      </c>
      <c r="Y163" t="str">
        <f t="shared" si="37"/>
        <v>Baixa</v>
      </c>
      <c r="AA163" t="str">
        <f t="shared" si="38"/>
        <v>Adicionar fonte/URL/data</v>
      </c>
      <c r="AB163" t="str">
        <f t="shared" si="39"/>
        <v>Alta</v>
      </c>
    </row>
    <row r="164" spans="1:28" x14ac:dyDescent="0.3">
      <c r="A164" s="1" t="s">
        <v>142</v>
      </c>
      <c r="B164" s="1" t="s">
        <v>18</v>
      </c>
      <c r="C164" s="1">
        <v>1</v>
      </c>
      <c r="D164" s="1" t="s">
        <v>47</v>
      </c>
      <c r="E164" s="1">
        <v>3</v>
      </c>
      <c r="F164" s="5">
        <v>62.6</v>
      </c>
      <c r="G164" s="5">
        <v>18.499999999999993</v>
      </c>
      <c r="H164" s="5">
        <v>81.099999999999994</v>
      </c>
      <c r="I164" s="6">
        <v>390000</v>
      </c>
      <c r="J164" s="1">
        <v>2026</v>
      </c>
      <c r="K164" s="6">
        <v>6230.0319488817886</v>
      </c>
      <c r="L164" s="6">
        <v>4808.8779284833545</v>
      </c>
      <c r="M164" t="str">
        <f t="shared" si="33"/>
        <v>Ativo</v>
      </c>
      <c r="P164" s="8"/>
      <c r="Q164" t="str">
        <f t="shared" si="34"/>
        <v>Premium waterfront/marina</v>
      </c>
      <c r="R164" t="s">
        <v>206</v>
      </c>
      <c r="W164" s="7">
        <f t="shared" si="35"/>
        <v>1</v>
      </c>
      <c r="X164" t="str">
        <f t="shared" si="36"/>
        <v>A · Premium ativo</v>
      </c>
      <c r="Y164" t="str">
        <f t="shared" si="37"/>
        <v>Baixa</v>
      </c>
      <c r="AA164" t="str">
        <f t="shared" si="38"/>
        <v>Adicionar fonte/URL/data</v>
      </c>
      <c r="AB164" t="str">
        <f t="shared" si="39"/>
        <v>Alta</v>
      </c>
    </row>
    <row r="165" spans="1:28" x14ac:dyDescent="0.3">
      <c r="A165" s="1" t="s">
        <v>142</v>
      </c>
      <c r="B165" s="1" t="s">
        <v>154</v>
      </c>
      <c r="C165" s="1">
        <v>1</v>
      </c>
      <c r="D165" s="1" t="s">
        <v>15</v>
      </c>
      <c r="E165" s="1">
        <v>3</v>
      </c>
      <c r="F165" s="5">
        <v>50.15</v>
      </c>
      <c r="G165" s="5">
        <v>18.050000000000004</v>
      </c>
      <c r="H165" s="5">
        <v>68.2</v>
      </c>
      <c r="I165" s="6">
        <v>350000</v>
      </c>
      <c r="J165" s="1">
        <v>2026</v>
      </c>
      <c r="K165" s="6">
        <v>6979.0628115653044</v>
      </c>
      <c r="L165" s="6">
        <v>5131.9648093841643</v>
      </c>
      <c r="M165" t="str">
        <f t="shared" si="33"/>
        <v>Ativo</v>
      </c>
      <c r="P165" s="8"/>
      <c r="Q165" t="str">
        <f t="shared" si="34"/>
        <v>Premium waterfront/marina</v>
      </c>
      <c r="R165" t="s">
        <v>206</v>
      </c>
      <c r="W165" s="7">
        <f t="shared" si="35"/>
        <v>1</v>
      </c>
      <c r="X165" t="str">
        <f t="shared" si="36"/>
        <v>A · Premium ativo</v>
      </c>
      <c r="Y165" t="str">
        <f t="shared" si="37"/>
        <v>Baixa</v>
      </c>
      <c r="AA165" t="str">
        <f t="shared" si="38"/>
        <v>Adicionar fonte/URL/data</v>
      </c>
      <c r="AB165" t="str">
        <f t="shared" si="39"/>
        <v>Alta</v>
      </c>
    </row>
    <row r="166" spans="1:28" x14ac:dyDescent="0.3">
      <c r="A166" s="1" t="s">
        <v>142</v>
      </c>
      <c r="B166" s="1" t="s">
        <v>155</v>
      </c>
      <c r="C166" s="1">
        <v>1</v>
      </c>
      <c r="D166" s="1" t="s">
        <v>15</v>
      </c>
      <c r="E166" s="1">
        <v>4</v>
      </c>
      <c r="F166" s="5">
        <v>50.15</v>
      </c>
      <c r="G166" s="5">
        <v>18.050000000000004</v>
      </c>
      <c r="H166" s="5">
        <v>68.2</v>
      </c>
      <c r="I166" s="6">
        <v>350000</v>
      </c>
      <c r="J166" s="1">
        <v>2026</v>
      </c>
      <c r="K166" s="6">
        <v>6979.0628115653044</v>
      </c>
      <c r="L166" s="6">
        <v>5131.9648093841643</v>
      </c>
      <c r="M166" t="str">
        <f t="shared" si="33"/>
        <v>Ativo</v>
      </c>
      <c r="P166" s="8"/>
      <c r="Q166" t="str">
        <f t="shared" si="34"/>
        <v>Premium waterfront/marina</v>
      </c>
      <c r="R166" t="s">
        <v>206</v>
      </c>
      <c r="W166" s="7">
        <f t="shared" si="35"/>
        <v>1</v>
      </c>
      <c r="X166" t="str">
        <f t="shared" si="36"/>
        <v>A · Premium ativo</v>
      </c>
      <c r="Y166" t="str">
        <f t="shared" si="37"/>
        <v>Baixa</v>
      </c>
      <c r="AA166" t="str">
        <f t="shared" si="38"/>
        <v>Adicionar fonte/URL/data</v>
      </c>
      <c r="AB166" t="str">
        <f t="shared" si="39"/>
        <v>Alta</v>
      </c>
    </row>
    <row r="167" spans="1:28" x14ac:dyDescent="0.3">
      <c r="A167" s="1" t="s">
        <v>142</v>
      </c>
      <c r="B167" s="1" t="s">
        <v>19</v>
      </c>
      <c r="C167" s="1">
        <v>1</v>
      </c>
      <c r="D167" s="1" t="s">
        <v>47</v>
      </c>
      <c r="E167" s="1">
        <v>4</v>
      </c>
      <c r="F167" s="5">
        <v>62.6</v>
      </c>
      <c r="G167" s="5">
        <v>18.499999999999993</v>
      </c>
      <c r="H167" s="5">
        <v>81.099999999999994</v>
      </c>
      <c r="I167" s="6">
        <v>395000</v>
      </c>
      <c r="J167" s="1">
        <v>2026</v>
      </c>
      <c r="K167" s="6">
        <v>6309.9041533546324</v>
      </c>
      <c r="L167" s="6">
        <v>4870.5302096177566</v>
      </c>
      <c r="M167" t="str">
        <f t="shared" si="33"/>
        <v>Ativo</v>
      </c>
      <c r="P167" s="8"/>
      <c r="Q167" t="str">
        <f t="shared" si="34"/>
        <v>Premium waterfront/marina</v>
      </c>
      <c r="R167" t="s">
        <v>206</v>
      </c>
      <c r="W167" s="7">
        <f t="shared" si="35"/>
        <v>1</v>
      </c>
      <c r="X167" t="str">
        <f t="shared" si="36"/>
        <v>A · Premium ativo</v>
      </c>
      <c r="Y167" t="str">
        <f t="shared" si="37"/>
        <v>Baixa</v>
      </c>
      <c r="AA167" t="str">
        <f t="shared" si="38"/>
        <v>Adicionar fonte/URL/data</v>
      </c>
      <c r="AB167" t="str">
        <f t="shared" si="39"/>
        <v>Alta</v>
      </c>
    </row>
    <row r="168" spans="1:28" x14ac:dyDescent="0.3">
      <c r="A168" s="1" t="s">
        <v>142</v>
      </c>
      <c r="B168" s="1" t="s">
        <v>20</v>
      </c>
      <c r="C168" s="1">
        <v>2</v>
      </c>
      <c r="D168" s="1" t="s">
        <v>47</v>
      </c>
      <c r="E168" s="1">
        <v>4</v>
      </c>
      <c r="F168" s="5">
        <v>62.6</v>
      </c>
      <c r="G168" s="5">
        <v>18.499999999999993</v>
      </c>
      <c r="H168" s="5">
        <v>81.099999999999994</v>
      </c>
      <c r="I168" s="6">
        <v>420000</v>
      </c>
      <c r="J168" s="1">
        <v>2026</v>
      </c>
      <c r="K168" s="6">
        <v>6709.2651757188496</v>
      </c>
      <c r="L168" s="6">
        <v>5178.791615289766</v>
      </c>
      <c r="M168" t="str">
        <f t="shared" si="33"/>
        <v>Ativo</v>
      </c>
      <c r="P168" s="8"/>
      <c r="Q168" t="str">
        <f t="shared" si="34"/>
        <v>Premium waterfront/marina</v>
      </c>
      <c r="R168" t="s">
        <v>206</v>
      </c>
      <c r="W168" s="7">
        <f t="shared" si="35"/>
        <v>1</v>
      </c>
      <c r="X168" t="str">
        <f t="shared" si="36"/>
        <v>A · Premium ativo</v>
      </c>
      <c r="Y168" t="str">
        <f t="shared" si="37"/>
        <v>Baixa</v>
      </c>
      <c r="AA168" t="str">
        <f t="shared" si="38"/>
        <v>Adicionar fonte/URL/data</v>
      </c>
      <c r="AB168" t="str">
        <f t="shared" si="39"/>
        <v>Alta</v>
      </c>
    </row>
    <row r="169" spans="1:28" x14ac:dyDescent="0.3">
      <c r="A169" s="1" t="s">
        <v>142</v>
      </c>
      <c r="B169" s="1" t="s">
        <v>26</v>
      </c>
      <c r="C169" s="1" t="s">
        <v>14</v>
      </c>
      <c r="D169" s="1" t="s">
        <v>47</v>
      </c>
      <c r="E169" s="1">
        <v>2</v>
      </c>
      <c r="F169" s="5">
        <v>92.7</v>
      </c>
      <c r="G169" s="5">
        <v>30.25</v>
      </c>
      <c r="H169" s="5">
        <v>122.95</v>
      </c>
      <c r="I169" s="6">
        <v>559000</v>
      </c>
      <c r="J169" s="1">
        <v>2026</v>
      </c>
      <c r="K169" s="6">
        <v>6030.2049622437971</v>
      </c>
      <c r="L169" s="6">
        <v>4546.563643757625</v>
      </c>
      <c r="M169" t="str">
        <f t="shared" si="33"/>
        <v>Ativo</v>
      </c>
      <c r="P169" s="8"/>
      <c r="Q169" t="str">
        <f t="shared" si="34"/>
        <v>Premium waterfront/marina</v>
      </c>
      <c r="R169" t="s">
        <v>206</v>
      </c>
      <c r="W169" s="7">
        <f t="shared" si="35"/>
        <v>1</v>
      </c>
      <c r="X169" t="str">
        <f t="shared" si="36"/>
        <v>A · Premium ativo</v>
      </c>
      <c r="Y169" t="str">
        <f t="shared" si="37"/>
        <v>Baixa</v>
      </c>
      <c r="AA169" t="str">
        <f t="shared" si="38"/>
        <v>Adicionar fonte/URL/data</v>
      </c>
      <c r="AB169" t="str">
        <f t="shared" si="39"/>
        <v>Alta</v>
      </c>
    </row>
    <row r="170" spans="1:28" x14ac:dyDescent="0.3">
      <c r="A170" s="1" t="s">
        <v>142</v>
      </c>
      <c r="B170" s="1" t="s">
        <v>27</v>
      </c>
      <c r="C170" s="1" t="s">
        <v>14</v>
      </c>
      <c r="D170" s="1" t="s">
        <v>47</v>
      </c>
      <c r="E170" s="1">
        <v>3</v>
      </c>
      <c r="F170" s="5">
        <v>99.9</v>
      </c>
      <c r="G170" s="5">
        <v>30.150000000000006</v>
      </c>
      <c r="H170" s="5">
        <v>130.05000000000001</v>
      </c>
      <c r="I170" s="6">
        <v>599000</v>
      </c>
      <c r="J170" s="1">
        <v>2026</v>
      </c>
      <c r="K170" s="6">
        <v>5995.9959959959961</v>
      </c>
      <c r="L170" s="6">
        <v>4605.9207996924251</v>
      </c>
      <c r="M170" t="str">
        <f t="shared" si="33"/>
        <v>Ativo</v>
      </c>
      <c r="P170" s="8"/>
      <c r="Q170" t="str">
        <f t="shared" si="34"/>
        <v>Premium waterfront/marina</v>
      </c>
      <c r="R170" t="s">
        <v>206</v>
      </c>
      <c r="W170" s="7">
        <f t="shared" si="35"/>
        <v>1</v>
      </c>
      <c r="X170" t="str">
        <f t="shared" si="36"/>
        <v>A · Premium ativo</v>
      </c>
      <c r="Y170" t="str">
        <f t="shared" si="37"/>
        <v>Baixa</v>
      </c>
      <c r="AA170" t="str">
        <f t="shared" si="38"/>
        <v>Adicionar fonte/URL/data</v>
      </c>
      <c r="AB170" t="str">
        <f t="shared" si="39"/>
        <v>Alta</v>
      </c>
    </row>
    <row r="171" spans="1:28" x14ac:dyDescent="0.3">
      <c r="A171" s="1" t="s">
        <v>142</v>
      </c>
      <c r="B171" s="1" t="s">
        <v>156</v>
      </c>
      <c r="C171" s="1">
        <v>4</v>
      </c>
      <c r="D171" s="1" t="s">
        <v>15</v>
      </c>
      <c r="E171" s="1">
        <v>1</v>
      </c>
      <c r="F171" s="5">
        <v>81.25</v>
      </c>
      <c r="G171" s="5">
        <v>30.25</v>
      </c>
      <c r="H171" s="5">
        <v>111.5</v>
      </c>
      <c r="I171" s="6">
        <v>675000</v>
      </c>
      <c r="J171" s="1">
        <v>2026</v>
      </c>
      <c r="K171" s="6">
        <v>8307.6923076923085</v>
      </c>
      <c r="L171" s="6">
        <v>6053.8116591928247</v>
      </c>
      <c r="M171" t="str">
        <f t="shared" si="33"/>
        <v>Ativo</v>
      </c>
      <c r="P171" s="8"/>
      <c r="Q171" t="str">
        <f t="shared" si="34"/>
        <v>Premium waterfront/marina</v>
      </c>
      <c r="R171" t="s">
        <v>206</v>
      </c>
      <c r="W171" s="7">
        <f t="shared" si="35"/>
        <v>1</v>
      </c>
      <c r="X171" t="str">
        <f t="shared" si="36"/>
        <v>A · Premium ativo</v>
      </c>
      <c r="Y171" t="str">
        <f t="shared" si="37"/>
        <v>Baixa</v>
      </c>
      <c r="AA171" t="str">
        <f t="shared" si="38"/>
        <v>Adicionar fonte/URL/data</v>
      </c>
      <c r="AB171" t="str">
        <f t="shared" si="39"/>
        <v>Alta</v>
      </c>
    </row>
    <row r="172" spans="1:28" x14ac:dyDescent="0.3">
      <c r="A172" s="1" t="s">
        <v>142</v>
      </c>
      <c r="B172" s="1" t="s">
        <v>157</v>
      </c>
      <c r="C172" s="1">
        <v>4</v>
      </c>
      <c r="D172" s="1" t="s">
        <v>15</v>
      </c>
      <c r="E172" s="1">
        <v>1</v>
      </c>
      <c r="F172" s="5">
        <v>81.3</v>
      </c>
      <c r="G172" s="5">
        <v>40.200000000000003</v>
      </c>
      <c r="H172" s="5">
        <v>121.5</v>
      </c>
      <c r="I172" s="6">
        <v>570000</v>
      </c>
      <c r="J172" s="1">
        <v>2026</v>
      </c>
      <c r="K172" s="6">
        <v>7011.0701107011073</v>
      </c>
      <c r="L172" s="6">
        <v>4691.358024691358</v>
      </c>
      <c r="M172" t="str">
        <f t="shared" si="33"/>
        <v>Ativo</v>
      </c>
      <c r="P172" s="8"/>
      <c r="Q172" t="str">
        <f t="shared" si="34"/>
        <v>Premium waterfront/marina</v>
      </c>
      <c r="R172" t="s">
        <v>206</v>
      </c>
      <c r="W172" s="7">
        <f t="shared" si="35"/>
        <v>1</v>
      </c>
      <c r="X172" t="str">
        <f t="shared" si="36"/>
        <v>A · Premium ativo</v>
      </c>
      <c r="Y172" t="str">
        <f t="shared" si="37"/>
        <v>Baixa</v>
      </c>
      <c r="AA172" t="str">
        <f t="shared" si="38"/>
        <v>Adicionar fonte/URL/data</v>
      </c>
      <c r="AB172" t="str">
        <f t="shared" si="39"/>
        <v>Alta</v>
      </c>
    </row>
    <row r="173" spans="1:28" x14ac:dyDescent="0.3">
      <c r="A173" s="1" t="s">
        <v>142</v>
      </c>
      <c r="B173" s="1" t="s">
        <v>158</v>
      </c>
      <c r="C173" s="1">
        <v>4</v>
      </c>
      <c r="D173" s="1" t="s">
        <v>15</v>
      </c>
      <c r="E173" s="1">
        <v>2</v>
      </c>
      <c r="F173" s="5">
        <v>76.7</v>
      </c>
      <c r="G173" s="5">
        <v>84.8</v>
      </c>
      <c r="H173" s="5">
        <v>161.5</v>
      </c>
      <c r="I173" s="6">
        <v>674000</v>
      </c>
      <c r="J173" s="1">
        <v>2026</v>
      </c>
      <c r="K173" s="6">
        <v>8787.4837027379399</v>
      </c>
      <c r="L173" s="6">
        <v>4173.3746130030959</v>
      </c>
      <c r="M173" t="str">
        <f t="shared" si="33"/>
        <v>Ativo</v>
      </c>
      <c r="P173" s="8"/>
      <c r="Q173" t="str">
        <f t="shared" si="34"/>
        <v>Premium waterfront/marina</v>
      </c>
      <c r="R173" t="s">
        <v>206</v>
      </c>
      <c r="W173" s="7">
        <f t="shared" si="35"/>
        <v>1</v>
      </c>
      <c r="X173" t="str">
        <f t="shared" si="36"/>
        <v>A · Premium ativo</v>
      </c>
      <c r="Y173" t="str">
        <f t="shared" si="37"/>
        <v>Baixa</v>
      </c>
      <c r="AA173" t="str">
        <f t="shared" si="38"/>
        <v>Adicionar fonte/URL/data</v>
      </c>
      <c r="AB173" t="str">
        <f t="shared" si="39"/>
        <v>Alta</v>
      </c>
    </row>
    <row r="174" spans="1:28" x14ac:dyDescent="0.3">
      <c r="A174" s="1" t="s">
        <v>207</v>
      </c>
      <c r="B174" s="1" t="s">
        <v>208</v>
      </c>
      <c r="C174" s="1">
        <v>0</v>
      </c>
      <c r="D174" s="1" t="s">
        <v>15</v>
      </c>
      <c r="E174">
        <v>4</v>
      </c>
      <c r="F174" s="5">
        <v>91.55</v>
      </c>
      <c r="G174" s="5">
        <v>38.85</v>
      </c>
      <c r="H174" s="5">
        <v>130.4</v>
      </c>
      <c r="I174" s="6">
        <v>400000</v>
      </c>
      <c r="J174" s="1">
        <v>2024</v>
      </c>
      <c r="K174" s="6">
        <v>4369.1971600218458</v>
      </c>
      <c r="L174" s="6">
        <v>3067.4846625766868</v>
      </c>
      <c r="M174" t="str">
        <f t="shared" si="33"/>
        <v>Histórico</v>
      </c>
      <c r="P174" s="8"/>
      <c r="Q174" t="s">
        <v>492</v>
      </c>
      <c r="W174" s="7">
        <f t="shared" ref="W174:W237" si="40">IF(A174="The View",1,MAX(0.25,MIN(1,IF(J174&gt;=2026,1,IF(J174=2025,0.8,IF(J174=2024,0.45,0.3)))*IF(Q174="Premium waterfront/marina",1,IF(Q174="Benchmark local",0.7,0.6))*IF(M174="Vendido",0.65,IF(M174="Reservado",0.8,IF(M174="Histórico",0.55,1))))))</f>
        <v>0.25</v>
      </c>
      <c r="X174" t="str">
        <f t="shared" ref="X174:X237" si="41">IF(A174="The View","Projeto",IF(W174&gt;=0.85,"A · Premium ativo",IF(W174&gt;=0.55,"B · Benchmark local","C · Histórico/secundário")))</f>
        <v>C · Histórico/secundário</v>
      </c>
    </row>
    <row r="175" spans="1:28" x14ac:dyDescent="0.3">
      <c r="A175" s="1" t="s">
        <v>207</v>
      </c>
      <c r="B175" s="1" t="s">
        <v>215</v>
      </c>
      <c r="C175" s="1">
        <v>0</v>
      </c>
      <c r="D175" s="1" t="s">
        <v>47</v>
      </c>
      <c r="E175">
        <v>4</v>
      </c>
      <c r="F175" s="5">
        <v>110.1</v>
      </c>
      <c r="G175" s="5">
        <v>44.2</v>
      </c>
      <c r="H175" s="5">
        <v>154.30000000000001</v>
      </c>
      <c r="I175" s="6">
        <v>500000</v>
      </c>
      <c r="J175" s="1">
        <v>2024</v>
      </c>
      <c r="K175" s="6">
        <v>4541.3260672116257</v>
      </c>
      <c r="L175" s="6">
        <v>3240.4406999351909</v>
      </c>
      <c r="M175" t="str">
        <f t="shared" si="33"/>
        <v>Histórico</v>
      </c>
      <c r="P175" s="8"/>
      <c r="Q175" t="str">
        <f t="shared" si="34"/>
        <v>A classificar</v>
      </c>
      <c r="W175" s="7">
        <f t="shared" si="40"/>
        <v>0.25</v>
      </c>
      <c r="X175" t="str">
        <f t="shared" si="41"/>
        <v>C · Histórico/secundário</v>
      </c>
    </row>
    <row r="176" spans="1:28" x14ac:dyDescent="0.3">
      <c r="A176" s="1" t="s">
        <v>207</v>
      </c>
      <c r="B176" s="1" t="s">
        <v>216</v>
      </c>
      <c r="C176" s="1">
        <v>0</v>
      </c>
      <c r="D176" s="1" t="s">
        <v>47</v>
      </c>
      <c r="E176">
        <v>4</v>
      </c>
      <c r="F176" s="5">
        <v>111.1</v>
      </c>
      <c r="G176" s="5">
        <v>44.2</v>
      </c>
      <c r="H176" s="5">
        <v>155.30000000000001</v>
      </c>
      <c r="I176" s="6">
        <v>535500</v>
      </c>
      <c r="J176" s="1">
        <v>2026</v>
      </c>
      <c r="K176" s="6">
        <v>4410.441044104411</v>
      </c>
      <c r="L176" s="6">
        <v>3155.1835157759174</v>
      </c>
      <c r="M176" t="str">
        <f t="shared" si="33"/>
        <v>Ativo</v>
      </c>
      <c r="P176" s="8"/>
      <c r="Q176" t="str">
        <f t="shared" si="34"/>
        <v>A classificar</v>
      </c>
      <c r="W176" s="7">
        <f t="shared" si="40"/>
        <v>0.6</v>
      </c>
      <c r="X176" t="str">
        <f t="shared" si="41"/>
        <v>B · Benchmark local</v>
      </c>
    </row>
    <row r="177" spans="1:24" x14ac:dyDescent="0.3">
      <c r="A177" s="1" t="s">
        <v>207</v>
      </c>
      <c r="B177" s="1" t="s">
        <v>217</v>
      </c>
      <c r="C177" s="1">
        <v>0</v>
      </c>
      <c r="D177" s="1" t="s">
        <v>47</v>
      </c>
      <c r="E177">
        <v>4</v>
      </c>
      <c r="F177" s="5">
        <v>111.1</v>
      </c>
      <c r="G177" s="5">
        <v>44.2</v>
      </c>
      <c r="H177" s="5">
        <v>155.30000000000001</v>
      </c>
      <c r="I177" s="6">
        <v>500000</v>
      </c>
      <c r="J177" s="1">
        <v>2024</v>
      </c>
      <c r="K177" s="6">
        <v>4500.4500450045007</v>
      </c>
      <c r="L177" s="6">
        <v>3219.5750160978751</v>
      </c>
      <c r="M177" t="str">
        <f t="shared" si="33"/>
        <v>Histórico</v>
      </c>
      <c r="P177" s="8"/>
      <c r="Q177" t="str">
        <f t="shared" si="34"/>
        <v>A classificar</v>
      </c>
      <c r="W177" s="7">
        <f t="shared" si="40"/>
        <v>0.25</v>
      </c>
      <c r="X177" t="str">
        <f t="shared" si="41"/>
        <v>C · Histórico/secundário</v>
      </c>
    </row>
    <row r="178" spans="1:24" x14ac:dyDescent="0.3">
      <c r="A178" s="1" t="s">
        <v>207</v>
      </c>
      <c r="B178" s="1" t="s">
        <v>218</v>
      </c>
      <c r="C178" s="1">
        <v>0</v>
      </c>
      <c r="D178" s="1" t="s">
        <v>15</v>
      </c>
      <c r="E178">
        <v>4</v>
      </c>
      <c r="F178" s="5">
        <v>91.55</v>
      </c>
      <c r="G178" s="5">
        <v>38.6</v>
      </c>
      <c r="H178" s="5">
        <v>130.15</v>
      </c>
      <c r="I178" s="6">
        <v>400000</v>
      </c>
      <c r="J178" s="1">
        <v>2024</v>
      </c>
      <c r="K178" s="6">
        <v>4369.1971600218458</v>
      </c>
      <c r="L178" s="6">
        <v>3073.3768728390319</v>
      </c>
      <c r="M178" t="str">
        <f t="shared" si="33"/>
        <v>Histórico</v>
      </c>
      <c r="P178" s="8"/>
      <c r="Q178" t="str">
        <f t="shared" si="34"/>
        <v>A classificar</v>
      </c>
      <c r="W178" s="7">
        <f t="shared" si="40"/>
        <v>0.25</v>
      </c>
      <c r="X178" t="str">
        <f t="shared" si="41"/>
        <v>C · Histórico/secundário</v>
      </c>
    </row>
    <row r="179" spans="1:24" x14ac:dyDescent="0.3">
      <c r="A179" s="1" t="s">
        <v>207</v>
      </c>
      <c r="B179" s="1" t="s">
        <v>219</v>
      </c>
      <c r="C179" s="1">
        <v>1</v>
      </c>
      <c r="D179" s="1" t="s">
        <v>15</v>
      </c>
      <c r="E179">
        <v>4</v>
      </c>
      <c r="F179" s="5">
        <v>101.2</v>
      </c>
      <c r="G179" s="5">
        <v>21.9</v>
      </c>
      <c r="H179" s="5">
        <v>123.1</v>
      </c>
      <c r="I179" s="6">
        <v>400000</v>
      </c>
      <c r="J179" s="1">
        <v>2024</v>
      </c>
      <c r="K179" s="6">
        <v>3952.569169960474</v>
      </c>
      <c r="L179" s="6">
        <v>3249.3907392363935</v>
      </c>
      <c r="M179" t="str">
        <f t="shared" si="33"/>
        <v>Histórico</v>
      </c>
      <c r="P179" s="8"/>
      <c r="Q179" t="str">
        <f t="shared" si="34"/>
        <v>A classificar</v>
      </c>
      <c r="W179" s="7">
        <f t="shared" si="40"/>
        <v>0.25</v>
      </c>
      <c r="X179" t="str">
        <f t="shared" si="41"/>
        <v>C · Histórico/secundário</v>
      </c>
    </row>
    <row r="180" spans="1:24" x14ac:dyDescent="0.3">
      <c r="A180" s="1" t="s">
        <v>207</v>
      </c>
      <c r="B180" s="1" t="s">
        <v>220</v>
      </c>
      <c r="C180" s="1">
        <v>1</v>
      </c>
      <c r="D180" s="1" t="s">
        <v>25</v>
      </c>
      <c r="E180">
        <v>4</v>
      </c>
      <c r="F180" s="5">
        <v>57</v>
      </c>
      <c r="G180" s="5">
        <v>9.85</v>
      </c>
      <c r="H180" s="5">
        <v>66.849999999999994</v>
      </c>
      <c r="I180" s="6">
        <v>280000</v>
      </c>
      <c r="J180" s="1">
        <v>2024</v>
      </c>
      <c r="K180" s="6">
        <v>4912.2807017543855</v>
      </c>
      <c r="L180" s="6">
        <v>4188.4816753926707</v>
      </c>
      <c r="M180" t="str">
        <f t="shared" si="33"/>
        <v>Histórico</v>
      </c>
      <c r="P180" s="8"/>
      <c r="Q180" t="str">
        <f t="shared" si="34"/>
        <v>A classificar</v>
      </c>
      <c r="W180" s="7">
        <f t="shared" si="40"/>
        <v>0.25</v>
      </c>
      <c r="X180" t="str">
        <f t="shared" si="41"/>
        <v>C · Histórico/secundário</v>
      </c>
    </row>
    <row r="181" spans="1:24" x14ac:dyDescent="0.3">
      <c r="A181" s="1" t="s">
        <v>207</v>
      </c>
      <c r="B181" s="1" t="s">
        <v>221</v>
      </c>
      <c r="C181" s="1">
        <v>1</v>
      </c>
      <c r="D181" s="1" t="s">
        <v>25</v>
      </c>
      <c r="E181">
        <v>4</v>
      </c>
      <c r="F181" s="5">
        <v>57</v>
      </c>
      <c r="G181" s="5">
        <v>9</v>
      </c>
      <c r="H181" s="5">
        <v>66</v>
      </c>
      <c r="I181" s="6">
        <v>275000</v>
      </c>
      <c r="J181" s="1">
        <v>2024</v>
      </c>
      <c r="K181" s="6">
        <v>4824.5614035087719</v>
      </c>
      <c r="L181" s="6">
        <v>4166.666666666667</v>
      </c>
      <c r="M181" t="str">
        <f t="shared" si="33"/>
        <v>Histórico</v>
      </c>
      <c r="P181" s="8"/>
      <c r="Q181" t="str">
        <f t="shared" si="34"/>
        <v>A classificar</v>
      </c>
      <c r="W181" s="7">
        <f t="shared" si="40"/>
        <v>0.25</v>
      </c>
      <c r="X181" t="str">
        <f t="shared" si="41"/>
        <v>C · Histórico/secundário</v>
      </c>
    </row>
    <row r="182" spans="1:24" x14ac:dyDescent="0.3">
      <c r="A182" s="1" t="s">
        <v>207</v>
      </c>
      <c r="B182" s="1" t="s">
        <v>222</v>
      </c>
      <c r="C182" s="1">
        <v>1</v>
      </c>
      <c r="D182" s="1" t="s">
        <v>15</v>
      </c>
      <c r="E182">
        <v>4</v>
      </c>
      <c r="F182" s="5">
        <v>99.6</v>
      </c>
      <c r="G182" s="5">
        <v>18.45</v>
      </c>
      <c r="H182" s="5">
        <v>118.05</v>
      </c>
      <c r="I182" s="6">
        <v>380000</v>
      </c>
      <c r="J182" s="1">
        <v>2024</v>
      </c>
      <c r="K182" s="6">
        <v>3815.2610441767069</v>
      </c>
      <c r="L182" s="6">
        <v>3218.9750105887338</v>
      </c>
      <c r="M182" t="str">
        <f t="shared" si="33"/>
        <v>Histórico</v>
      </c>
      <c r="P182" s="8"/>
      <c r="Q182" t="str">
        <f t="shared" si="34"/>
        <v>A classificar</v>
      </c>
      <c r="W182" s="7">
        <f t="shared" si="40"/>
        <v>0.25</v>
      </c>
      <c r="X182" t="str">
        <f t="shared" si="41"/>
        <v>C · Histórico/secundário</v>
      </c>
    </row>
    <row r="183" spans="1:24" x14ac:dyDescent="0.3">
      <c r="A183" s="1" t="s">
        <v>207</v>
      </c>
      <c r="B183" s="1" t="s">
        <v>223</v>
      </c>
      <c r="C183" s="1">
        <v>1</v>
      </c>
      <c r="D183" s="1" t="s">
        <v>25</v>
      </c>
      <c r="E183">
        <v>4</v>
      </c>
      <c r="F183" s="5">
        <v>57</v>
      </c>
      <c r="G183" s="5">
        <v>9.9499999999999993</v>
      </c>
      <c r="H183" s="5">
        <v>66.95</v>
      </c>
      <c r="I183" s="6">
        <v>275000</v>
      </c>
      <c r="J183" s="1">
        <v>2024</v>
      </c>
      <c r="K183" s="6">
        <v>4824.5614035087719</v>
      </c>
      <c r="L183" s="6">
        <v>4107.5429424943986</v>
      </c>
      <c r="M183" t="str">
        <f t="shared" si="33"/>
        <v>Histórico</v>
      </c>
      <c r="P183" s="8"/>
      <c r="Q183" t="str">
        <f t="shared" si="34"/>
        <v>A classificar</v>
      </c>
      <c r="W183" s="7">
        <f t="shared" si="40"/>
        <v>0.25</v>
      </c>
      <c r="X183" t="str">
        <f t="shared" si="41"/>
        <v>C · Histórico/secundário</v>
      </c>
    </row>
    <row r="184" spans="1:24" x14ac:dyDescent="0.3">
      <c r="A184" s="1" t="s">
        <v>207</v>
      </c>
      <c r="B184" s="1" t="s">
        <v>224</v>
      </c>
      <c r="C184" s="1">
        <v>1</v>
      </c>
      <c r="D184" s="1" t="s">
        <v>15</v>
      </c>
      <c r="E184">
        <v>4</v>
      </c>
      <c r="F184" s="5">
        <v>101.2</v>
      </c>
      <c r="G184" s="5">
        <v>31.9</v>
      </c>
      <c r="H184" s="5">
        <v>133.1</v>
      </c>
      <c r="I184" s="6">
        <v>385000</v>
      </c>
      <c r="J184" s="1">
        <v>2024</v>
      </c>
      <c r="K184" s="6">
        <v>3804.3478260869565</v>
      </c>
      <c r="L184" s="6">
        <v>2892.5619834710747</v>
      </c>
      <c r="M184" t="str">
        <f t="shared" si="33"/>
        <v>Histórico</v>
      </c>
      <c r="P184" s="8"/>
      <c r="Q184" t="str">
        <f t="shared" si="34"/>
        <v>A classificar</v>
      </c>
      <c r="W184" s="7">
        <f t="shared" si="40"/>
        <v>0.25</v>
      </c>
      <c r="X184" t="str">
        <f t="shared" si="41"/>
        <v>C · Histórico/secundário</v>
      </c>
    </row>
    <row r="185" spans="1:24" x14ac:dyDescent="0.3">
      <c r="A185" s="1" t="s">
        <v>207</v>
      </c>
      <c r="B185" s="1" t="s">
        <v>225</v>
      </c>
      <c r="C185" s="1">
        <v>2</v>
      </c>
      <c r="D185" s="1" t="s">
        <v>15</v>
      </c>
      <c r="E185">
        <v>4</v>
      </c>
      <c r="F185" s="5">
        <v>101.2</v>
      </c>
      <c r="G185" s="5">
        <v>22.55</v>
      </c>
      <c r="H185" s="5">
        <v>123.75</v>
      </c>
      <c r="I185" s="6">
        <v>400000</v>
      </c>
      <c r="J185" s="1">
        <v>2024</v>
      </c>
      <c r="K185" s="6">
        <v>3952.569169960474</v>
      </c>
      <c r="L185" s="6">
        <v>3232.3232323232323</v>
      </c>
      <c r="M185" t="str">
        <f t="shared" si="33"/>
        <v>Histórico</v>
      </c>
      <c r="P185" s="8"/>
      <c r="Q185" t="str">
        <f t="shared" si="34"/>
        <v>A classificar</v>
      </c>
      <c r="W185" s="7">
        <f t="shared" si="40"/>
        <v>0.25</v>
      </c>
      <c r="X185" t="str">
        <f t="shared" si="41"/>
        <v>C · Histórico/secundário</v>
      </c>
    </row>
    <row r="186" spans="1:24" x14ac:dyDescent="0.3">
      <c r="A186" s="1" t="s">
        <v>207</v>
      </c>
      <c r="B186" s="1" t="s">
        <v>226</v>
      </c>
      <c r="C186" s="1">
        <v>2</v>
      </c>
      <c r="D186" s="1" t="s">
        <v>25</v>
      </c>
      <c r="E186">
        <v>4</v>
      </c>
      <c r="F186" s="5">
        <v>57</v>
      </c>
      <c r="G186" s="5">
        <v>9</v>
      </c>
      <c r="H186" s="5">
        <v>66</v>
      </c>
      <c r="I186" s="6">
        <v>285000</v>
      </c>
      <c r="J186" s="1">
        <v>2024</v>
      </c>
      <c r="K186" s="6">
        <v>5000</v>
      </c>
      <c r="L186" s="6">
        <v>4318.181818181818</v>
      </c>
      <c r="M186" t="str">
        <f t="shared" si="33"/>
        <v>Histórico</v>
      </c>
      <c r="P186" s="8"/>
      <c r="Q186" t="str">
        <f t="shared" si="34"/>
        <v>A classificar</v>
      </c>
      <c r="W186" s="7">
        <f t="shared" si="40"/>
        <v>0.25</v>
      </c>
      <c r="X186" t="str">
        <f t="shared" si="41"/>
        <v>C · Histórico/secundário</v>
      </c>
    </row>
    <row r="187" spans="1:24" x14ac:dyDescent="0.3">
      <c r="A187" s="1" t="s">
        <v>207</v>
      </c>
      <c r="B187" s="1" t="s">
        <v>227</v>
      </c>
      <c r="C187" s="1">
        <v>2</v>
      </c>
      <c r="D187" s="1" t="s">
        <v>25</v>
      </c>
      <c r="E187">
        <v>4</v>
      </c>
      <c r="F187" s="5">
        <v>57</v>
      </c>
      <c r="G187" s="5">
        <v>9.85</v>
      </c>
      <c r="H187" s="5">
        <v>66.849999999999994</v>
      </c>
      <c r="I187" s="6">
        <v>290000</v>
      </c>
      <c r="J187" s="1">
        <v>2024</v>
      </c>
      <c r="K187" s="6">
        <v>5087.7192982456145</v>
      </c>
      <c r="L187" s="6">
        <v>4338.0703066566948</v>
      </c>
      <c r="M187" t="str">
        <f t="shared" si="33"/>
        <v>Histórico</v>
      </c>
      <c r="P187" s="8"/>
      <c r="Q187" t="str">
        <f t="shared" si="34"/>
        <v>A classificar</v>
      </c>
      <c r="W187" s="7">
        <f t="shared" si="40"/>
        <v>0.25</v>
      </c>
      <c r="X187" t="str">
        <f t="shared" si="41"/>
        <v>C · Histórico/secundário</v>
      </c>
    </row>
    <row r="188" spans="1:24" x14ac:dyDescent="0.3">
      <c r="A188" s="1" t="s">
        <v>207</v>
      </c>
      <c r="B188" s="1" t="s">
        <v>228</v>
      </c>
      <c r="C188" s="1">
        <v>2</v>
      </c>
      <c r="D188" s="1" t="s">
        <v>15</v>
      </c>
      <c r="E188">
        <v>4</v>
      </c>
      <c r="F188" s="5">
        <v>99.6</v>
      </c>
      <c r="G188" s="5">
        <v>19.600000000000001</v>
      </c>
      <c r="H188" s="5">
        <v>119.19999999999999</v>
      </c>
      <c r="I188" s="6">
        <v>405000</v>
      </c>
      <c r="J188" s="1">
        <v>2024</v>
      </c>
      <c r="K188" s="6">
        <v>4066.265060240964</v>
      </c>
      <c r="L188" s="6">
        <v>3397.6510067114095</v>
      </c>
      <c r="M188" t="str">
        <f t="shared" si="33"/>
        <v>Histórico</v>
      </c>
      <c r="P188" s="8"/>
      <c r="Q188" t="str">
        <f t="shared" si="34"/>
        <v>A classificar</v>
      </c>
      <c r="W188" s="7">
        <f t="shared" si="40"/>
        <v>0.25</v>
      </c>
      <c r="X188" t="str">
        <f t="shared" si="41"/>
        <v>C · Histórico/secundário</v>
      </c>
    </row>
    <row r="189" spans="1:24" x14ac:dyDescent="0.3">
      <c r="A189" s="1" t="s">
        <v>207</v>
      </c>
      <c r="B189" s="1" t="s">
        <v>229</v>
      </c>
      <c r="C189" s="1">
        <v>2</v>
      </c>
      <c r="D189" s="1" t="s">
        <v>25</v>
      </c>
      <c r="E189">
        <v>4</v>
      </c>
      <c r="F189" s="5">
        <v>55.85</v>
      </c>
      <c r="G189" s="5">
        <v>11.1</v>
      </c>
      <c r="H189" s="5">
        <v>66.95</v>
      </c>
      <c r="I189" s="6">
        <v>215000</v>
      </c>
      <c r="J189" s="1">
        <v>2024</v>
      </c>
      <c r="K189" s="6">
        <v>3849.5971351835274</v>
      </c>
      <c r="L189" s="6">
        <v>3211.3517550410752</v>
      </c>
      <c r="M189" t="str">
        <f t="shared" si="33"/>
        <v>Histórico</v>
      </c>
      <c r="P189" s="8"/>
      <c r="Q189" t="str">
        <f t="shared" si="34"/>
        <v>A classificar</v>
      </c>
      <c r="W189" s="7">
        <f t="shared" si="40"/>
        <v>0.25</v>
      </c>
      <c r="X189" t="str">
        <f t="shared" si="41"/>
        <v>C · Histórico/secundário</v>
      </c>
    </row>
    <row r="190" spans="1:24" x14ac:dyDescent="0.3">
      <c r="A190" s="1" t="s">
        <v>207</v>
      </c>
      <c r="B190" s="1" t="s">
        <v>230</v>
      </c>
      <c r="C190" s="1">
        <v>3</v>
      </c>
      <c r="D190" s="1" t="s">
        <v>15</v>
      </c>
      <c r="E190">
        <v>4</v>
      </c>
      <c r="F190" s="5">
        <v>101.2</v>
      </c>
      <c r="G190" s="5">
        <v>21.9</v>
      </c>
      <c r="H190" s="5">
        <v>123.1</v>
      </c>
      <c r="I190" s="6">
        <v>415000</v>
      </c>
      <c r="J190" s="1">
        <v>2024</v>
      </c>
      <c r="K190" s="6">
        <v>4100.790513833992</v>
      </c>
      <c r="L190" s="6">
        <v>3371.2428919577583</v>
      </c>
      <c r="M190" t="str">
        <f t="shared" si="33"/>
        <v>Histórico</v>
      </c>
      <c r="P190" s="8"/>
      <c r="Q190" t="str">
        <f t="shared" si="34"/>
        <v>A classificar</v>
      </c>
      <c r="W190" s="7">
        <f t="shared" si="40"/>
        <v>0.25</v>
      </c>
      <c r="X190" t="str">
        <f t="shared" si="41"/>
        <v>C · Histórico/secundário</v>
      </c>
    </row>
    <row r="191" spans="1:24" x14ac:dyDescent="0.3">
      <c r="A191" s="1" t="s">
        <v>207</v>
      </c>
      <c r="B191" s="1" t="s">
        <v>231</v>
      </c>
      <c r="C191" s="1">
        <v>3</v>
      </c>
      <c r="D191" s="1" t="s">
        <v>25</v>
      </c>
      <c r="E191">
        <v>4</v>
      </c>
      <c r="F191" s="5">
        <v>55.85</v>
      </c>
      <c r="G191" s="5">
        <v>11.1</v>
      </c>
      <c r="H191" s="5">
        <v>66.95</v>
      </c>
      <c r="I191" s="6">
        <v>235000</v>
      </c>
      <c r="J191" s="1">
        <v>2024</v>
      </c>
      <c r="K191" s="6">
        <v>4207.6991942703671</v>
      </c>
      <c r="L191" s="6">
        <v>3510.0821508588497</v>
      </c>
      <c r="M191" t="str">
        <f t="shared" si="33"/>
        <v>Histórico</v>
      </c>
      <c r="P191" s="8"/>
      <c r="Q191" t="str">
        <f t="shared" si="34"/>
        <v>A classificar</v>
      </c>
      <c r="W191" s="7">
        <f t="shared" si="40"/>
        <v>0.25</v>
      </c>
      <c r="X191" t="str">
        <f t="shared" si="41"/>
        <v>C · Histórico/secundário</v>
      </c>
    </row>
    <row r="192" spans="1:24" x14ac:dyDescent="0.3">
      <c r="A192" s="1" t="s">
        <v>207</v>
      </c>
      <c r="B192" s="1" t="s">
        <v>232</v>
      </c>
      <c r="C192" s="1">
        <v>3</v>
      </c>
      <c r="D192" s="1" t="s">
        <v>25</v>
      </c>
      <c r="E192">
        <v>4</v>
      </c>
      <c r="F192" s="5">
        <v>57</v>
      </c>
      <c r="G192" s="5">
        <v>9.85</v>
      </c>
      <c r="H192" s="5">
        <v>66.849999999999994</v>
      </c>
      <c r="I192" s="6">
        <v>295000</v>
      </c>
      <c r="J192" s="1">
        <v>2024</v>
      </c>
      <c r="K192" s="6">
        <v>5175.4385964912281</v>
      </c>
      <c r="L192" s="6">
        <v>4412.8646222887064</v>
      </c>
      <c r="M192" t="str">
        <f t="shared" si="33"/>
        <v>Histórico</v>
      </c>
      <c r="P192" s="8"/>
      <c r="Q192" t="str">
        <f t="shared" si="34"/>
        <v>A classificar</v>
      </c>
      <c r="W192" s="7">
        <f t="shared" si="40"/>
        <v>0.25</v>
      </c>
      <c r="X192" t="str">
        <f t="shared" si="41"/>
        <v>C · Histórico/secundário</v>
      </c>
    </row>
    <row r="193" spans="1:24" x14ac:dyDescent="0.3">
      <c r="A193" s="1" t="s">
        <v>207</v>
      </c>
      <c r="B193" s="1" t="s">
        <v>233</v>
      </c>
      <c r="C193" s="1">
        <v>3</v>
      </c>
      <c r="D193" s="1" t="s">
        <v>25</v>
      </c>
      <c r="E193">
        <v>4</v>
      </c>
      <c r="F193" s="5">
        <v>55.85</v>
      </c>
      <c r="G193" s="5">
        <v>11.55</v>
      </c>
      <c r="H193" s="5">
        <v>67.400000000000006</v>
      </c>
      <c r="I193" s="6">
        <v>235000</v>
      </c>
      <c r="J193" s="1">
        <v>2024</v>
      </c>
      <c r="K193" s="6">
        <v>4207.6991942703671</v>
      </c>
      <c r="L193" s="6">
        <v>3486.6468842729969</v>
      </c>
      <c r="M193" t="str">
        <f t="shared" si="33"/>
        <v>Histórico</v>
      </c>
      <c r="P193" s="8"/>
      <c r="Q193" t="str">
        <f t="shared" si="34"/>
        <v>A classificar</v>
      </c>
      <c r="W193" s="7">
        <f t="shared" si="40"/>
        <v>0.25</v>
      </c>
      <c r="X193" t="str">
        <f t="shared" si="41"/>
        <v>C · Histórico/secundário</v>
      </c>
    </row>
    <row r="194" spans="1:24" x14ac:dyDescent="0.3">
      <c r="A194" s="1" t="s">
        <v>207</v>
      </c>
      <c r="B194" s="1" t="s">
        <v>234</v>
      </c>
      <c r="C194" s="1">
        <v>3</v>
      </c>
      <c r="D194" s="1" t="s">
        <v>15</v>
      </c>
      <c r="E194">
        <v>4</v>
      </c>
      <c r="F194" s="5">
        <v>99.6</v>
      </c>
      <c r="G194" s="5">
        <v>19.600000000000001</v>
      </c>
      <c r="H194" s="5">
        <v>119.19999999999999</v>
      </c>
      <c r="I194" s="6">
        <v>425000</v>
      </c>
      <c r="J194" s="1">
        <v>2024</v>
      </c>
      <c r="K194" s="6">
        <v>4267.06827309237</v>
      </c>
      <c r="L194" s="6">
        <v>3565.4362416107388</v>
      </c>
      <c r="M194" t="str">
        <f t="shared" si="33"/>
        <v>Histórico</v>
      </c>
      <c r="P194" s="8"/>
      <c r="Q194" t="str">
        <f t="shared" si="34"/>
        <v>A classificar</v>
      </c>
      <c r="W194" s="7">
        <f t="shared" si="40"/>
        <v>0.25</v>
      </c>
      <c r="X194" t="str">
        <f t="shared" si="41"/>
        <v>C · Histórico/secundário</v>
      </c>
    </row>
    <row r="195" spans="1:24" x14ac:dyDescent="0.3">
      <c r="A195" s="1" t="s">
        <v>207</v>
      </c>
      <c r="B195" s="1" t="s">
        <v>235</v>
      </c>
      <c r="C195" s="1">
        <v>3</v>
      </c>
      <c r="D195" s="1" t="s">
        <v>15</v>
      </c>
      <c r="E195">
        <v>4</v>
      </c>
      <c r="F195" s="5">
        <v>101.2</v>
      </c>
      <c r="G195" s="5">
        <v>21.45</v>
      </c>
      <c r="H195" s="5">
        <v>122.65</v>
      </c>
      <c r="I195" s="6">
        <v>435000</v>
      </c>
      <c r="J195" s="1">
        <v>2024</v>
      </c>
      <c r="K195" s="6">
        <v>4298.418972332016</v>
      </c>
      <c r="L195" s="6">
        <v>3546.6775377089275</v>
      </c>
      <c r="M195" t="str">
        <f t="shared" si="33"/>
        <v>Histórico</v>
      </c>
      <c r="P195" s="8"/>
      <c r="Q195" t="str">
        <f t="shared" si="34"/>
        <v>A classificar</v>
      </c>
      <c r="W195" s="7">
        <f t="shared" si="40"/>
        <v>0.25</v>
      </c>
      <c r="X195" t="str">
        <f t="shared" si="41"/>
        <v>C · Histórico/secundário</v>
      </c>
    </row>
    <row r="196" spans="1:24" x14ac:dyDescent="0.3">
      <c r="A196" s="1" t="s">
        <v>207</v>
      </c>
      <c r="B196" s="1" t="s">
        <v>236</v>
      </c>
      <c r="C196" s="1">
        <v>4</v>
      </c>
      <c r="D196" s="1" t="s">
        <v>15</v>
      </c>
      <c r="E196">
        <v>4</v>
      </c>
      <c r="F196" s="5">
        <v>101.2</v>
      </c>
      <c r="G196" s="5">
        <v>20.45</v>
      </c>
      <c r="H196" s="5">
        <v>121.65</v>
      </c>
      <c r="I196" s="6">
        <v>520000</v>
      </c>
      <c r="J196" s="1">
        <v>2024</v>
      </c>
      <c r="K196" s="6">
        <v>5138.3399209486161</v>
      </c>
      <c r="L196" s="6">
        <v>4274.5581586518701</v>
      </c>
      <c r="M196" t="str">
        <f t="shared" si="33"/>
        <v>Histórico</v>
      </c>
      <c r="P196" s="8"/>
      <c r="Q196" t="str">
        <f t="shared" si="34"/>
        <v>A classificar</v>
      </c>
      <c r="W196" s="7">
        <f t="shared" si="40"/>
        <v>0.25</v>
      </c>
      <c r="X196" t="str">
        <f t="shared" si="41"/>
        <v>C · Histórico/secundário</v>
      </c>
    </row>
    <row r="197" spans="1:24" x14ac:dyDescent="0.3">
      <c r="A197" s="1" t="s">
        <v>207</v>
      </c>
      <c r="B197" s="1" t="s">
        <v>237</v>
      </c>
      <c r="C197" s="1">
        <v>4</v>
      </c>
      <c r="D197" s="1" t="s">
        <v>47</v>
      </c>
      <c r="E197">
        <v>4</v>
      </c>
      <c r="F197" s="5">
        <v>116.2</v>
      </c>
      <c r="G197" s="5">
        <v>20.100000000000001</v>
      </c>
      <c r="H197" s="5">
        <v>136.30000000000001</v>
      </c>
      <c r="I197" s="6">
        <v>590000</v>
      </c>
      <c r="J197" s="1">
        <v>2024</v>
      </c>
      <c r="K197" s="6">
        <v>5077.4526678141137</v>
      </c>
      <c r="L197" s="6">
        <v>4328.6867204695518</v>
      </c>
      <c r="M197" t="str">
        <f t="shared" si="33"/>
        <v>Histórico</v>
      </c>
      <c r="P197" s="8"/>
      <c r="Q197" t="str">
        <f t="shared" si="34"/>
        <v>A classificar</v>
      </c>
      <c r="W197" s="7">
        <f t="shared" si="40"/>
        <v>0.25</v>
      </c>
      <c r="X197" t="str">
        <f t="shared" si="41"/>
        <v>C · Histórico/secundário</v>
      </c>
    </row>
    <row r="198" spans="1:24" x14ac:dyDescent="0.3">
      <c r="A198" s="1" t="s">
        <v>207</v>
      </c>
      <c r="B198" s="1" t="s">
        <v>238</v>
      </c>
      <c r="C198" s="1">
        <v>4</v>
      </c>
      <c r="D198" s="1" t="s">
        <v>15</v>
      </c>
      <c r="E198">
        <v>4</v>
      </c>
      <c r="F198" s="5">
        <v>99.6</v>
      </c>
      <c r="G198" s="5">
        <v>19.600000000000001</v>
      </c>
      <c r="H198" s="5">
        <v>119.19999999999999</v>
      </c>
      <c r="I198" s="6">
        <v>520000</v>
      </c>
      <c r="J198" s="1">
        <v>2024</v>
      </c>
      <c r="K198" s="6">
        <v>5220.8835341365466</v>
      </c>
      <c r="L198" s="6">
        <v>4362.4161073825508</v>
      </c>
      <c r="M198" t="str">
        <f t="shared" si="33"/>
        <v>Histórico</v>
      </c>
      <c r="P198" s="8"/>
      <c r="Q198" t="str">
        <f t="shared" si="34"/>
        <v>A classificar</v>
      </c>
      <c r="W198" s="7">
        <f t="shared" si="40"/>
        <v>0.25</v>
      </c>
      <c r="X198" t="str">
        <f t="shared" si="41"/>
        <v>C · Histórico/secundário</v>
      </c>
    </row>
    <row r="199" spans="1:24" x14ac:dyDescent="0.3">
      <c r="A199" s="1" t="s">
        <v>567</v>
      </c>
      <c r="B199" s="1" t="s">
        <v>568</v>
      </c>
      <c r="C199" s="1">
        <v>0</v>
      </c>
      <c r="D199" s="1" t="s">
        <v>15</v>
      </c>
      <c r="E199">
        <v>2</v>
      </c>
      <c r="F199" s="5">
        <v>109.82</v>
      </c>
      <c r="G199" s="5">
        <v>13.43</v>
      </c>
      <c r="H199" s="5">
        <v>123.25</v>
      </c>
      <c r="I199" s="6">
        <v>457125</v>
      </c>
      <c r="J199" s="1">
        <v>2026</v>
      </c>
      <c r="K199" s="6">
        <v>4162.4931706428706</v>
      </c>
      <c r="L199" s="6">
        <v>3708.9249492900608</v>
      </c>
      <c r="M199" t="str">
        <f t="shared" si="33"/>
        <v>Ativo</v>
      </c>
      <c r="P199" s="8"/>
      <c r="Q199" t="s">
        <v>492</v>
      </c>
      <c r="W199" s="7">
        <f t="shared" si="40"/>
        <v>0.7</v>
      </c>
      <c r="X199" t="str">
        <f t="shared" si="41"/>
        <v>B · Benchmark local</v>
      </c>
    </row>
    <row r="200" spans="1:24" x14ac:dyDescent="0.3">
      <c r="A200" s="1" t="s">
        <v>567</v>
      </c>
      <c r="B200" s="1" t="s">
        <v>569</v>
      </c>
      <c r="C200" s="1">
        <v>0</v>
      </c>
      <c r="D200" s="1" t="s">
        <v>15</v>
      </c>
      <c r="E200">
        <v>3</v>
      </c>
      <c r="F200" s="5">
        <v>99.22</v>
      </c>
      <c r="G200" s="5">
        <v>7.55</v>
      </c>
      <c r="H200" s="5">
        <v>106.77</v>
      </c>
      <c r="I200" s="6">
        <v>442750</v>
      </c>
      <c r="J200" s="1">
        <v>2026</v>
      </c>
      <c r="K200" s="6">
        <v>4462.3059866962303</v>
      </c>
      <c r="L200" s="6">
        <v>4146.7640723049544</v>
      </c>
      <c r="M200" t="str">
        <f t="shared" si="33"/>
        <v>Ativo</v>
      </c>
      <c r="P200" s="8"/>
      <c r="Q200" t="s">
        <v>492</v>
      </c>
      <c r="W200" s="7">
        <f t="shared" si="40"/>
        <v>0.7</v>
      </c>
      <c r="X200" t="str">
        <f t="shared" si="41"/>
        <v>B · Benchmark local</v>
      </c>
    </row>
    <row r="201" spans="1:24" x14ac:dyDescent="0.3">
      <c r="A201" s="1" t="s">
        <v>567</v>
      </c>
      <c r="B201" s="1" t="s">
        <v>570</v>
      </c>
      <c r="C201" s="1">
        <v>0</v>
      </c>
      <c r="D201" s="1" t="s">
        <v>571</v>
      </c>
      <c r="E201">
        <v>2</v>
      </c>
      <c r="F201" s="5">
        <v>109.82</v>
      </c>
      <c r="G201" s="5">
        <v>9.52</v>
      </c>
      <c r="H201" s="5">
        <v>119.33999999999999</v>
      </c>
      <c r="I201" s="6">
        <v>447440</v>
      </c>
      <c r="J201" s="1">
        <v>2026</v>
      </c>
      <c r="K201" s="6">
        <v>4074.3034055727558</v>
      </c>
      <c r="L201" s="6">
        <v>3749.2877492877496</v>
      </c>
      <c r="M201" t="str">
        <f t="shared" si="33"/>
        <v>Ativo</v>
      </c>
      <c r="P201" s="8"/>
      <c r="Q201" t="s">
        <v>492</v>
      </c>
      <c r="W201" s="7">
        <f t="shared" si="40"/>
        <v>0.7</v>
      </c>
      <c r="X201" t="str">
        <f t="shared" si="41"/>
        <v>B · Benchmark local</v>
      </c>
    </row>
    <row r="202" spans="1:24" x14ac:dyDescent="0.3">
      <c r="A202" s="1" t="s">
        <v>567</v>
      </c>
      <c r="B202" s="1" t="s">
        <v>572</v>
      </c>
      <c r="C202" s="1">
        <v>1</v>
      </c>
      <c r="D202" s="1" t="s">
        <v>87</v>
      </c>
      <c r="E202">
        <v>2</v>
      </c>
      <c r="F202" s="5">
        <v>161.07</v>
      </c>
      <c r="G202" s="5">
        <v>41.1</v>
      </c>
      <c r="H202" s="5">
        <v>202.17</v>
      </c>
      <c r="I202" s="6">
        <v>768900</v>
      </c>
      <c r="J202" s="1">
        <v>2026</v>
      </c>
      <c r="K202" s="6">
        <v>4773.7008753957907</v>
      </c>
      <c r="L202" s="6">
        <v>3803.2349013206708</v>
      </c>
      <c r="M202" t="str">
        <f t="shared" si="33"/>
        <v>Ativo</v>
      </c>
      <c r="P202" s="8"/>
      <c r="Q202" t="s">
        <v>492</v>
      </c>
      <c r="W202" s="7">
        <f t="shared" si="40"/>
        <v>0.7</v>
      </c>
      <c r="X202" t="str">
        <f t="shared" si="41"/>
        <v>B · Benchmark local</v>
      </c>
    </row>
    <row r="203" spans="1:24" x14ac:dyDescent="0.3">
      <c r="A203" s="1" t="s">
        <v>567</v>
      </c>
      <c r="B203" s="1" t="s">
        <v>573</v>
      </c>
      <c r="C203" s="1">
        <v>1</v>
      </c>
      <c r="D203" s="1" t="s">
        <v>47</v>
      </c>
      <c r="E203">
        <v>2</v>
      </c>
      <c r="F203" s="5">
        <v>130.81</v>
      </c>
      <c r="G203" s="5">
        <v>22.05</v>
      </c>
      <c r="H203" s="5">
        <v>152.86000000000001</v>
      </c>
      <c r="I203" s="6">
        <v>605000</v>
      </c>
      <c r="J203" s="1">
        <v>2026</v>
      </c>
      <c r="K203" s="6">
        <v>4625.0286675330635</v>
      </c>
      <c r="L203" s="6">
        <v>3957.8699463561425</v>
      </c>
      <c r="M203" t="str">
        <f t="shared" si="33"/>
        <v>Ativo</v>
      </c>
      <c r="P203" s="8"/>
      <c r="Q203" t="s">
        <v>492</v>
      </c>
      <c r="W203" s="7">
        <f t="shared" si="40"/>
        <v>0.7</v>
      </c>
      <c r="X203" t="str">
        <f t="shared" si="41"/>
        <v>B · Benchmark local</v>
      </c>
    </row>
    <row r="204" spans="1:24" x14ac:dyDescent="0.3">
      <c r="A204" s="1" t="s">
        <v>567</v>
      </c>
      <c r="B204" s="1" t="s">
        <v>574</v>
      </c>
      <c r="C204" s="1">
        <v>1</v>
      </c>
      <c r="D204" s="1" t="s">
        <v>15</v>
      </c>
      <c r="E204">
        <v>3</v>
      </c>
      <c r="F204" s="5">
        <v>107.34</v>
      </c>
      <c r="G204" s="5">
        <v>24.78</v>
      </c>
      <c r="H204" s="5">
        <v>132.12</v>
      </c>
      <c r="I204" s="6">
        <v>506000</v>
      </c>
      <c r="J204" s="1">
        <v>2026</v>
      </c>
      <c r="K204" s="6">
        <v>4713.9929196944286</v>
      </c>
      <c r="L204" s="6">
        <v>3829.8516500151377</v>
      </c>
      <c r="M204" t="str">
        <f t="shared" si="33"/>
        <v>Ativo</v>
      </c>
      <c r="P204" s="8"/>
      <c r="Q204" t="s">
        <v>492</v>
      </c>
      <c r="W204" s="7">
        <f t="shared" si="40"/>
        <v>0.7</v>
      </c>
      <c r="X204" t="str">
        <f t="shared" si="41"/>
        <v>B · Benchmark local</v>
      </c>
    </row>
    <row r="205" spans="1:24" x14ac:dyDescent="0.3">
      <c r="A205" s="1" t="s">
        <v>567</v>
      </c>
      <c r="B205" s="1" t="s">
        <v>575</v>
      </c>
      <c r="C205" s="1">
        <v>2</v>
      </c>
      <c r="D205" s="1" t="s">
        <v>87</v>
      </c>
      <c r="E205">
        <v>2</v>
      </c>
      <c r="F205" s="5">
        <v>161.07</v>
      </c>
      <c r="G205" s="5">
        <v>41.1</v>
      </c>
      <c r="H205" s="5">
        <v>202.17</v>
      </c>
      <c r="I205" s="6">
        <v>808500</v>
      </c>
      <c r="J205" s="1">
        <v>2026</v>
      </c>
      <c r="K205" s="6">
        <v>5019.5567144719689</v>
      </c>
      <c r="L205" s="6">
        <v>3999.1096601869717</v>
      </c>
      <c r="M205" t="str">
        <f t="shared" si="33"/>
        <v>Ativo</v>
      </c>
      <c r="P205" s="8"/>
      <c r="Q205" t="s">
        <v>492</v>
      </c>
      <c r="W205" s="7">
        <f t="shared" si="40"/>
        <v>0.7</v>
      </c>
      <c r="X205" t="str">
        <f t="shared" si="41"/>
        <v>B · Benchmark local</v>
      </c>
    </row>
    <row r="206" spans="1:24" x14ac:dyDescent="0.3">
      <c r="A206" s="1" t="s">
        <v>567</v>
      </c>
      <c r="B206" s="1" t="s">
        <v>576</v>
      </c>
      <c r="C206" s="1">
        <v>2</v>
      </c>
      <c r="D206" s="1" t="s">
        <v>47</v>
      </c>
      <c r="E206">
        <v>2</v>
      </c>
      <c r="F206" s="5">
        <v>130.81</v>
      </c>
      <c r="G206" s="5">
        <v>22.05</v>
      </c>
      <c r="H206" s="5">
        <v>152.86000000000001</v>
      </c>
      <c r="I206" s="6">
        <v>632500</v>
      </c>
      <c r="J206" s="1">
        <v>2026</v>
      </c>
      <c r="K206" s="6">
        <v>4835.2572433300202</v>
      </c>
      <c r="L206" s="6">
        <v>4137.7731257359674</v>
      </c>
      <c r="M206" t="str">
        <f t="shared" si="33"/>
        <v>Ativo</v>
      </c>
      <c r="P206" s="8"/>
      <c r="Q206" t="s">
        <v>492</v>
      </c>
      <c r="W206" s="7">
        <f t="shared" si="40"/>
        <v>0.7</v>
      </c>
      <c r="X206" t="str">
        <f t="shared" si="41"/>
        <v>B · Benchmark local</v>
      </c>
    </row>
    <row r="207" spans="1:24" x14ac:dyDescent="0.3">
      <c r="A207" s="1" t="s">
        <v>567</v>
      </c>
      <c r="B207" s="1" t="s">
        <v>577</v>
      </c>
      <c r="C207" s="1">
        <v>2</v>
      </c>
      <c r="D207" s="1" t="s">
        <v>15</v>
      </c>
      <c r="E207">
        <v>2</v>
      </c>
      <c r="F207" s="5">
        <v>107.34</v>
      </c>
      <c r="G207" s="5">
        <v>24.78</v>
      </c>
      <c r="H207" s="5">
        <v>132.12</v>
      </c>
      <c r="I207" s="6">
        <v>517500</v>
      </c>
      <c r="J207" s="1">
        <v>2026</v>
      </c>
      <c r="K207" s="6">
        <v>4821.1291224147571</v>
      </c>
      <c r="L207" s="6">
        <v>3916.893732970027</v>
      </c>
      <c r="M207" t="str">
        <f t="shared" si="33"/>
        <v>Ativo</v>
      </c>
      <c r="P207" s="8"/>
      <c r="Q207" t="s">
        <v>492</v>
      </c>
      <c r="W207" s="7">
        <f t="shared" si="40"/>
        <v>0.7</v>
      </c>
      <c r="X207" t="str">
        <f t="shared" si="41"/>
        <v>B · Benchmark local</v>
      </c>
    </row>
    <row r="208" spans="1:24" x14ac:dyDescent="0.3">
      <c r="A208" s="1" t="s">
        <v>567</v>
      </c>
      <c r="B208" s="1" t="s">
        <v>578</v>
      </c>
      <c r="C208" s="1">
        <v>2</v>
      </c>
      <c r="D208" s="1" t="s">
        <v>571</v>
      </c>
      <c r="E208">
        <v>2</v>
      </c>
      <c r="F208" s="5">
        <v>109.82</v>
      </c>
      <c r="G208" s="5">
        <v>9.52</v>
      </c>
      <c r="H208" s="5">
        <v>119.33999999999999</v>
      </c>
      <c r="I208" s="6">
        <v>498400</v>
      </c>
      <c r="J208" s="1">
        <v>2026</v>
      </c>
      <c r="K208" s="6">
        <v>4538.3354580222185</v>
      </c>
      <c r="L208" s="6">
        <v>4176.3029998324118</v>
      </c>
      <c r="M208" t="str">
        <f t="shared" si="33"/>
        <v>Ativo</v>
      </c>
      <c r="P208" s="8"/>
      <c r="Q208" t="s">
        <v>492</v>
      </c>
      <c r="W208" s="7">
        <f t="shared" si="40"/>
        <v>0.7</v>
      </c>
      <c r="X208" t="str">
        <f t="shared" si="41"/>
        <v>B · Benchmark local</v>
      </c>
    </row>
    <row r="209" spans="1:24" x14ac:dyDescent="0.3">
      <c r="A209" s="1" t="s">
        <v>567</v>
      </c>
      <c r="B209" s="1" t="s">
        <v>579</v>
      </c>
      <c r="C209" s="1">
        <v>3</v>
      </c>
      <c r="D209" s="1" t="s">
        <v>87</v>
      </c>
      <c r="E209">
        <v>2</v>
      </c>
      <c r="F209" s="5">
        <v>161.07</v>
      </c>
      <c r="G209" s="5">
        <v>41.1</v>
      </c>
      <c r="H209" s="5">
        <v>202.17</v>
      </c>
      <c r="I209" s="6">
        <v>823900</v>
      </c>
      <c r="J209" s="1">
        <v>2026</v>
      </c>
      <c r="K209" s="6">
        <v>5115.167318557149</v>
      </c>
      <c r="L209" s="6">
        <v>4075.2831775238665</v>
      </c>
      <c r="M209" t="str">
        <f t="shared" si="33"/>
        <v>Ativo</v>
      </c>
      <c r="P209" s="8"/>
      <c r="Q209" t="s">
        <v>492</v>
      </c>
      <c r="W209" s="7">
        <f t="shared" si="40"/>
        <v>0.7</v>
      </c>
      <c r="X209" t="str">
        <f t="shared" si="41"/>
        <v>B · Benchmark local</v>
      </c>
    </row>
    <row r="210" spans="1:24" x14ac:dyDescent="0.3">
      <c r="A210" s="1" t="s">
        <v>567</v>
      </c>
      <c r="B210" s="1" t="s">
        <v>580</v>
      </c>
      <c r="C210" s="1">
        <v>3</v>
      </c>
      <c r="D210" s="1" t="s">
        <v>47</v>
      </c>
      <c r="E210">
        <v>2</v>
      </c>
      <c r="F210" s="5">
        <v>130.81</v>
      </c>
      <c r="G210" s="5">
        <v>22.05</v>
      </c>
      <c r="H210" s="5">
        <v>152.86000000000001</v>
      </c>
      <c r="I210" s="6">
        <v>654500</v>
      </c>
      <c r="J210" s="1">
        <v>2026</v>
      </c>
      <c r="K210" s="6">
        <v>5003.4401039675868</v>
      </c>
      <c r="L210" s="6">
        <v>4281.6956692398271</v>
      </c>
      <c r="M210" t="str">
        <f t="shared" si="33"/>
        <v>Ativo</v>
      </c>
      <c r="P210" s="8"/>
      <c r="Q210" t="s">
        <v>492</v>
      </c>
      <c r="W210" s="7">
        <f t="shared" si="40"/>
        <v>0.7</v>
      </c>
      <c r="X210" t="str">
        <f t="shared" si="41"/>
        <v>B · Benchmark local</v>
      </c>
    </row>
    <row r="211" spans="1:24" x14ac:dyDescent="0.3">
      <c r="A211" s="1" t="s">
        <v>567</v>
      </c>
      <c r="B211" s="1" t="s">
        <v>581</v>
      </c>
      <c r="C211" s="1">
        <v>3</v>
      </c>
      <c r="D211" s="1" t="s">
        <v>15</v>
      </c>
      <c r="E211">
        <v>3</v>
      </c>
      <c r="F211" s="5">
        <v>107.34</v>
      </c>
      <c r="G211" s="5">
        <v>24.78</v>
      </c>
      <c r="H211" s="5">
        <v>132.12</v>
      </c>
      <c r="I211" s="6">
        <v>540500</v>
      </c>
      <c r="J211" s="1">
        <v>2026</v>
      </c>
      <c r="K211" s="6">
        <v>5035.4015278554125</v>
      </c>
      <c r="L211" s="6">
        <v>4090.9778988798062</v>
      </c>
      <c r="M211" t="str">
        <f t="shared" si="33"/>
        <v>Ativo</v>
      </c>
      <c r="P211" s="8"/>
      <c r="Q211" t="s">
        <v>492</v>
      </c>
      <c r="W211" s="7">
        <f t="shared" si="40"/>
        <v>0.7</v>
      </c>
      <c r="X211" t="str">
        <f t="shared" si="41"/>
        <v>B · Benchmark local</v>
      </c>
    </row>
    <row r="212" spans="1:24" x14ac:dyDescent="0.3">
      <c r="A212" s="1" t="s">
        <v>567</v>
      </c>
      <c r="B212" s="1" t="s">
        <v>582</v>
      </c>
      <c r="C212" s="1">
        <v>4</v>
      </c>
      <c r="D212" s="1" t="s">
        <v>87</v>
      </c>
      <c r="E212">
        <v>2</v>
      </c>
      <c r="F212" s="5">
        <v>161.07</v>
      </c>
      <c r="G212" s="5">
        <v>41.1</v>
      </c>
      <c r="H212" s="5">
        <v>202.17</v>
      </c>
      <c r="I212" s="6">
        <v>845900</v>
      </c>
      <c r="J212" s="1">
        <v>2026</v>
      </c>
      <c r="K212" s="6">
        <v>5251.7538958216928</v>
      </c>
      <c r="L212" s="6">
        <v>4184.1024880051446</v>
      </c>
      <c r="M212" t="str">
        <f t="shared" si="33"/>
        <v>Ativo</v>
      </c>
      <c r="P212" s="8"/>
      <c r="Q212" t="s">
        <v>492</v>
      </c>
      <c r="W212" s="7">
        <f t="shared" si="40"/>
        <v>0.7</v>
      </c>
      <c r="X212" t="str">
        <f t="shared" si="41"/>
        <v>B · Benchmark local</v>
      </c>
    </row>
    <row r="213" spans="1:24" x14ac:dyDescent="0.3">
      <c r="A213" s="1" t="s">
        <v>567</v>
      </c>
      <c r="B213" s="1" t="s">
        <v>583</v>
      </c>
      <c r="C213" s="1">
        <v>4</v>
      </c>
      <c r="D213" s="1" t="s">
        <v>47</v>
      </c>
      <c r="E213">
        <v>2</v>
      </c>
      <c r="F213" s="5">
        <v>130.81</v>
      </c>
      <c r="G213" s="5">
        <v>22.05</v>
      </c>
      <c r="H213" s="5">
        <v>152.86000000000001</v>
      </c>
      <c r="I213" s="6">
        <v>682000</v>
      </c>
      <c r="J213" s="1">
        <v>2026</v>
      </c>
      <c r="K213" s="6">
        <v>5213.6686797645443</v>
      </c>
      <c r="L213" s="6">
        <v>4461.598848619652</v>
      </c>
      <c r="M213" t="str">
        <f t="shared" si="33"/>
        <v>Ativo</v>
      </c>
      <c r="P213" s="8"/>
      <c r="Q213" t="s">
        <v>492</v>
      </c>
      <c r="W213" s="7">
        <f t="shared" si="40"/>
        <v>0.7</v>
      </c>
      <c r="X213" t="str">
        <f t="shared" si="41"/>
        <v>B · Benchmark local</v>
      </c>
    </row>
    <row r="214" spans="1:24" x14ac:dyDescent="0.3">
      <c r="A214" s="1" t="s">
        <v>567</v>
      </c>
      <c r="B214" s="1" t="s">
        <v>584</v>
      </c>
      <c r="C214" s="1">
        <v>4</v>
      </c>
      <c r="D214" s="1" t="s">
        <v>15</v>
      </c>
      <c r="E214">
        <v>3</v>
      </c>
      <c r="F214" s="5">
        <v>107.34</v>
      </c>
      <c r="G214" s="5">
        <v>24.78</v>
      </c>
      <c r="H214" s="5">
        <v>132.12</v>
      </c>
      <c r="I214" s="6">
        <v>557750</v>
      </c>
      <c r="J214" s="1">
        <v>2026</v>
      </c>
      <c r="K214" s="6">
        <v>5196.1058319359045</v>
      </c>
      <c r="L214" s="6">
        <v>4221.5410233121402</v>
      </c>
      <c r="M214" t="str">
        <f t="shared" si="33"/>
        <v>Ativo</v>
      </c>
      <c r="P214" s="8"/>
      <c r="Q214" t="s">
        <v>492</v>
      </c>
      <c r="W214" s="7">
        <f t="shared" si="40"/>
        <v>0.7</v>
      </c>
      <c r="X214" t="str">
        <f t="shared" si="41"/>
        <v>B · Benchmark local</v>
      </c>
    </row>
    <row r="215" spans="1:24" x14ac:dyDescent="0.3">
      <c r="A215" s="1" t="s">
        <v>567</v>
      </c>
      <c r="B215" s="1" t="s">
        <v>585</v>
      </c>
      <c r="C215" s="1">
        <v>4</v>
      </c>
      <c r="D215" s="1" t="s">
        <v>571</v>
      </c>
      <c r="E215">
        <v>2</v>
      </c>
      <c r="F215" s="5">
        <v>109.82</v>
      </c>
      <c r="G215" s="5">
        <v>9.52</v>
      </c>
      <c r="H215" s="5">
        <v>119.33999999999999</v>
      </c>
      <c r="I215" s="6">
        <v>510720</v>
      </c>
      <c r="J215" s="1">
        <v>2026</v>
      </c>
      <c r="K215" s="6">
        <v>4650.5190311418692</v>
      </c>
      <c r="L215" s="6">
        <v>4279.5374560080445</v>
      </c>
      <c r="M215" t="str">
        <f t="shared" si="33"/>
        <v>Ativo</v>
      </c>
      <c r="P215" s="8"/>
      <c r="Q215" t="s">
        <v>492</v>
      </c>
      <c r="W215" s="7">
        <f t="shared" si="40"/>
        <v>0.7</v>
      </c>
      <c r="X215" t="str">
        <f t="shared" si="41"/>
        <v>B · Benchmark local</v>
      </c>
    </row>
    <row r="216" spans="1:24" x14ac:dyDescent="0.3">
      <c r="A216" s="1" t="s">
        <v>567</v>
      </c>
      <c r="B216" s="1" t="s">
        <v>586</v>
      </c>
      <c r="C216" s="1">
        <v>4</v>
      </c>
      <c r="D216" s="1" t="s">
        <v>47</v>
      </c>
      <c r="E216">
        <v>2</v>
      </c>
      <c r="F216" s="5">
        <v>122.15</v>
      </c>
      <c r="G216" s="5">
        <v>28.36</v>
      </c>
      <c r="H216" s="5">
        <v>150.51</v>
      </c>
      <c r="I216" s="6">
        <v>654500</v>
      </c>
      <c r="J216" s="1">
        <v>2026</v>
      </c>
      <c r="K216" s="6">
        <v>5358.1661891117474</v>
      </c>
      <c r="L216" s="6">
        <v>4348.5482692179921</v>
      </c>
      <c r="M216" t="str">
        <f t="shared" si="33"/>
        <v>Ativo</v>
      </c>
      <c r="P216" s="8"/>
      <c r="Q216" t="s">
        <v>492</v>
      </c>
      <c r="W216" s="7">
        <f t="shared" si="40"/>
        <v>0.7</v>
      </c>
      <c r="X216" t="str">
        <f t="shared" si="41"/>
        <v>B · Benchmark local</v>
      </c>
    </row>
    <row r="217" spans="1:24" x14ac:dyDescent="0.3">
      <c r="A217" s="1" t="s">
        <v>567</v>
      </c>
      <c r="B217" s="1" t="s">
        <v>587</v>
      </c>
      <c r="C217" s="1">
        <v>5</v>
      </c>
      <c r="D217" s="1" t="s">
        <v>87</v>
      </c>
      <c r="E217">
        <v>2</v>
      </c>
      <c r="F217" s="5">
        <v>161.07</v>
      </c>
      <c r="G217" s="5">
        <v>41.1</v>
      </c>
      <c r="H217" s="5">
        <v>202.17</v>
      </c>
      <c r="I217" s="6">
        <v>867900</v>
      </c>
      <c r="J217" s="1">
        <v>2026</v>
      </c>
      <c r="K217" s="6">
        <v>5388.3404730862358</v>
      </c>
      <c r="L217" s="6">
        <v>4292.9217984864226</v>
      </c>
      <c r="M217" t="str">
        <f t="shared" si="33"/>
        <v>Ativo</v>
      </c>
      <c r="P217" s="8"/>
      <c r="Q217" t="s">
        <v>492</v>
      </c>
      <c r="W217" s="7">
        <f t="shared" si="40"/>
        <v>0.7</v>
      </c>
      <c r="X217" t="str">
        <f t="shared" si="41"/>
        <v>B · Benchmark local</v>
      </c>
    </row>
    <row r="218" spans="1:24" x14ac:dyDescent="0.3">
      <c r="A218" s="1" t="s">
        <v>567</v>
      </c>
      <c r="B218" s="1" t="s">
        <v>588</v>
      </c>
      <c r="C218" s="1">
        <v>5</v>
      </c>
      <c r="D218" s="1" t="s">
        <v>47</v>
      </c>
      <c r="E218">
        <v>2</v>
      </c>
      <c r="F218" s="5">
        <v>130.81</v>
      </c>
      <c r="G218" s="5">
        <v>22.05</v>
      </c>
      <c r="H218" s="5">
        <v>152.86000000000001</v>
      </c>
      <c r="I218" s="6">
        <v>720500</v>
      </c>
      <c r="J218" s="1">
        <v>2026</v>
      </c>
      <c r="K218" s="6">
        <v>5507.9886858802847</v>
      </c>
      <c r="L218" s="6">
        <v>4713.4632997514063</v>
      </c>
      <c r="M218" t="str">
        <f t="shared" si="33"/>
        <v>Ativo</v>
      </c>
      <c r="P218" s="8"/>
      <c r="Q218" t="s">
        <v>492</v>
      </c>
      <c r="W218" s="7">
        <f t="shared" si="40"/>
        <v>0.7</v>
      </c>
      <c r="X218" t="str">
        <f t="shared" si="41"/>
        <v>B · Benchmark local</v>
      </c>
    </row>
    <row r="219" spans="1:24" x14ac:dyDescent="0.3">
      <c r="A219" s="1" t="s">
        <v>567</v>
      </c>
      <c r="B219" s="1" t="s">
        <v>589</v>
      </c>
      <c r="C219" s="1">
        <v>5</v>
      </c>
      <c r="D219" s="1" t="s">
        <v>15</v>
      </c>
      <c r="E219">
        <v>3</v>
      </c>
      <c r="F219" s="5">
        <v>99.21</v>
      </c>
      <c r="G219" s="5">
        <v>28.64</v>
      </c>
      <c r="H219" s="5">
        <v>127.85</v>
      </c>
      <c r="I219" s="6">
        <v>534750</v>
      </c>
      <c r="J219" s="1">
        <v>2026</v>
      </c>
      <c r="K219" s="6">
        <v>5390.0816449954646</v>
      </c>
      <c r="L219" s="6">
        <v>4182.6359014470081</v>
      </c>
      <c r="M219" t="str">
        <f t="shared" si="33"/>
        <v>Ativo</v>
      </c>
      <c r="P219" s="8"/>
      <c r="Q219" t="s">
        <v>492</v>
      </c>
      <c r="W219" s="7">
        <f t="shared" si="40"/>
        <v>0.7</v>
      </c>
      <c r="X219" t="str">
        <f t="shared" si="41"/>
        <v>B · Benchmark local</v>
      </c>
    </row>
    <row r="220" spans="1:24" x14ac:dyDescent="0.3">
      <c r="A220" s="1" t="s">
        <v>567</v>
      </c>
      <c r="B220" s="1" t="s">
        <v>590</v>
      </c>
      <c r="C220" s="1">
        <v>5</v>
      </c>
      <c r="D220" s="1" t="s">
        <v>15</v>
      </c>
      <c r="E220">
        <v>3</v>
      </c>
      <c r="F220" s="5">
        <v>99.9</v>
      </c>
      <c r="G220" s="5">
        <v>28.82</v>
      </c>
      <c r="H220" s="5">
        <v>128.72</v>
      </c>
      <c r="I220" s="6">
        <v>534750</v>
      </c>
      <c r="J220" s="1">
        <v>2026</v>
      </c>
      <c r="K220" s="6">
        <v>5352.8528528528523</v>
      </c>
      <c r="L220" s="6">
        <v>4154.3660658794279</v>
      </c>
      <c r="M220" t="str">
        <f t="shared" si="33"/>
        <v>Ativo</v>
      </c>
      <c r="P220" s="8"/>
      <c r="Q220" t="s">
        <v>492</v>
      </c>
      <c r="W220" s="7">
        <f t="shared" si="40"/>
        <v>0.7</v>
      </c>
      <c r="X220" t="str">
        <f t="shared" si="41"/>
        <v>B · Benchmark local</v>
      </c>
    </row>
    <row r="221" spans="1:24" x14ac:dyDescent="0.3">
      <c r="A221" s="1" t="s">
        <v>567</v>
      </c>
      <c r="B221" s="1" t="s">
        <v>591</v>
      </c>
      <c r="C221" s="1">
        <v>5</v>
      </c>
      <c r="D221" s="1" t="s">
        <v>47</v>
      </c>
      <c r="E221">
        <v>2</v>
      </c>
      <c r="F221" s="5">
        <v>122.15</v>
      </c>
      <c r="G221" s="5">
        <v>28.36</v>
      </c>
      <c r="H221" s="5">
        <v>150.51</v>
      </c>
      <c r="I221" s="6">
        <v>676500</v>
      </c>
      <c r="J221" s="1">
        <v>2026</v>
      </c>
      <c r="K221" s="6">
        <v>5538.2726156365125</v>
      </c>
      <c r="L221" s="6">
        <v>4494.7179589396055</v>
      </c>
      <c r="M221" t="str">
        <f t="shared" si="33"/>
        <v>Ativo</v>
      </c>
      <c r="P221" s="8"/>
      <c r="Q221" t="s">
        <v>492</v>
      </c>
      <c r="W221" s="7">
        <f t="shared" si="40"/>
        <v>0.7</v>
      </c>
      <c r="X221" t="str">
        <f t="shared" si="41"/>
        <v>B · Benchmark local</v>
      </c>
    </row>
    <row r="222" spans="1:24" x14ac:dyDescent="0.3">
      <c r="A222" s="1" t="s">
        <v>567</v>
      </c>
      <c r="B222" s="1" t="s">
        <v>592</v>
      </c>
      <c r="C222" s="1">
        <v>6</v>
      </c>
      <c r="D222" s="1" t="s">
        <v>87</v>
      </c>
      <c r="E222">
        <v>2</v>
      </c>
      <c r="F222" s="5">
        <v>161.07</v>
      </c>
      <c r="G222" s="5">
        <v>41.1</v>
      </c>
      <c r="H222" s="5">
        <v>202.17</v>
      </c>
      <c r="I222" s="6">
        <v>907500</v>
      </c>
      <c r="J222" s="1">
        <v>2026</v>
      </c>
      <c r="K222" s="6">
        <v>5634.196312162414</v>
      </c>
      <c r="L222" s="6">
        <v>4488.7965573527235</v>
      </c>
      <c r="M222" t="str">
        <f t="shared" si="33"/>
        <v>Ativo</v>
      </c>
      <c r="P222" s="8"/>
      <c r="Q222" t="s">
        <v>492</v>
      </c>
      <c r="W222" s="7">
        <f t="shared" si="40"/>
        <v>0.7</v>
      </c>
      <c r="X222" t="str">
        <f t="shared" si="41"/>
        <v>B · Benchmark local</v>
      </c>
    </row>
    <row r="223" spans="1:24" x14ac:dyDescent="0.3">
      <c r="A223" s="1" t="s">
        <v>567</v>
      </c>
      <c r="B223" s="1" t="s">
        <v>593</v>
      </c>
      <c r="C223" s="1">
        <v>6</v>
      </c>
      <c r="D223" s="1" t="s">
        <v>47</v>
      </c>
      <c r="E223">
        <v>2</v>
      </c>
      <c r="F223" s="5">
        <v>130.81</v>
      </c>
      <c r="G223" s="5">
        <v>22.05</v>
      </c>
      <c r="H223" s="5">
        <v>152.86000000000001</v>
      </c>
      <c r="I223" s="6">
        <v>753500</v>
      </c>
      <c r="J223" s="1">
        <v>2026</v>
      </c>
      <c r="K223" s="6">
        <v>5760.2629768366332</v>
      </c>
      <c r="L223" s="6">
        <v>4929.3471150071955</v>
      </c>
      <c r="M223" t="str">
        <f t="shared" si="33"/>
        <v>Ativo</v>
      </c>
      <c r="P223" s="8"/>
      <c r="Q223" t="s">
        <v>492</v>
      </c>
      <c r="W223" s="7">
        <f t="shared" si="40"/>
        <v>0.7</v>
      </c>
      <c r="X223" t="str">
        <f t="shared" si="41"/>
        <v>B · Benchmark local</v>
      </c>
    </row>
    <row r="224" spans="1:24" x14ac:dyDescent="0.3">
      <c r="A224" s="1" t="s">
        <v>567</v>
      </c>
      <c r="B224" s="1" t="s">
        <v>594</v>
      </c>
      <c r="C224" s="1">
        <v>6</v>
      </c>
      <c r="D224" s="1" t="s">
        <v>15</v>
      </c>
      <c r="E224">
        <v>3</v>
      </c>
      <c r="F224" s="5">
        <v>99.21</v>
      </c>
      <c r="G224" s="5">
        <v>28.64</v>
      </c>
      <c r="H224" s="5">
        <v>127.85</v>
      </c>
      <c r="I224" s="6">
        <v>552000</v>
      </c>
      <c r="J224" s="1">
        <v>2026</v>
      </c>
      <c r="K224" s="6">
        <v>5563.9552464469307</v>
      </c>
      <c r="L224" s="6">
        <v>4317.5596402033634</v>
      </c>
      <c r="M224" t="str">
        <f t="shared" si="33"/>
        <v>Ativo</v>
      </c>
      <c r="P224" s="8"/>
      <c r="Q224" t="s">
        <v>492</v>
      </c>
      <c r="W224" s="7">
        <f t="shared" si="40"/>
        <v>0.7</v>
      </c>
      <c r="X224" t="str">
        <f t="shared" si="41"/>
        <v>B · Benchmark local</v>
      </c>
    </row>
    <row r="225" spans="1:24" x14ac:dyDescent="0.3">
      <c r="A225" s="1" t="s">
        <v>567</v>
      </c>
      <c r="B225" s="1" t="s">
        <v>595</v>
      </c>
      <c r="C225" s="1">
        <v>6</v>
      </c>
      <c r="D225" s="1" t="s">
        <v>15</v>
      </c>
      <c r="E225">
        <v>3</v>
      </c>
      <c r="F225" s="5">
        <v>99.9</v>
      </c>
      <c r="G225" s="5">
        <v>28.82</v>
      </c>
      <c r="H225" s="5">
        <v>128.72</v>
      </c>
      <c r="I225" s="6">
        <v>552000</v>
      </c>
      <c r="J225" s="1">
        <v>2026</v>
      </c>
      <c r="K225" s="6">
        <v>5525.5255255255252</v>
      </c>
      <c r="L225" s="6">
        <v>4288.3778744561841</v>
      </c>
      <c r="M225" t="str">
        <f t="shared" si="33"/>
        <v>Ativo</v>
      </c>
      <c r="P225" s="8"/>
      <c r="Q225" t="s">
        <v>492</v>
      </c>
      <c r="W225" s="7">
        <f t="shared" si="40"/>
        <v>0.7</v>
      </c>
      <c r="X225" t="str">
        <f t="shared" si="41"/>
        <v>B · Benchmark local</v>
      </c>
    </row>
    <row r="226" spans="1:24" x14ac:dyDescent="0.3">
      <c r="A226" s="1" t="s">
        <v>567</v>
      </c>
      <c r="B226" s="1" t="s">
        <v>596</v>
      </c>
      <c r="C226" s="1">
        <v>6</v>
      </c>
      <c r="D226" s="1" t="s">
        <v>47</v>
      </c>
      <c r="E226">
        <v>2</v>
      </c>
      <c r="F226" s="5">
        <v>122.15</v>
      </c>
      <c r="G226" s="5">
        <v>28.36</v>
      </c>
      <c r="H226" s="5">
        <v>150.51</v>
      </c>
      <c r="I226" s="6">
        <v>709500</v>
      </c>
      <c r="J226" s="1">
        <v>2026</v>
      </c>
      <c r="K226" s="6">
        <v>5808.4322554236587</v>
      </c>
      <c r="L226" s="6">
        <v>4713.9724935220256</v>
      </c>
      <c r="M226" t="str">
        <f t="shared" ref="M226:M289" si="42">IF(A226="The View","Projeto",IF(J226&gt;=2026,"Ativo",IF(J226=2025,"Rever","Histórico")))</f>
        <v>Ativo</v>
      </c>
      <c r="P226" s="8"/>
      <c r="Q226" t="s">
        <v>492</v>
      </c>
      <c r="W226" s="7">
        <f t="shared" si="40"/>
        <v>0.7</v>
      </c>
      <c r="X226" t="str">
        <f t="shared" si="41"/>
        <v>B · Benchmark local</v>
      </c>
    </row>
    <row r="227" spans="1:24" x14ac:dyDescent="0.3">
      <c r="A227" s="1" t="s">
        <v>567</v>
      </c>
      <c r="B227" s="1" t="s">
        <v>597</v>
      </c>
      <c r="C227" s="1">
        <v>7</v>
      </c>
      <c r="D227" s="1" t="s">
        <v>47</v>
      </c>
      <c r="E227">
        <v>2</v>
      </c>
      <c r="F227" s="5">
        <v>130.81</v>
      </c>
      <c r="G227" s="5">
        <v>22.05</v>
      </c>
      <c r="H227" s="5">
        <v>152.86000000000001</v>
      </c>
      <c r="I227" s="6">
        <v>768900</v>
      </c>
      <c r="J227" s="1">
        <v>2026</v>
      </c>
      <c r="K227" s="6">
        <v>5877.9909792829294</v>
      </c>
      <c r="L227" s="6">
        <v>5030.0928954598976</v>
      </c>
      <c r="M227" t="str">
        <f t="shared" si="42"/>
        <v>Ativo</v>
      </c>
      <c r="P227" s="8"/>
      <c r="Q227" t="s">
        <v>492</v>
      </c>
      <c r="W227" s="7">
        <f t="shared" si="40"/>
        <v>0.7</v>
      </c>
      <c r="X227" t="str">
        <f t="shared" si="41"/>
        <v>B · Benchmark local</v>
      </c>
    </row>
    <row r="228" spans="1:24" x14ac:dyDescent="0.3">
      <c r="A228" s="1" t="s">
        <v>567</v>
      </c>
      <c r="B228" s="1" t="s">
        <v>598</v>
      </c>
      <c r="C228" s="1">
        <v>7</v>
      </c>
      <c r="D228" s="1" t="s">
        <v>15</v>
      </c>
      <c r="E228">
        <v>3</v>
      </c>
      <c r="F228" s="5">
        <v>99.21</v>
      </c>
      <c r="G228" s="5">
        <v>28.64</v>
      </c>
      <c r="H228" s="5">
        <v>127.85</v>
      </c>
      <c r="I228" s="6">
        <v>573850</v>
      </c>
      <c r="J228" s="1">
        <v>2026</v>
      </c>
      <c r="K228" s="6">
        <v>5784.1951416187885</v>
      </c>
      <c r="L228" s="6">
        <v>4488.4630426280801</v>
      </c>
      <c r="M228" t="str">
        <f t="shared" si="42"/>
        <v>Ativo</v>
      </c>
      <c r="P228" s="8"/>
      <c r="Q228" t="s">
        <v>492</v>
      </c>
      <c r="W228" s="7">
        <f t="shared" si="40"/>
        <v>0.7</v>
      </c>
      <c r="X228" t="str">
        <f t="shared" si="41"/>
        <v>B · Benchmark local</v>
      </c>
    </row>
    <row r="229" spans="1:24" x14ac:dyDescent="0.3">
      <c r="A229" s="1" t="s">
        <v>567</v>
      </c>
      <c r="B229" s="1" t="s">
        <v>599</v>
      </c>
      <c r="C229" s="1">
        <v>7</v>
      </c>
      <c r="D229" s="1" t="s">
        <v>15</v>
      </c>
      <c r="E229">
        <v>3</v>
      </c>
      <c r="F229" s="5">
        <v>99.9</v>
      </c>
      <c r="G229" s="5">
        <v>28.82</v>
      </c>
      <c r="H229" s="5">
        <v>128.72</v>
      </c>
      <c r="I229" s="6">
        <v>573850</v>
      </c>
      <c r="J229" s="1">
        <v>2026</v>
      </c>
      <c r="K229" s="6">
        <v>5744.2442442442443</v>
      </c>
      <c r="L229" s="6">
        <v>4458.1261653200745</v>
      </c>
      <c r="M229" t="str">
        <f t="shared" si="42"/>
        <v>Ativo</v>
      </c>
      <c r="P229" s="8"/>
      <c r="Q229" t="s">
        <v>492</v>
      </c>
      <c r="W229" s="7">
        <f t="shared" si="40"/>
        <v>0.7</v>
      </c>
      <c r="X229" t="str">
        <f t="shared" si="41"/>
        <v>B · Benchmark local</v>
      </c>
    </row>
    <row r="230" spans="1:24" x14ac:dyDescent="0.3">
      <c r="A230" s="1" t="s">
        <v>600</v>
      </c>
      <c r="B230" s="1" t="s">
        <v>601</v>
      </c>
      <c r="C230" s="1">
        <v>0</v>
      </c>
      <c r="D230" s="1" t="s">
        <v>47</v>
      </c>
      <c r="E230">
        <v>2</v>
      </c>
      <c r="F230" s="5">
        <v>121.75</v>
      </c>
      <c r="G230" s="5">
        <v>36.15</v>
      </c>
      <c r="H230" s="5">
        <v>166.6</v>
      </c>
      <c r="I230" s="6">
        <v>530000</v>
      </c>
      <c r="J230" s="1">
        <v>2026</v>
      </c>
      <c r="K230" s="6">
        <f t="shared" ref="K230:K293" si="43">IFERROR(I230/F230,"")</f>
        <v>4353.182751540041</v>
      </c>
      <c r="L230" s="6">
        <f t="shared" ref="L230:L293" si="44">IFERROR(I230/H230,"")</f>
        <v>3181.2725090036015</v>
      </c>
      <c r="M230" t="str">
        <f t="shared" si="42"/>
        <v>Ativo</v>
      </c>
      <c r="P230" s="8"/>
      <c r="Q230" t="s">
        <v>310</v>
      </c>
      <c r="W230" s="7">
        <f t="shared" si="40"/>
        <v>1</v>
      </c>
      <c r="X230" t="str">
        <f t="shared" si="41"/>
        <v>A · Premium ativo</v>
      </c>
    </row>
    <row r="231" spans="1:24" x14ac:dyDescent="0.3">
      <c r="A231" s="1" t="s">
        <v>600</v>
      </c>
      <c r="B231" s="1" t="s">
        <v>602</v>
      </c>
      <c r="C231" s="1">
        <v>0</v>
      </c>
      <c r="D231" s="1" t="s">
        <v>25</v>
      </c>
      <c r="E231">
        <v>2</v>
      </c>
      <c r="F231" s="5">
        <v>59.01</v>
      </c>
      <c r="G231" s="5">
        <v>46.6</v>
      </c>
      <c r="H231" s="5">
        <v>107.31</v>
      </c>
      <c r="I231" s="6">
        <v>329000</v>
      </c>
      <c r="J231" s="1">
        <v>2026</v>
      </c>
      <c r="K231" s="6">
        <f t="shared" si="43"/>
        <v>5575.3262158956113</v>
      </c>
      <c r="L231" s="6">
        <f t="shared" si="44"/>
        <v>3065.8838878016959</v>
      </c>
      <c r="M231" t="str">
        <f t="shared" si="42"/>
        <v>Ativo</v>
      </c>
      <c r="P231" s="8"/>
      <c r="Q231" t="s">
        <v>310</v>
      </c>
      <c r="W231" s="7">
        <f t="shared" si="40"/>
        <v>1</v>
      </c>
      <c r="X231" t="str">
        <f t="shared" si="41"/>
        <v>A · Premium ativo</v>
      </c>
    </row>
    <row r="232" spans="1:24" x14ac:dyDescent="0.3">
      <c r="A232" s="1" t="s">
        <v>600</v>
      </c>
      <c r="B232" s="1" t="s">
        <v>603</v>
      </c>
      <c r="C232" s="1">
        <v>1</v>
      </c>
      <c r="D232" s="1" t="s">
        <v>47</v>
      </c>
      <c r="E232">
        <v>2</v>
      </c>
      <c r="F232" s="5">
        <v>137.16</v>
      </c>
      <c r="G232" s="5">
        <v>30.73</v>
      </c>
      <c r="H232" s="5">
        <v>173.69</v>
      </c>
      <c r="I232" s="6">
        <v>610000</v>
      </c>
      <c r="J232" s="1">
        <v>2026</v>
      </c>
      <c r="K232" s="6">
        <f t="shared" si="43"/>
        <v>4447.3607465733448</v>
      </c>
      <c r="L232" s="6">
        <f t="shared" si="44"/>
        <v>3512.0041453163681</v>
      </c>
      <c r="M232" t="str">
        <f t="shared" si="42"/>
        <v>Ativo</v>
      </c>
      <c r="P232" s="8"/>
      <c r="Q232" t="s">
        <v>310</v>
      </c>
      <c r="W232" s="7">
        <f t="shared" si="40"/>
        <v>1</v>
      </c>
      <c r="X232" t="str">
        <f t="shared" si="41"/>
        <v>A · Premium ativo</v>
      </c>
    </row>
    <row r="233" spans="1:24" x14ac:dyDescent="0.3">
      <c r="A233" s="1" t="s">
        <v>600</v>
      </c>
      <c r="B233" s="1" t="s">
        <v>604</v>
      </c>
      <c r="C233" s="1">
        <v>1</v>
      </c>
      <c r="D233" s="1" t="s">
        <v>25</v>
      </c>
      <c r="E233">
        <v>2</v>
      </c>
      <c r="F233" s="5">
        <v>59.01</v>
      </c>
      <c r="G233" s="5">
        <v>20.11</v>
      </c>
      <c r="H233" s="5">
        <v>81.89</v>
      </c>
      <c r="I233" s="6">
        <v>329000</v>
      </c>
      <c r="J233" s="1">
        <v>2026</v>
      </c>
      <c r="K233" s="6">
        <f t="shared" si="43"/>
        <v>5575.3262158956113</v>
      </c>
      <c r="L233" s="6">
        <f t="shared" si="44"/>
        <v>4017.5845646599096</v>
      </c>
      <c r="M233" t="str">
        <f t="shared" si="42"/>
        <v>Ativo</v>
      </c>
      <c r="P233" s="8"/>
      <c r="Q233" t="s">
        <v>310</v>
      </c>
      <c r="W233" s="7">
        <f t="shared" si="40"/>
        <v>1</v>
      </c>
      <c r="X233" t="str">
        <f t="shared" si="41"/>
        <v>A · Premium ativo</v>
      </c>
    </row>
    <row r="234" spans="1:24" x14ac:dyDescent="0.3">
      <c r="A234" s="1" t="s">
        <v>600</v>
      </c>
      <c r="B234" s="1" t="s">
        <v>605</v>
      </c>
      <c r="C234" s="1">
        <v>2</v>
      </c>
      <c r="D234" s="1" t="s">
        <v>47</v>
      </c>
      <c r="E234">
        <v>2</v>
      </c>
      <c r="F234" s="5">
        <v>137.16</v>
      </c>
      <c r="G234" s="5">
        <v>44.72</v>
      </c>
      <c r="H234" s="5">
        <v>228.78</v>
      </c>
      <c r="I234" s="6">
        <v>658000</v>
      </c>
      <c r="J234" s="1">
        <v>2026</v>
      </c>
      <c r="K234" s="6">
        <f t="shared" si="43"/>
        <v>4797.3170020414118</v>
      </c>
      <c r="L234" s="6">
        <f t="shared" si="44"/>
        <v>2876.1255354489031</v>
      </c>
      <c r="M234" t="str">
        <f t="shared" si="42"/>
        <v>Ativo</v>
      </c>
      <c r="P234" s="8"/>
      <c r="Q234" t="s">
        <v>310</v>
      </c>
      <c r="W234" s="7">
        <f t="shared" si="40"/>
        <v>1</v>
      </c>
      <c r="X234" t="str">
        <f t="shared" si="41"/>
        <v>A · Premium ativo</v>
      </c>
    </row>
    <row r="235" spans="1:24" x14ac:dyDescent="0.3">
      <c r="A235" s="1" t="s">
        <v>600</v>
      </c>
      <c r="B235" s="1" t="s">
        <v>606</v>
      </c>
      <c r="C235" s="1">
        <v>2</v>
      </c>
      <c r="D235" s="1" t="s">
        <v>25</v>
      </c>
      <c r="E235">
        <v>2</v>
      </c>
      <c r="F235" s="5">
        <v>59.01</v>
      </c>
      <c r="G235" s="5">
        <v>20.58</v>
      </c>
      <c r="H235" s="5">
        <v>82.3</v>
      </c>
      <c r="I235" s="6">
        <v>335000</v>
      </c>
      <c r="J235" s="1">
        <v>2026</v>
      </c>
      <c r="K235" s="6">
        <f t="shared" si="43"/>
        <v>5677.0038976444675</v>
      </c>
      <c r="L235" s="6">
        <f t="shared" si="44"/>
        <v>4070.4738760631835</v>
      </c>
      <c r="M235" t="str">
        <f t="shared" si="42"/>
        <v>Ativo</v>
      </c>
      <c r="P235" s="8"/>
      <c r="Q235" t="s">
        <v>310</v>
      </c>
      <c r="W235" s="7">
        <f t="shared" si="40"/>
        <v>1</v>
      </c>
      <c r="X235" t="str">
        <f t="shared" si="41"/>
        <v>A · Premium ativo</v>
      </c>
    </row>
    <row r="236" spans="1:24" x14ac:dyDescent="0.3">
      <c r="A236" s="1" t="s">
        <v>600</v>
      </c>
      <c r="B236" s="1" t="s">
        <v>607</v>
      </c>
      <c r="C236" s="1">
        <v>2</v>
      </c>
      <c r="D236" s="1" t="s">
        <v>15</v>
      </c>
      <c r="E236">
        <v>2</v>
      </c>
      <c r="F236" s="5">
        <v>93.06</v>
      </c>
      <c r="G236" s="5">
        <v>24.81</v>
      </c>
      <c r="H236" s="5">
        <v>121.17</v>
      </c>
      <c r="I236" s="6">
        <v>498000</v>
      </c>
      <c r="J236" s="1">
        <v>2026</v>
      </c>
      <c r="K236" s="6">
        <f t="shared" si="43"/>
        <v>5351.3862024500322</v>
      </c>
      <c r="L236" s="6">
        <f t="shared" si="44"/>
        <v>4109.9282000495168</v>
      </c>
      <c r="M236" t="str">
        <f t="shared" si="42"/>
        <v>Ativo</v>
      </c>
      <c r="P236" s="8"/>
      <c r="Q236" t="s">
        <v>310</v>
      </c>
      <c r="W236" s="7">
        <f t="shared" si="40"/>
        <v>1</v>
      </c>
      <c r="X236" t="str">
        <f t="shared" si="41"/>
        <v>A · Premium ativo</v>
      </c>
    </row>
    <row r="237" spans="1:24" x14ac:dyDescent="0.3">
      <c r="A237" s="1" t="s">
        <v>600</v>
      </c>
      <c r="B237" s="1" t="s">
        <v>608</v>
      </c>
      <c r="C237" s="1">
        <v>3</v>
      </c>
      <c r="D237" s="1" t="s">
        <v>47</v>
      </c>
      <c r="E237">
        <v>2</v>
      </c>
      <c r="F237" s="5">
        <v>137.16</v>
      </c>
      <c r="G237" s="5">
        <v>44.94</v>
      </c>
      <c r="H237" s="5">
        <v>229.7</v>
      </c>
      <c r="I237" s="6">
        <v>680000</v>
      </c>
      <c r="J237" s="1">
        <v>2026</v>
      </c>
      <c r="K237" s="6">
        <f t="shared" si="43"/>
        <v>4957.7136191309419</v>
      </c>
      <c r="L237" s="6">
        <f t="shared" si="44"/>
        <v>2960.383108402264</v>
      </c>
      <c r="M237" t="str">
        <f t="shared" si="42"/>
        <v>Ativo</v>
      </c>
      <c r="P237" s="8"/>
      <c r="Q237" t="s">
        <v>310</v>
      </c>
      <c r="W237" s="7">
        <f t="shared" si="40"/>
        <v>1</v>
      </c>
      <c r="X237" t="str">
        <f t="shared" si="41"/>
        <v>A · Premium ativo</v>
      </c>
    </row>
    <row r="238" spans="1:24" x14ac:dyDescent="0.3">
      <c r="A238" s="1" t="s">
        <v>600</v>
      </c>
      <c r="B238" s="1" t="s">
        <v>609</v>
      </c>
      <c r="C238" s="1">
        <v>3</v>
      </c>
      <c r="D238" s="1" t="s">
        <v>25</v>
      </c>
      <c r="E238">
        <v>2</v>
      </c>
      <c r="F238" s="5">
        <v>59.01</v>
      </c>
      <c r="G238" s="5">
        <v>20.11</v>
      </c>
      <c r="H238" s="5">
        <v>81.89</v>
      </c>
      <c r="I238" s="6">
        <v>345000</v>
      </c>
      <c r="J238" s="1">
        <v>2026</v>
      </c>
      <c r="K238" s="6">
        <f t="shared" si="43"/>
        <v>5846.4667005592273</v>
      </c>
      <c r="L238" s="6">
        <f t="shared" si="44"/>
        <v>4212.9686164366831</v>
      </c>
      <c r="M238" t="str">
        <f t="shared" si="42"/>
        <v>Ativo</v>
      </c>
      <c r="P238" s="8"/>
      <c r="Q238" t="s">
        <v>310</v>
      </c>
      <c r="W238" s="7">
        <f t="shared" ref="W238:W301" si="45">IF(A238="The View",1,MAX(0.25,MIN(1,IF(J238&gt;=2026,1,IF(J238=2025,0.8,IF(J238=2024,0.45,0.3)))*IF(Q238="Premium waterfront/marina",1,IF(Q238="Benchmark local",0.7,0.6))*IF(M238="Vendido",0.65,IF(M238="Reservado",0.8,IF(M238="Histórico",0.55,1))))))</f>
        <v>1</v>
      </c>
      <c r="X238" t="str">
        <f t="shared" ref="X238:X301" si="46">IF(A238="The View","Projeto",IF(W238&gt;=0.85,"A · Premium ativo",IF(W238&gt;=0.55,"B · Benchmark local","C · Histórico/secundário")))</f>
        <v>A · Premium ativo</v>
      </c>
    </row>
    <row r="239" spans="1:24" x14ac:dyDescent="0.3">
      <c r="A239" s="1" t="s">
        <v>600</v>
      </c>
      <c r="B239" s="1" t="s">
        <v>610</v>
      </c>
      <c r="C239" s="1">
        <v>3</v>
      </c>
      <c r="D239" s="1" t="s">
        <v>15</v>
      </c>
      <c r="E239">
        <v>2</v>
      </c>
      <c r="F239" s="5">
        <v>93.06</v>
      </c>
      <c r="G239" s="5">
        <v>24.81</v>
      </c>
      <c r="H239" s="5">
        <v>120.97</v>
      </c>
      <c r="I239" s="6">
        <v>509000</v>
      </c>
      <c r="J239" s="1">
        <v>2026</v>
      </c>
      <c r="K239" s="6">
        <f t="shared" si="43"/>
        <v>5469.5895121427038</v>
      </c>
      <c r="L239" s="6">
        <f t="shared" si="44"/>
        <v>4207.6547904439121</v>
      </c>
      <c r="M239" t="str">
        <f t="shared" si="42"/>
        <v>Ativo</v>
      </c>
      <c r="P239" s="8"/>
      <c r="Q239" t="s">
        <v>310</v>
      </c>
      <c r="W239" s="7">
        <f t="shared" si="45"/>
        <v>1</v>
      </c>
      <c r="X239" t="str">
        <f t="shared" si="46"/>
        <v>A · Premium ativo</v>
      </c>
    </row>
    <row r="240" spans="1:24" x14ac:dyDescent="0.3">
      <c r="A240" s="1" t="s">
        <v>600</v>
      </c>
      <c r="B240" s="1" t="s">
        <v>611</v>
      </c>
      <c r="C240" s="1">
        <v>4</v>
      </c>
      <c r="D240" s="1" t="s">
        <v>47</v>
      </c>
      <c r="E240">
        <v>2</v>
      </c>
      <c r="F240" s="5">
        <v>137.16</v>
      </c>
      <c r="G240" s="5">
        <v>44.72</v>
      </c>
      <c r="H240" s="5">
        <v>231.18</v>
      </c>
      <c r="I240" s="6">
        <v>690000</v>
      </c>
      <c r="J240" s="1">
        <v>2026</v>
      </c>
      <c r="K240" s="6">
        <f t="shared" si="43"/>
        <v>5030.6211723534561</v>
      </c>
      <c r="L240" s="6">
        <f t="shared" si="44"/>
        <v>2984.6872566831039</v>
      </c>
      <c r="M240" t="str">
        <f t="shared" si="42"/>
        <v>Ativo</v>
      </c>
      <c r="P240" s="8"/>
      <c r="Q240" t="s">
        <v>310</v>
      </c>
      <c r="W240" s="7">
        <f t="shared" si="45"/>
        <v>1</v>
      </c>
      <c r="X240" t="str">
        <f t="shared" si="46"/>
        <v>A · Premium ativo</v>
      </c>
    </row>
    <row r="241" spans="1:24" x14ac:dyDescent="0.3">
      <c r="A241" s="1" t="s">
        <v>600</v>
      </c>
      <c r="B241" s="1" t="s">
        <v>612</v>
      </c>
      <c r="C241" s="1">
        <v>4</v>
      </c>
      <c r="D241" s="1" t="s">
        <v>25</v>
      </c>
      <c r="E241">
        <v>2</v>
      </c>
      <c r="F241" s="5">
        <v>59.01</v>
      </c>
      <c r="G241" s="5">
        <v>20.58</v>
      </c>
      <c r="H241" s="5">
        <v>82.39</v>
      </c>
      <c r="I241" s="6">
        <v>355000</v>
      </c>
      <c r="J241" s="1">
        <v>2026</v>
      </c>
      <c r="K241" s="6">
        <f t="shared" si="43"/>
        <v>6015.929503473988</v>
      </c>
      <c r="L241" s="6">
        <f t="shared" si="44"/>
        <v>4308.7753368127196</v>
      </c>
      <c r="M241" t="str">
        <f t="shared" si="42"/>
        <v>Ativo</v>
      </c>
      <c r="P241" s="8"/>
      <c r="Q241" t="s">
        <v>310</v>
      </c>
      <c r="W241" s="7">
        <f t="shared" si="45"/>
        <v>1</v>
      </c>
      <c r="X241" t="str">
        <f t="shared" si="46"/>
        <v>A · Premium ativo</v>
      </c>
    </row>
    <row r="242" spans="1:24" x14ac:dyDescent="0.3">
      <c r="A242" s="1" t="s">
        <v>600</v>
      </c>
      <c r="B242" s="1" t="s">
        <v>613</v>
      </c>
      <c r="C242" s="1">
        <v>4</v>
      </c>
      <c r="D242" s="1" t="s">
        <v>15</v>
      </c>
      <c r="E242">
        <v>2</v>
      </c>
      <c r="F242" s="5">
        <v>93.06</v>
      </c>
      <c r="G242" s="5">
        <v>24.81</v>
      </c>
      <c r="H242" s="5">
        <v>122.27</v>
      </c>
      <c r="I242" s="6">
        <v>520000</v>
      </c>
      <c r="J242" s="1">
        <v>2026</v>
      </c>
      <c r="K242" s="6">
        <f t="shared" si="43"/>
        <v>5587.7928218353745</v>
      </c>
      <c r="L242" s="6">
        <f t="shared" si="44"/>
        <v>4252.8829639322812</v>
      </c>
      <c r="M242" t="str">
        <f t="shared" si="42"/>
        <v>Ativo</v>
      </c>
      <c r="P242" s="8"/>
      <c r="Q242" t="s">
        <v>310</v>
      </c>
      <c r="W242" s="7">
        <f t="shared" si="45"/>
        <v>1</v>
      </c>
      <c r="X242" t="str">
        <f t="shared" si="46"/>
        <v>A · Premium ativo</v>
      </c>
    </row>
    <row r="243" spans="1:24" x14ac:dyDescent="0.3">
      <c r="A243" s="1" t="s">
        <v>600</v>
      </c>
      <c r="B243" s="1" t="s">
        <v>614</v>
      </c>
      <c r="C243" s="1">
        <v>5</v>
      </c>
      <c r="D243" s="1" t="s">
        <v>615</v>
      </c>
      <c r="E243">
        <v>2</v>
      </c>
      <c r="F243" s="5">
        <v>161.78</v>
      </c>
      <c r="G243" s="5">
        <v>227.4</v>
      </c>
      <c r="H243" s="5">
        <v>439.78</v>
      </c>
      <c r="I243" s="6">
        <v>1002000</v>
      </c>
      <c r="J243" s="1">
        <v>2026</v>
      </c>
      <c r="K243" s="6">
        <f t="shared" si="43"/>
        <v>6193.5962418098652</v>
      </c>
      <c r="L243" s="6">
        <f t="shared" si="44"/>
        <v>2278.411933239347</v>
      </c>
      <c r="M243" t="str">
        <f t="shared" si="42"/>
        <v>Ativo</v>
      </c>
      <c r="P243" s="8"/>
      <c r="Q243" t="s">
        <v>310</v>
      </c>
      <c r="W243" s="7">
        <f t="shared" si="45"/>
        <v>1</v>
      </c>
      <c r="X243" t="str">
        <f t="shared" si="46"/>
        <v>A · Premium ativo</v>
      </c>
    </row>
    <row r="244" spans="1:24" x14ac:dyDescent="0.3">
      <c r="A244" s="1" t="s">
        <v>600</v>
      </c>
      <c r="B244" s="1" t="s">
        <v>616</v>
      </c>
      <c r="C244" s="1">
        <v>5</v>
      </c>
      <c r="D244" s="1" t="s">
        <v>615</v>
      </c>
      <c r="E244">
        <v>2</v>
      </c>
      <c r="F244" s="5">
        <v>128.44999999999999</v>
      </c>
      <c r="G244" s="5">
        <v>201.33</v>
      </c>
      <c r="H244" s="5">
        <v>330.58</v>
      </c>
      <c r="I244" s="6">
        <v>843000</v>
      </c>
      <c r="J244" s="1">
        <v>2026</v>
      </c>
      <c r="K244" s="6">
        <f t="shared" si="43"/>
        <v>6562.8649279875444</v>
      </c>
      <c r="L244" s="6">
        <f t="shared" si="44"/>
        <v>2550.063524714139</v>
      </c>
      <c r="M244" t="str">
        <f t="shared" si="42"/>
        <v>Ativo</v>
      </c>
      <c r="P244" s="8"/>
      <c r="Q244" t="s">
        <v>310</v>
      </c>
      <c r="W244" s="7">
        <f t="shared" si="45"/>
        <v>1</v>
      </c>
      <c r="X244" t="str">
        <f t="shared" si="46"/>
        <v>A · Premium ativo</v>
      </c>
    </row>
    <row r="245" spans="1:24" x14ac:dyDescent="0.3">
      <c r="A245" s="1" t="s">
        <v>600</v>
      </c>
      <c r="B245" s="1" t="s">
        <v>617</v>
      </c>
      <c r="C245" s="1">
        <v>0</v>
      </c>
      <c r="D245" s="1" t="s">
        <v>15</v>
      </c>
      <c r="E245">
        <v>2</v>
      </c>
      <c r="F245" s="5">
        <v>87.11</v>
      </c>
      <c r="G245" s="5">
        <v>37.89</v>
      </c>
      <c r="H245" s="5">
        <v>127.7</v>
      </c>
      <c r="I245" s="6">
        <v>461000</v>
      </c>
      <c r="J245" s="1">
        <v>2026</v>
      </c>
      <c r="K245" s="6">
        <f t="shared" si="43"/>
        <v>5292.1593387670764</v>
      </c>
      <c r="L245" s="6">
        <f t="shared" si="44"/>
        <v>3610.0234925606892</v>
      </c>
      <c r="M245" t="str">
        <f t="shared" si="42"/>
        <v>Ativo</v>
      </c>
      <c r="P245" s="8"/>
      <c r="Q245" t="s">
        <v>310</v>
      </c>
      <c r="W245" s="7">
        <f t="shared" si="45"/>
        <v>1</v>
      </c>
      <c r="X245" t="str">
        <f t="shared" si="46"/>
        <v>A · Premium ativo</v>
      </c>
    </row>
    <row r="246" spans="1:24" x14ac:dyDescent="0.3">
      <c r="A246" s="1" t="s">
        <v>600</v>
      </c>
      <c r="B246" s="1" t="s">
        <v>618</v>
      </c>
      <c r="C246" s="1">
        <v>1</v>
      </c>
      <c r="D246" s="1" t="s">
        <v>15</v>
      </c>
      <c r="E246">
        <v>2</v>
      </c>
      <c r="F246" s="5">
        <v>87.11</v>
      </c>
      <c r="G246" s="5">
        <v>11.2</v>
      </c>
      <c r="H246" s="5">
        <v>101.01</v>
      </c>
      <c r="I246" s="6">
        <v>446000</v>
      </c>
      <c r="J246" s="1">
        <v>2026</v>
      </c>
      <c r="K246" s="6">
        <f t="shared" si="43"/>
        <v>5119.9632648375618</v>
      </c>
      <c r="L246" s="6">
        <f t="shared" si="44"/>
        <v>4415.404415404415</v>
      </c>
      <c r="M246" t="str">
        <f t="shared" si="42"/>
        <v>Ativo</v>
      </c>
      <c r="P246" s="8"/>
      <c r="Q246" t="s">
        <v>310</v>
      </c>
      <c r="W246" s="7">
        <f t="shared" si="45"/>
        <v>1</v>
      </c>
      <c r="X246" t="str">
        <f t="shared" si="46"/>
        <v>A · Premium ativo</v>
      </c>
    </row>
    <row r="247" spans="1:24" x14ac:dyDescent="0.3">
      <c r="A247" s="1" t="s">
        <v>600</v>
      </c>
      <c r="B247" s="1" t="s">
        <v>619</v>
      </c>
      <c r="C247" s="1">
        <v>2</v>
      </c>
      <c r="D247" s="1" t="s">
        <v>15</v>
      </c>
      <c r="E247">
        <v>2</v>
      </c>
      <c r="F247" s="5">
        <v>87.11</v>
      </c>
      <c r="G247" s="5">
        <v>23.58</v>
      </c>
      <c r="H247" s="5">
        <v>113.46</v>
      </c>
      <c r="I247" s="6">
        <v>467000</v>
      </c>
      <c r="J247" s="1">
        <v>2026</v>
      </c>
      <c r="K247" s="6">
        <f t="shared" si="43"/>
        <v>5361.0377683388815</v>
      </c>
      <c r="L247" s="6">
        <f t="shared" si="44"/>
        <v>4115.9880133967918</v>
      </c>
      <c r="M247" t="str">
        <f t="shared" si="42"/>
        <v>Ativo</v>
      </c>
      <c r="P247" s="8"/>
      <c r="Q247" t="s">
        <v>310</v>
      </c>
      <c r="W247" s="7">
        <f t="shared" si="45"/>
        <v>1</v>
      </c>
      <c r="X247" t="str">
        <f t="shared" si="46"/>
        <v>A · Premium ativo</v>
      </c>
    </row>
    <row r="248" spans="1:24" x14ac:dyDescent="0.3">
      <c r="A248" s="1" t="s">
        <v>600</v>
      </c>
      <c r="B248" s="1" t="s">
        <v>620</v>
      </c>
      <c r="C248" s="1">
        <v>2</v>
      </c>
      <c r="D248" s="1" t="s">
        <v>15</v>
      </c>
      <c r="E248">
        <v>2</v>
      </c>
      <c r="F248" s="5">
        <v>82.28</v>
      </c>
      <c r="G248" s="5">
        <v>31.7</v>
      </c>
      <c r="H248" s="5">
        <v>116.78</v>
      </c>
      <c r="I248" s="6">
        <v>451000</v>
      </c>
      <c r="J248" s="1">
        <v>2026</v>
      </c>
      <c r="K248" s="6">
        <f t="shared" si="43"/>
        <v>5481.2834224598928</v>
      </c>
      <c r="L248" s="6">
        <f t="shared" si="44"/>
        <v>3861.9626648398698</v>
      </c>
      <c r="M248" t="str">
        <f t="shared" si="42"/>
        <v>Ativo</v>
      </c>
      <c r="P248" s="8"/>
      <c r="Q248" t="s">
        <v>310</v>
      </c>
      <c r="W248" s="7">
        <f t="shared" si="45"/>
        <v>1</v>
      </c>
      <c r="X248" t="str">
        <f t="shared" si="46"/>
        <v>A · Premium ativo</v>
      </c>
    </row>
    <row r="249" spans="1:24" x14ac:dyDescent="0.3">
      <c r="A249" s="1" t="s">
        <v>600</v>
      </c>
      <c r="B249" s="1" t="s">
        <v>621</v>
      </c>
      <c r="C249" s="1">
        <v>3</v>
      </c>
      <c r="D249" s="1" t="s">
        <v>15</v>
      </c>
      <c r="E249">
        <v>2</v>
      </c>
      <c r="F249" s="5">
        <v>87.11</v>
      </c>
      <c r="G249" s="5">
        <v>23.66</v>
      </c>
      <c r="H249" s="5">
        <v>113.77</v>
      </c>
      <c r="I249" s="6">
        <v>478000</v>
      </c>
      <c r="J249" s="1">
        <v>2026</v>
      </c>
      <c r="K249" s="6">
        <f t="shared" si="43"/>
        <v>5487.3148892205254</v>
      </c>
      <c r="L249" s="6">
        <f t="shared" si="44"/>
        <v>4201.4590841170784</v>
      </c>
      <c r="M249" t="str">
        <f t="shared" si="42"/>
        <v>Ativo</v>
      </c>
      <c r="P249" s="8"/>
      <c r="Q249" t="s">
        <v>310</v>
      </c>
      <c r="W249" s="7">
        <f t="shared" si="45"/>
        <v>1</v>
      </c>
      <c r="X249" t="str">
        <f t="shared" si="46"/>
        <v>A · Premium ativo</v>
      </c>
    </row>
    <row r="250" spans="1:24" x14ac:dyDescent="0.3">
      <c r="A250" s="1" t="s">
        <v>600</v>
      </c>
      <c r="B250" s="1" t="s">
        <v>622</v>
      </c>
      <c r="C250" s="1">
        <v>3</v>
      </c>
      <c r="D250" s="1" t="s">
        <v>15</v>
      </c>
      <c r="E250">
        <v>2</v>
      </c>
      <c r="F250" s="5">
        <v>82.28</v>
      </c>
      <c r="G250" s="5">
        <v>31.75</v>
      </c>
      <c r="H250" s="5">
        <v>116.83</v>
      </c>
      <c r="I250" s="6">
        <v>461000</v>
      </c>
      <c r="J250" s="1">
        <v>2026</v>
      </c>
      <c r="K250" s="6">
        <f t="shared" si="43"/>
        <v>5602.8196402527956</v>
      </c>
      <c r="L250" s="6">
        <f t="shared" si="44"/>
        <v>3945.9043054010099</v>
      </c>
      <c r="M250" t="str">
        <f t="shared" si="42"/>
        <v>Ativo</v>
      </c>
      <c r="P250" s="8"/>
      <c r="Q250" t="s">
        <v>310</v>
      </c>
      <c r="W250" s="7">
        <f t="shared" si="45"/>
        <v>1</v>
      </c>
      <c r="X250" t="str">
        <f t="shared" si="46"/>
        <v>A · Premium ativo</v>
      </c>
    </row>
    <row r="251" spans="1:24" x14ac:dyDescent="0.3">
      <c r="A251" s="1" t="s">
        <v>600</v>
      </c>
      <c r="B251" s="1" t="s">
        <v>623</v>
      </c>
      <c r="C251" s="1">
        <v>4</v>
      </c>
      <c r="D251" s="1" t="s">
        <v>15</v>
      </c>
      <c r="E251">
        <v>2</v>
      </c>
      <c r="F251" s="5">
        <v>87.11</v>
      </c>
      <c r="G251" s="5">
        <v>23.58</v>
      </c>
      <c r="H251" s="5">
        <v>114.09</v>
      </c>
      <c r="I251" s="6">
        <v>483000</v>
      </c>
      <c r="J251" s="1">
        <v>2026</v>
      </c>
      <c r="K251" s="6">
        <f t="shared" si="43"/>
        <v>5544.7135805303642</v>
      </c>
      <c r="L251" s="6">
        <f t="shared" si="44"/>
        <v>4233.4998685248484</v>
      </c>
      <c r="M251" t="str">
        <f t="shared" si="42"/>
        <v>Ativo</v>
      </c>
      <c r="P251" s="8"/>
      <c r="Q251" t="s">
        <v>310</v>
      </c>
      <c r="W251" s="7">
        <f t="shared" si="45"/>
        <v>1</v>
      </c>
      <c r="X251" t="str">
        <f t="shared" si="46"/>
        <v>A · Premium ativo</v>
      </c>
    </row>
    <row r="252" spans="1:24" x14ac:dyDescent="0.3">
      <c r="A252" s="1" t="s">
        <v>600</v>
      </c>
      <c r="B252" s="1" t="s">
        <v>624</v>
      </c>
      <c r="C252" s="1">
        <v>4</v>
      </c>
      <c r="D252" s="1" t="s">
        <v>15</v>
      </c>
      <c r="E252">
        <v>2</v>
      </c>
      <c r="F252" s="5">
        <v>82.28</v>
      </c>
      <c r="G252" s="5">
        <v>31.7</v>
      </c>
      <c r="H252" s="5">
        <v>116.75</v>
      </c>
      <c r="I252" s="6">
        <v>472000</v>
      </c>
      <c r="J252" s="1">
        <v>2026</v>
      </c>
      <c r="K252" s="6">
        <f t="shared" si="43"/>
        <v>5736.5094798249875</v>
      </c>
      <c r="L252" s="6">
        <f t="shared" si="44"/>
        <v>4042.8265524625267</v>
      </c>
      <c r="M252" t="str">
        <f t="shared" si="42"/>
        <v>Ativo</v>
      </c>
      <c r="P252" s="8"/>
      <c r="Q252" t="s">
        <v>310</v>
      </c>
      <c r="W252" s="7">
        <f t="shared" si="45"/>
        <v>1</v>
      </c>
      <c r="X252" t="str">
        <f t="shared" si="46"/>
        <v>A · Premium ativo</v>
      </c>
    </row>
    <row r="253" spans="1:24" x14ac:dyDescent="0.3">
      <c r="A253" s="1" t="s">
        <v>600</v>
      </c>
      <c r="B253" s="1" t="s">
        <v>625</v>
      </c>
      <c r="C253" s="1">
        <v>5</v>
      </c>
      <c r="D253" s="1" t="s">
        <v>15</v>
      </c>
      <c r="E253">
        <v>2</v>
      </c>
      <c r="F253" s="5">
        <v>87.11</v>
      </c>
      <c r="G253" s="5">
        <v>66.34</v>
      </c>
      <c r="H253" s="5">
        <v>159</v>
      </c>
      <c r="I253" s="6">
        <v>631000</v>
      </c>
      <c r="J253" s="1">
        <v>2026</v>
      </c>
      <c r="K253" s="6">
        <f t="shared" si="43"/>
        <v>7243.7148433015727</v>
      </c>
      <c r="L253" s="6">
        <f t="shared" si="44"/>
        <v>3968.5534591194969</v>
      </c>
      <c r="M253" t="str">
        <f t="shared" si="42"/>
        <v>Ativo</v>
      </c>
      <c r="P253" s="8"/>
      <c r="Q253" t="s">
        <v>310</v>
      </c>
      <c r="W253" s="7">
        <f t="shared" si="45"/>
        <v>1</v>
      </c>
      <c r="X253" t="str">
        <f t="shared" si="46"/>
        <v>A · Premium ativo</v>
      </c>
    </row>
    <row r="254" spans="1:24" x14ac:dyDescent="0.3">
      <c r="A254" s="1" t="s">
        <v>600</v>
      </c>
      <c r="B254" s="1" t="s">
        <v>626</v>
      </c>
      <c r="C254" s="1">
        <v>5</v>
      </c>
      <c r="D254" s="1" t="s">
        <v>15</v>
      </c>
      <c r="E254">
        <v>2</v>
      </c>
      <c r="F254" s="5">
        <v>82.28</v>
      </c>
      <c r="G254" s="5">
        <v>31.75</v>
      </c>
      <c r="H254" s="5">
        <v>117.33</v>
      </c>
      <c r="I254" s="6">
        <v>488000</v>
      </c>
      <c r="J254" s="1">
        <v>2026</v>
      </c>
      <c r="K254" s="6">
        <f t="shared" si="43"/>
        <v>5930.9674282936312</v>
      </c>
      <c r="L254" s="6">
        <f t="shared" si="44"/>
        <v>4159.2090684394443</v>
      </c>
      <c r="M254" t="str">
        <f t="shared" si="42"/>
        <v>Ativo</v>
      </c>
      <c r="P254" s="8"/>
      <c r="Q254" t="s">
        <v>310</v>
      </c>
      <c r="W254" s="7">
        <f t="shared" si="45"/>
        <v>1</v>
      </c>
      <c r="X254" t="str">
        <f t="shared" si="46"/>
        <v>A · Premium ativo</v>
      </c>
    </row>
    <row r="255" spans="1:24" x14ac:dyDescent="0.3">
      <c r="A255" s="1" t="s">
        <v>600</v>
      </c>
      <c r="B255" s="1" t="s">
        <v>627</v>
      </c>
      <c r="C255" s="1">
        <v>0</v>
      </c>
      <c r="D255" s="1" t="s">
        <v>47</v>
      </c>
      <c r="E255">
        <v>2</v>
      </c>
      <c r="F255" s="5">
        <v>125.2</v>
      </c>
      <c r="G255" s="5">
        <v>50.68</v>
      </c>
      <c r="H255" s="5">
        <v>179.68</v>
      </c>
      <c r="I255" s="6">
        <v>546000</v>
      </c>
      <c r="J255" s="1">
        <v>2026</v>
      </c>
      <c r="K255" s="6">
        <f t="shared" si="43"/>
        <v>4361.0223642172523</v>
      </c>
      <c r="L255" s="6">
        <f t="shared" si="44"/>
        <v>3038.7355298308103</v>
      </c>
      <c r="M255" t="str">
        <f t="shared" si="42"/>
        <v>Ativo</v>
      </c>
      <c r="P255" s="8"/>
      <c r="Q255" t="s">
        <v>310</v>
      </c>
      <c r="W255" s="7">
        <f t="shared" si="45"/>
        <v>1</v>
      </c>
      <c r="X255" t="str">
        <f t="shared" si="46"/>
        <v>A · Premium ativo</v>
      </c>
    </row>
    <row r="256" spans="1:24" x14ac:dyDescent="0.3">
      <c r="A256" s="1" t="s">
        <v>600</v>
      </c>
      <c r="B256" s="1" t="s">
        <v>628</v>
      </c>
      <c r="C256" s="1">
        <v>0</v>
      </c>
      <c r="D256" s="1" t="s">
        <v>25</v>
      </c>
      <c r="E256">
        <v>2</v>
      </c>
      <c r="F256" s="5">
        <v>69.72</v>
      </c>
      <c r="G256" s="5">
        <v>42.37</v>
      </c>
      <c r="H256" s="5">
        <v>114.86</v>
      </c>
      <c r="I256" s="6">
        <v>341000</v>
      </c>
      <c r="J256" s="1">
        <v>2026</v>
      </c>
      <c r="K256" s="6">
        <f t="shared" si="43"/>
        <v>4890.992541594951</v>
      </c>
      <c r="L256" s="6">
        <f t="shared" si="44"/>
        <v>2968.8316211039528</v>
      </c>
      <c r="M256" t="str">
        <f t="shared" si="42"/>
        <v>Ativo</v>
      </c>
      <c r="P256" s="8"/>
      <c r="Q256" t="s">
        <v>310</v>
      </c>
      <c r="W256" s="7">
        <f t="shared" si="45"/>
        <v>1</v>
      </c>
      <c r="X256" t="str">
        <f t="shared" si="46"/>
        <v>A · Premium ativo</v>
      </c>
    </row>
    <row r="257" spans="1:24" x14ac:dyDescent="0.3">
      <c r="A257" s="1" t="s">
        <v>600</v>
      </c>
      <c r="B257" s="1" t="s">
        <v>629</v>
      </c>
      <c r="C257" s="1">
        <v>1</v>
      </c>
      <c r="D257" s="1" t="s">
        <v>47</v>
      </c>
      <c r="E257">
        <v>2</v>
      </c>
      <c r="F257" s="5">
        <v>125.2</v>
      </c>
      <c r="G257" s="5">
        <v>36.85</v>
      </c>
      <c r="H257" s="5">
        <v>170.75</v>
      </c>
      <c r="I257" s="6">
        <v>573000</v>
      </c>
      <c r="J257" s="1">
        <v>2026</v>
      </c>
      <c r="K257" s="6">
        <f t="shared" si="43"/>
        <v>4576.6773162939298</v>
      </c>
      <c r="L257" s="6">
        <f t="shared" si="44"/>
        <v>3355.7833089311857</v>
      </c>
      <c r="M257" t="str">
        <f t="shared" si="42"/>
        <v>Ativo</v>
      </c>
      <c r="P257" s="8"/>
      <c r="Q257" t="s">
        <v>310</v>
      </c>
      <c r="W257" s="7">
        <f t="shared" si="45"/>
        <v>1</v>
      </c>
      <c r="X257" t="str">
        <f t="shared" si="46"/>
        <v>A · Premium ativo</v>
      </c>
    </row>
    <row r="258" spans="1:24" x14ac:dyDescent="0.3">
      <c r="A258" s="1" t="s">
        <v>600</v>
      </c>
      <c r="B258" s="1" t="s">
        <v>630</v>
      </c>
      <c r="C258" s="1">
        <v>1</v>
      </c>
      <c r="D258" s="1" t="s">
        <v>15</v>
      </c>
      <c r="E258">
        <v>2</v>
      </c>
      <c r="F258" s="5">
        <v>86.2</v>
      </c>
      <c r="G258" s="5">
        <v>24.33</v>
      </c>
      <c r="H258" s="5">
        <v>113.23</v>
      </c>
      <c r="I258" s="6">
        <v>450000</v>
      </c>
      <c r="J258" s="1">
        <v>2026</v>
      </c>
      <c r="K258" s="6">
        <f t="shared" si="43"/>
        <v>5220.4176334106724</v>
      </c>
      <c r="L258" s="6">
        <f t="shared" si="44"/>
        <v>3974.211781330036</v>
      </c>
      <c r="M258" t="str">
        <f t="shared" si="42"/>
        <v>Ativo</v>
      </c>
      <c r="P258" s="8"/>
      <c r="Q258" t="s">
        <v>310</v>
      </c>
      <c r="W258" s="7">
        <f t="shared" si="45"/>
        <v>1</v>
      </c>
      <c r="X258" t="str">
        <f t="shared" si="46"/>
        <v>A · Premium ativo</v>
      </c>
    </row>
    <row r="259" spans="1:24" x14ac:dyDescent="0.3">
      <c r="A259" s="1" t="s">
        <v>600</v>
      </c>
      <c r="B259" s="1" t="s">
        <v>631</v>
      </c>
      <c r="C259" s="1">
        <v>2</v>
      </c>
      <c r="D259" s="1" t="s">
        <v>47</v>
      </c>
      <c r="E259">
        <v>2</v>
      </c>
      <c r="F259" s="5">
        <v>125.2</v>
      </c>
      <c r="G259" s="5">
        <v>37.46</v>
      </c>
      <c r="H259" s="5">
        <v>168.28</v>
      </c>
      <c r="I259" s="6">
        <v>589000</v>
      </c>
      <c r="J259" s="1">
        <v>2026</v>
      </c>
      <c r="K259" s="6">
        <f t="shared" si="43"/>
        <v>4704.4728434504796</v>
      </c>
      <c r="L259" s="6">
        <f t="shared" si="44"/>
        <v>3500.1188495364868</v>
      </c>
      <c r="M259" t="str">
        <f t="shared" si="42"/>
        <v>Ativo</v>
      </c>
      <c r="P259" s="8"/>
      <c r="Q259" t="s">
        <v>310</v>
      </c>
      <c r="W259" s="7">
        <f t="shared" si="45"/>
        <v>1</v>
      </c>
      <c r="X259" t="str">
        <f t="shared" si="46"/>
        <v>A · Premium ativo</v>
      </c>
    </row>
    <row r="260" spans="1:24" x14ac:dyDescent="0.3">
      <c r="A260" s="1" t="s">
        <v>600</v>
      </c>
      <c r="B260" s="1" t="s">
        <v>632</v>
      </c>
      <c r="C260" s="1">
        <v>2</v>
      </c>
      <c r="D260" s="1" t="s">
        <v>15</v>
      </c>
      <c r="E260">
        <v>2</v>
      </c>
      <c r="F260" s="5">
        <v>86.2</v>
      </c>
      <c r="G260" s="5">
        <v>23.77</v>
      </c>
      <c r="H260" s="5">
        <v>112.67</v>
      </c>
      <c r="I260" s="6">
        <v>464000</v>
      </c>
      <c r="J260" s="1">
        <v>2026</v>
      </c>
      <c r="K260" s="6">
        <f t="shared" si="43"/>
        <v>5382.8306264501161</v>
      </c>
      <c r="L260" s="6">
        <f t="shared" si="44"/>
        <v>4118.2213543977987</v>
      </c>
      <c r="M260" t="str">
        <f t="shared" si="42"/>
        <v>Ativo</v>
      </c>
      <c r="P260" s="8"/>
      <c r="Q260" t="s">
        <v>310</v>
      </c>
      <c r="W260" s="7">
        <f t="shared" si="45"/>
        <v>1</v>
      </c>
      <c r="X260" t="str">
        <f t="shared" si="46"/>
        <v>A · Premium ativo</v>
      </c>
    </row>
    <row r="261" spans="1:24" x14ac:dyDescent="0.3">
      <c r="A261" s="1" t="s">
        <v>600</v>
      </c>
      <c r="B261" s="1" t="s">
        <v>633</v>
      </c>
      <c r="C261" s="1">
        <v>3</v>
      </c>
      <c r="D261" s="1" t="s">
        <v>47</v>
      </c>
      <c r="E261">
        <v>2</v>
      </c>
      <c r="F261" s="5">
        <v>125.2</v>
      </c>
      <c r="G261" s="5">
        <v>36.85</v>
      </c>
      <c r="H261" s="5">
        <v>176.85</v>
      </c>
      <c r="I261" s="6">
        <v>605000</v>
      </c>
      <c r="J261" s="1">
        <v>2026</v>
      </c>
      <c r="K261" s="6">
        <f t="shared" si="43"/>
        <v>4832.2683706070284</v>
      </c>
      <c r="L261" s="6">
        <f t="shared" si="44"/>
        <v>3420.9782301385358</v>
      </c>
      <c r="M261" t="str">
        <f t="shared" si="42"/>
        <v>Ativo</v>
      </c>
      <c r="P261" s="8"/>
      <c r="Q261" t="s">
        <v>310</v>
      </c>
      <c r="W261" s="7">
        <f t="shared" si="45"/>
        <v>1</v>
      </c>
      <c r="X261" t="str">
        <f t="shared" si="46"/>
        <v>A · Premium ativo</v>
      </c>
    </row>
    <row r="262" spans="1:24" x14ac:dyDescent="0.3">
      <c r="A262" s="1" t="s">
        <v>600</v>
      </c>
      <c r="B262" s="1" t="s">
        <v>634</v>
      </c>
      <c r="C262" s="1">
        <v>3</v>
      </c>
      <c r="D262" s="1" t="s">
        <v>15</v>
      </c>
      <c r="E262">
        <v>2</v>
      </c>
      <c r="F262" s="5">
        <v>86.2</v>
      </c>
      <c r="G262" s="5">
        <v>24.33</v>
      </c>
      <c r="H262" s="5">
        <v>113.63</v>
      </c>
      <c r="I262" s="6">
        <v>475000</v>
      </c>
      <c r="J262" s="1">
        <v>2026</v>
      </c>
      <c r="K262" s="6">
        <f t="shared" si="43"/>
        <v>5510.4408352668215</v>
      </c>
      <c r="L262" s="6">
        <f t="shared" si="44"/>
        <v>4180.234093109214</v>
      </c>
      <c r="M262" t="str">
        <f t="shared" si="42"/>
        <v>Ativo</v>
      </c>
      <c r="P262" s="8"/>
      <c r="Q262" t="s">
        <v>310</v>
      </c>
      <c r="W262" s="7">
        <f t="shared" si="45"/>
        <v>1</v>
      </c>
      <c r="X262" t="str">
        <f t="shared" si="46"/>
        <v>A · Premium ativo</v>
      </c>
    </row>
    <row r="263" spans="1:24" x14ac:dyDescent="0.3">
      <c r="A263" s="1" t="s">
        <v>600</v>
      </c>
      <c r="B263" s="1" t="s">
        <v>635</v>
      </c>
      <c r="C263" s="1">
        <v>4</v>
      </c>
      <c r="D263" s="1" t="s">
        <v>47</v>
      </c>
      <c r="E263">
        <v>2</v>
      </c>
      <c r="F263" s="5">
        <v>125.2</v>
      </c>
      <c r="G263" s="5">
        <v>37.46</v>
      </c>
      <c r="H263" s="5">
        <v>168.46</v>
      </c>
      <c r="I263" s="6">
        <v>621000</v>
      </c>
      <c r="J263" s="1">
        <v>2026</v>
      </c>
      <c r="K263" s="6">
        <f t="shared" si="43"/>
        <v>4960.0638977635781</v>
      </c>
      <c r="L263" s="6">
        <f t="shared" si="44"/>
        <v>3686.3350350231508</v>
      </c>
      <c r="M263" t="str">
        <f t="shared" si="42"/>
        <v>Ativo</v>
      </c>
      <c r="P263" s="8"/>
      <c r="Q263" t="s">
        <v>310</v>
      </c>
      <c r="W263" s="7">
        <f t="shared" si="45"/>
        <v>1</v>
      </c>
      <c r="X263" t="str">
        <f t="shared" si="46"/>
        <v>A · Premium ativo</v>
      </c>
    </row>
    <row r="264" spans="1:24" x14ac:dyDescent="0.3">
      <c r="A264" s="1" t="s">
        <v>600</v>
      </c>
      <c r="B264" s="1" t="s">
        <v>636</v>
      </c>
      <c r="C264" s="1">
        <v>4</v>
      </c>
      <c r="D264" s="1" t="s">
        <v>15</v>
      </c>
      <c r="E264">
        <v>2</v>
      </c>
      <c r="F264" s="5">
        <v>86.2</v>
      </c>
      <c r="G264" s="5">
        <v>23.77</v>
      </c>
      <c r="H264" s="5">
        <v>112.97</v>
      </c>
      <c r="I264" s="6">
        <v>488000</v>
      </c>
      <c r="J264" s="1">
        <v>2026</v>
      </c>
      <c r="K264" s="6">
        <f t="shared" si="43"/>
        <v>5661.252900232018</v>
      </c>
      <c r="L264" s="6">
        <f t="shared" si="44"/>
        <v>4319.7309020093835</v>
      </c>
      <c r="M264" t="str">
        <f t="shared" si="42"/>
        <v>Ativo</v>
      </c>
      <c r="P264" s="8"/>
      <c r="Q264" t="s">
        <v>310</v>
      </c>
      <c r="W264" s="7">
        <f t="shared" si="45"/>
        <v>1</v>
      </c>
      <c r="X264" t="str">
        <f t="shared" si="46"/>
        <v>A · Premium ativo</v>
      </c>
    </row>
    <row r="265" spans="1:24" x14ac:dyDescent="0.3">
      <c r="A265" s="1" t="s">
        <v>600</v>
      </c>
      <c r="B265" s="1" t="s">
        <v>637</v>
      </c>
      <c r="C265" s="1">
        <v>5</v>
      </c>
      <c r="D265" s="1" t="s">
        <v>47</v>
      </c>
      <c r="E265">
        <v>2</v>
      </c>
      <c r="F265" s="5">
        <v>125.2</v>
      </c>
      <c r="G265" s="5">
        <v>184.35999999999999</v>
      </c>
      <c r="H265" s="5">
        <v>358.88</v>
      </c>
      <c r="I265" s="6">
        <v>844000</v>
      </c>
      <c r="J265" s="1">
        <v>2026</v>
      </c>
      <c r="K265" s="6">
        <f t="shared" si="43"/>
        <v>6741.2140575079875</v>
      </c>
      <c r="L265" s="6">
        <f t="shared" si="44"/>
        <v>2351.7610343290235</v>
      </c>
      <c r="M265" t="str">
        <f t="shared" si="42"/>
        <v>Ativo</v>
      </c>
      <c r="P265" s="8"/>
      <c r="Q265" t="s">
        <v>310</v>
      </c>
      <c r="W265" s="7">
        <f t="shared" si="45"/>
        <v>1</v>
      </c>
      <c r="X265" t="str">
        <f t="shared" si="46"/>
        <v>A · Premium ativo</v>
      </c>
    </row>
    <row r="266" spans="1:24" x14ac:dyDescent="0.3">
      <c r="A266" s="1" t="s">
        <v>600</v>
      </c>
      <c r="B266" s="1" t="s">
        <v>638</v>
      </c>
      <c r="C266" s="1">
        <v>5</v>
      </c>
      <c r="D266" s="1" t="s">
        <v>15</v>
      </c>
      <c r="E266">
        <v>2</v>
      </c>
      <c r="F266" s="5">
        <v>86.2</v>
      </c>
      <c r="G266" s="5">
        <v>88.34</v>
      </c>
      <c r="H266" s="5">
        <v>179.13</v>
      </c>
      <c r="I266" s="6">
        <v>658000</v>
      </c>
      <c r="J266" s="1">
        <v>2026</v>
      </c>
      <c r="K266" s="6">
        <f t="shared" si="43"/>
        <v>7633.4106728538281</v>
      </c>
      <c r="L266" s="6">
        <f t="shared" si="44"/>
        <v>3673.3098866744822</v>
      </c>
      <c r="M266" t="str">
        <f t="shared" si="42"/>
        <v>Ativo</v>
      </c>
      <c r="P266" s="8"/>
      <c r="Q266" t="s">
        <v>310</v>
      </c>
      <c r="W266" s="7">
        <f t="shared" si="45"/>
        <v>1</v>
      </c>
      <c r="X266" t="str">
        <f t="shared" si="46"/>
        <v>A · Premium ativo</v>
      </c>
    </row>
    <row r="267" spans="1:24" x14ac:dyDescent="0.3">
      <c r="A267" s="1" t="s">
        <v>600</v>
      </c>
      <c r="B267" s="1" t="s">
        <v>639</v>
      </c>
      <c r="C267" s="1">
        <v>0</v>
      </c>
      <c r="D267" s="1" t="s">
        <v>615</v>
      </c>
      <c r="E267">
        <v>2</v>
      </c>
      <c r="F267" s="5">
        <v>132.11000000000001</v>
      </c>
      <c r="G267" s="5">
        <v>72.98</v>
      </c>
      <c r="H267" s="5">
        <v>207.59</v>
      </c>
      <c r="I267" s="6">
        <v>647000</v>
      </c>
      <c r="J267" s="1">
        <v>2026</v>
      </c>
      <c r="K267" s="6">
        <f t="shared" si="43"/>
        <v>4897.4339565513583</v>
      </c>
      <c r="L267" s="6">
        <f t="shared" si="44"/>
        <v>3116.7204585962713</v>
      </c>
      <c r="M267" t="str">
        <f t="shared" si="42"/>
        <v>Ativo</v>
      </c>
      <c r="P267" s="8"/>
      <c r="Q267" t="s">
        <v>310</v>
      </c>
      <c r="W267" s="7">
        <f t="shared" si="45"/>
        <v>1</v>
      </c>
      <c r="X267" t="str">
        <f t="shared" si="46"/>
        <v>A · Premium ativo</v>
      </c>
    </row>
    <row r="268" spans="1:24" x14ac:dyDescent="0.3">
      <c r="A268" s="1" t="s">
        <v>600</v>
      </c>
      <c r="B268" s="1" t="s">
        <v>640</v>
      </c>
      <c r="C268" s="1">
        <v>0</v>
      </c>
      <c r="D268" s="1" t="s">
        <v>15</v>
      </c>
      <c r="E268">
        <v>2</v>
      </c>
      <c r="F268" s="5">
        <v>104.85</v>
      </c>
      <c r="G268" s="5">
        <f>16.63+26.18</f>
        <v>42.81</v>
      </c>
      <c r="H268" s="5">
        <v>150.56</v>
      </c>
      <c r="I268" s="6">
        <v>504000</v>
      </c>
      <c r="J268" s="1">
        <v>2026</v>
      </c>
      <c r="K268" s="6">
        <f t="shared" si="43"/>
        <v>4806.8669527897</v>
      </c>
      <c r="L268" s="6">
        <f t="shared" si="44"/>
        <v>3347.5026567481405</v>
      </c>
      <c r="M268" t="str">
        <f t="shared" si="42"/>
        <v>Ativo</v>
      </c>
      <c r="P268" s="8"/>
      <c r="Q268" t="s">
        <v>310</v>
      </c>
      <c r="W268" s="7">
        <f t="shared" si="45"/>
        <v>1</v>
      </c>
      <c r="X268" t="str">
        <f t="shared" si="46"/>
        <v>A · Premium ativo</v>
      </c>
    </row>
    <row r="269" spans="1:24" x14ac:dyDescent="0.3">
      <c r="A269" s="1" t="s">
        <v>600</v>
      </c>
      <c r="B269" s="1" t="s">
        <v>641</v>
      </c>
      <c r="C269" s="1">
        <v>1</v>
      </c>
      <c r="D269" s="1" t="s">
        <v>615</v>
      </c>
      <c r="E269">
        <v>2</v>
      </c>
      <c r="F269" s="5">
        <v>134.34</v>
      </c>
      <c r="G269" s="5">
        <v>47.17</v>
      </c>
      <c r="H269" s="5">
        <v>185.61</v>
      </c>
      <c r="I269" s="6">
        <v>652000</v>
      </c>
      <c r="J269" s="1">
        <v>2026</v>
      </c>
      <c r="K269" s="6">
        <f t="shared" si="43"/>
        <v>4853.3571534911416</v>
      </c>
      <c r="L269" s="6">
        <f t="shared" si="44"/>
        <v>3512.741770378751</v>
      </c>
      <c r="M269" t="str">
        <f t="shared" si="42"/>
        <v>Ativo</v>
      </c>
      <c r="P269" s="8"/>
      <c r="Q269" t="s">
        <v>310</v>
      </c>
      <c r="W269" s="7">
        <f t="shared" si="45"/>
        <v>1</v>
      </c>
      <c r="X269" t="str">
        <f t="shared" si="46"/>
        <v>A · Premium ativo</v>
      </c>
    </row>
    <row r="270" spans="1:24" x14ac:dyDescent="0.3">
      <c r="A270" s="1" t="s">
        <v>600</v>
      </c>
      <c r="B270" s="1" t="s">
        <v>642</v>
      </c>
      <c r="C270" s="1">
        <v>1</v>
      </c>
      <c r="D270" s="1" t="s">
        <v>25</v>
      </c>
      <c r="E270">
        <v>2</v>
      </c>
      <c r="F270" s="5">
        <v>59.63</v>
      </c>
      <c r="G270" s="5">
        <v>15.97</v>
      </c>
      <c r="H270" s="5">
        <v>78.5</v>
      </c>
      <c r="I270" s="6">
        <v>329000</v>
      </c>
      <c r="J270" s="1">
        <v>2026</v>
      </c>
      <c r="K270" s="6">
        <f t="shared" si="43"/>
        <v>5517.357035049472</v>
      </c>
      <c r="L270" s="6">
        <f t="shared" si="44"/>
        <v>4191.0828025477704</v>
      </c>
      <c r="M270" t="str">
        <f t="shared" si="42"/>
        <v>Ativo</v>
      </c>
      <c r="P270" s="8"/>
      <c r="Q270" t="s">
        <v>310</v>
      </c>
      <c r="W270" s="7">
        <f t="shared" si="45"/>
        <v>1</v>
      </c>
      <c r="X270" t="str">
        <f t="shared" si="46"/>
        <v>A · Premium ativo</v>
      </c>
    </row>
    <row r="271" spans="1:24" x14ac:dyDescent="0.3">
      <c r="A271" s="1" t="s">
        <v>600</v>
      </c>
      <c r="B271" s="1" t="s">
        <v>643</v>
      </c>
      <c r="C271" s="1">
        <v>1</v>
      </c>
      <c r="D271" s="1" t="s">
        <v>25</v>
      </c>
      <c r="E271">
        <v>2</v>
      </c>
      <c r="F271" s="5">
        <v>62.96</v>
      </c>
      <c r="G271" s="5">
        <v>16.079999999999998</v>
      </c>
      <c r="H271" s="5">
        <v>81.64</v>
      </c>
      <c r="I271" s="6">
        <v>331000</v>
      </c>
      <c r="J271" s="1">
        <v>2026</v>
      </c>
      <c r="K271" s="6">
        <f t="shared" si="43"/>
        <v>5257.3062261753494</v>
      </c>
      <c r="L271" s="6">
        <f t="shared" si="44"/>
        <v>4054.3851053405192</v>
      </c>
      <c r="M271" t="str">
        <f t="shared" si="42"/>
        <v>Ativo</v>
      </c>
      <c r="P271" s="8"/>
      <c r="Q271" t="s">
        <v>310</v>
      </c>
      <c r="W271" s="7">
        <f t="shared" si="45"/>
        <v>1</v>
      </c>
      <c r="X271" t="str">
        <f t="shared" si="46"/>
        <v>A · Premium ativo</v>
      </c>
    </row>
    <row r="272" spans="1:24" x14ac:dyDescent="0.3">
      <c r="A272" s="1" t="s">
        <v>600</v>
      </c>
      <c r="B272" s="1" t="s">
        <v>644</v>
      </c>
      <c r="C272" s="1">
        <v>2</v>
      </c>
      <c r="D272" s="1" t="s">
        <v>615</v>
      </c>
      <c r="E272">
        <v>2</v>
      </c>
      <c r="F272" s="5">
        <v>134.34</v>
      </c>
      <c r="G272" s="5">
        <v>46.65</v>
      </c>
      <c r="H272" s="5">
        <v>183.39</v>
      </c>
      <c r="I272" s="6">
        <v>668000</v>
      </c>
      <c r="J272" s="1">
        <v>2026</v>
      </c>
      <c r="K272" s="6">
        <f t="shared" si="43"/>
        <v>4972.4579425338688</v>
      </c>
      <c r="L272" s="6">
        <f t="shared" si="44"/>
        <v>3642.5104967555485</v>
      </c>
      <c r="M272" t="str">
        <f t="shared" si="42"/>
        <v>Ativo</v>
      </c>
      <c r="P272" s="8"/>
      <c r="Q272" t="s">
        <v>310</v>
      </c>
      <c r="W272" s="7">
        <f t="shared" si="45"/>
        <v>1</v>
      </c>
      <c r="X272" t="str">
        <f t="shared" si="46"/>
        <v>A · Premium ativo</v>
      </c>
    </row>
    <row r="273" spans="1:24" x14ac:dyDescent="0.3">
      <c r="A273" s="1" t="s">
        <v>600</v>
      </c>
      <c r="B273" s="1" t="s">
        <v>645</v>
      </c>
      <c r="C273" s="1">
        <v>2</v>
      </c>
      <c r="D273" s="1" t="s">
        <v>25</v>
      </c>
      <c r="E273">
        <v>2</v>
      </c>
      <c r="F273" s="5">
        <v>59.93</v>
      </c>
      <c r="G273" s="5">
        <v>16.649999999999999</v>
      </c>
      <c r="H273" s="5">
        <v>79.08</v>
      </c>
      <c r="I273" s="6">
        <v>335000</v>
      </c>
      <c r="J273" s="1">
        <v>2026</v>
      </c>
      <c r="K273" s="6">
        <f t="shared" si="43"/>
        <v>5589.8548306357416</v>
      </c>
      <c r="L273" s="6">
        <f t="shared" si="44"/>
        <v>4236.216489630754</v>
      </c>
      <c r="M273" t="str">
        <f t="shared" si="42"/>
        <v>Ativo</v>
      </c>
      <c r="P273" s="8"/>
      <c r="Q273" t="s">
        <v>310</v>
      </c>
      <c r="W273" s="7">
        <f t="shared" si="45"/>
        <v>1</v>
      </c>
      <c r="X273" t="str">
        <f t="shared" si="46"/>
        <v>A · Premium ativo</v>
      </c>
    </row>
    <row r="274" spans="1:24" x14ac:dyDescent="0.3">
      <c r="A274" s="1" t="s">
        <v>600</v>
      </c>
      <c r="B274" s="1" t="s">
        <v>646</v>
      </c>
      <c r="C274" s="1">
        <v>2</v>
      </c>
      <c r="D274" s="1" t="s">
        <v>25</v>
      </c>
      <c r="E274">
        <v>2</v>
      </c>
      <c r="F274" s="5">
        <v>62.96</v>
      </c>
      <c r="G274" s="5">
        <v>16.079999999999998</v>
      </c>
      <c r="H274" s="5">
        <v>81.94</v>
      </c>
      <c r="I274" s="6">
        <v>347000</v>
      </c>
      <c r="J274" s="1">
        <v>2026</v>
      </c>
      <c r="K274" s="6">
        <f t="shared" si="43"/>
        <v>5511.4358322744602</v>
      </c>
      <c r="L274" s="6">
        <f t="shared" si="44"/>
        <v>4234.8059555772516</v>
      </c>
      <c r="M274" t="str">
        <f t="shared" si="42"/>
        <v>Ativo</v>
      </c>
      <c r="P274" s="8"/>
      <c r="Q274" t="s">
        <v>310</v>
      </c>
      <c r="W274" s="7">
        <f t="shared" si="45"/>
        <v>1</v>
      </c>
      <c r="X274" t="str">
        <f t="shared" si="46"/>
        <v>A · Premium ativo</v>
      </c>
    </row>
    <row r="275" spans="1:24" x14ac:dyDescent="0.3">
      <c r="A275" s="1" t="s">
        <v>600</v>
      </c>
      <c r="B275" s="1" t="s">
        <v>647</v>
      </c>
      <c r="C275" s="1">
        <v>3</v>
      </c>
      <c r="D275" s="1" t="s">
        <v>615</v>
      </c>
      <c r="E275">
        <v>2</v>
      </c>
      <c r="F275" s="5">
        <v>134.34</v>
      </c>
      <c r="G275" s="5">
        <v>47.17</v>
      </c>
      <c r="H275" s="5">
        <v>224.11</v>
      </c>
      <c r="I275" s="6">
        <v>700000</v>
      </c>
      <c r="J275" s="1">
        <v>2026</v>
      </c>
      <c r="K275" s="6">
        <f t="shared" si="43"/>
        <v>5210.6595206193242</v>
      </c>
      <c r="L275" s="6">
        <f t="shared" si="44"/>
        <v>3123.4661550131632</v>
      </c>
      <c r="M275" t="str">
        <f t="shared" si="42"/>
        <v>Ativo</v>
      </c>
      <c r="P275" s="8"/>
      <c r="Q275" t="s">
        <v>310</v>
      </c>
      <c r="W275" s="7">
        <f t="shared" si="45"/>
        <v>1</v>
      </c>
      <c r="X275" t="str">
        <f t="shared" si="46"/>
        <v>A · Premium ativo</v>
      </c>
    </row>
    <row r="276" spans="1:24" x14ac:dyDescent="0.3">
      <c r="A276" s="1" t="s">
        <v>600</v>
      </c>
      <c r="B276" s="1" t="s">
        <v>648</v>
      </c>
      <c r="C276" s="1">
        <v>3</v>
      </c>
      <c r="D276" s="1" t="s">
        <v>25</v>
      </c>
      <c r="E276">
        <v>2</v>
      </c>
      <c r="F276" s="5">
        <v>59.63</v>
      </c>
      <c r="G276" s="5">
        <v>15.97</v>
      </c>
      <c r="H276" s="5">
        <v>78</v>
      </c>
      <c r="I276" s="6">
        <v>345000</v>
      </c>
      <c r="J276" s="1">
        <v>2026</v>
      </c>
      <c r="K276" s="6">
        <f t="shared" si="43"/>
        <v>5785.6783498239138</v>
      </c>
      <c r="L276" s="6">
        <f t="shared" si="44"/>
        <v>4423.0769230769229</v>
      </c>
      <c r="M276" t="str">
        <f t="shared" si="42"/>
        <v>Ativo</v>
      </c>
      <c r="P276" s="8"/>
      <c r="Q276" t="s">
        <v>310</v>
      </c>
      <c r="W276" s="7">
        <f t="shared" si="45"/>
        <v>1</v>
      </c>
      <c r="X276" t="str">
        <f t="shared" si="46"/>
        <v>A · Premium ativo</v>
      </c>
    </row>
    <row r="277" spans="1:24" x14ac:dyDescent="0.3">
      <c r="A277" s="1" t="s">
        <v>600</v>
      </c>
      <c r="B277" s="1" t="s">
        <v>649</v>
      </c>
      <c r="C277" s="1">
        <v>3</v>
      </c>
      <c r="D277" s="1" t="s">
        <v>25</v>
      </c>
      <c r="E277">
        <v>2</v>
      </c>
      <c r="F277" s="5">
        <v>62.96</v>
      </c>
      <c r="G277" s="5">
        <v>16.079999999999998</v>
      </c>
      <c r="H277" s="5">
        <v>82.04</v>
      </c>
      <c r="I277" s="6">
        <v>357000</v>
      </c>
      <c r="J277" s="1">
        <v>2026</v>
      </c>
      <c r="K277" s="6">
        <f t="shared" si="43"/>
        <v>5670.2668360864036</v>
      </c>
      <c r="L277" s="6">
        <f t="shared" si="44"/>
        <v>4351.5358361774743</v>
      </c>
      <c r="M277" t="str">
        <f t="shared" si="42"/>
        <v>Ativo</v>
      </c>
      <c r="P277" s="8"/>
      <c r="Q277" t="s">
        <v>310</v>
      </c>
      <c r="W277" s="7">
        <f t="shared" si="45"/>
        <v>1</v>
      </c>
      <c r="X277" t="str">
        <f t="shared" si="46"/>
        <v>A · Premium ativo</v>
      </c>
    </row>
    <row r="278" spans="1:24" x14ac:dyDescent="0.3">
      <c r="A278" s="1" t="s">
        <v>600</v>
      </c>
      <c r="B278" s="1" t="s">
        <v>650</v>
      </c>
      <c r="C278" s="1">
        <v>4</v>
      </c>
      <c r="D278" s="1" t="s">
        <v>615</v>
      </c>
      <c r="E278">
        <v>2</v>
      </c>
      <c r="F278" s="5">
        <v>134.34</v>
      </c>
      <c r="G278" s="5">
        <v>46.65</v>
      </c>
      <c r="H278" s="5">
        <v>223.69</v>
      </c>
      <c r="I278" s="6">
        <v>716000</v>
      </c>
      <c r="J278" s="1">
        <v>2026</v>
      </c>
      <c r="K278" s="6">
        <f t="shared" si="43"/>
        <v>5329.7603096620514</v>
      </c>
      <c r="L278" s="6">
        <f t="shared" si="44"/>
        <v>3200.8583307255576</v>
      </c>
      <c r="M278" t="str">
        <f t="shared" si="42"/>
        <v>Ativo</v>
      </c>
      <c r="P278" s="8"/>
      <c r="Q278" t="s">
        <v>310</v>
      </c>
      <c r="W278" s="7">
        <f t="shared" si="45"/>
        <v>1</v>
      </c>
      <c r="X278" t="str">
        <f t="shared" si="46"/>
        <v>A · Premium ativo</v>
      </c>
    </row>
    <row r="279" spans="1:24" x14ac:dyDescent="0.3">
      <c r="A279" s="1" t="s">
        <v>600</v>
      </c>
      <c r="B279" s="1" t="s">
        <v>651</v>
      </c>
      <c r="C279" s="1">
        <v>4</v>
      </c>
      <c r="D279" s="1" t="s">
        <v>25</v>
      </c>
      <c r="E279">
        <v>2</v>
      </c>
      <c r="F279" s="5">
        <v>59.63</v>
      </c>
      <c r="G279" s="5">
        <v>16.850000000000001</v>
      </c>
      <c r="H279" s="5">
        <v>78.680000000000007</v>
      </c>
      <c r="I279" s="6">
        <v>357000</v>
      </c>
      <c r="J279" s="1">
        <v>2026</v>
      </c>
      <c r="K279" s="6">
        <f t="shared" si="43"/>
        <v>5986.9193359047458</v>
      </c>
      <c r="L279" s="6">
        <f t="shared" si="44"/>
        <v>4537.3665480427044</v>
      </c>
      <c r="M279" t="str">
        <f t="shared" si="42"/>
        <v>Ativo</v>
      </c>
      <c r="P279" s="8"/>
      <c r="Q279" t="s">
        <v>310</v>
      </c>
      <c r="W279" s="7">
        <f t="shared" si="45"/>
        <v>1</v>
      </c>
      <c r="X279" t="str">
        <f t="shared" si="46"/>
        <v>A · Premium ativo</v>
      </c>
    </row>
    <row r="280" spans="1:24" x14ac:dyDescent="0.3">
      <c r="A280" s="1" t="s">
        <v>600</v>
      </c>
      <c r="B280" s="1" t="s">
        <v>652</v>
      </c>
      <c r="C280" s="1">
        <v>4</v>
      </c>
      <c r="D280" s="1" t="s">
        <v>25</v>
      </c>
      <c r="E280">
        <v>2</v>
      </c>
      <c r="F280" s="5">
        <v>62.96</v>
      </c>
      <c r="G280" s="5">
        <v>16.079999999999998</v>
      </c>
      <c r="H280" s="5">
        <v>81.44</v>
      </c>
      <c r="I280" s="6">
        <v>368000</v>
      </c>
      <c r="J280" s="1">
        <v>2026</v>
      </c>
      <c r="K280" s="6">
        <f t="shared" si="43"/>
        <v>5844.9809402795427</v>
      </c>
      <c r="L280" s="6">
        <f t="shared" si="44"/>
        <v>4518.6640471512774</v>
      </c>
      <c r="M280" t="str">
        <f t="shared" si="42"/>
        <v>Ativo</v>
      </c>
      <c r="P280" s="8"/>
      <c r="Q280" t="s">
        <v>310</v>
      </c>
      <c r="W280" s="7">
        <f t="shared" si="45"/>
        <v>1</v>
      </c>
      <c r="X280" t="str">
        <f t="shared" si="46"/>
        <v>A · Premium ativo</v>
      </c>
    </row>
    <row r="281" spans="1:24" x14ac:dyDescent="0.3">
      <c r="A281" s="1" t="s">
        <v>600</v>
      </c>
      <c r="B281" s="1" t="s">
        <v>653</v>
      </c>
      <c r="C281" s="1">
        <v>5</v>
      </c>
      <c r="D281" s="1" t="s">
        <v>615</v>
      </c>
      <c r="E281">
        <v>2</v>
      </c>
      <c r="F281" s="5">
        <v>134.34</v>
      </c>
      <c r="G281" s="5">
        <v>128.22</v>
      </c>
      <c r="H281" s="5">
        <v>312.86</v>
      </c>
      <c r="I281" s="6">
        <v>918000</v>
      </c>
      <c r="J281" s="1">
        <v>2026</v>
      </c>
      <c r="K281" s="6">
        <f t="shared" si="43"/>
        <v>6833.4077713264851</v>
      </c>
      <c r="L281" s="6">
        <f t="shared" si="44"/>
        <v>2934.2197788148051</v>
      </c>
      <c r="M281" t="str">
        <f t="shared" si="42"/>
        <v>Ativo</v>
      </c>
      <c r="P281" s="8"/>
      <c r="Q281" t="s">
        <v>310</v>
      </c>
      <c r="W281" s="7">
        <f t="shared" si="45"/>
        <v>1</v>
      </c>
      <c r="X281" t="str">
        <f t="shared" si="46"/>
        <v>A · Premium ativo</v>
      </c>
    </row>
    <row r="282" spans="1:24" x14ac:dyDescent="0.3">
      <c r="A282" s="1" t="s">
        <v>600</v>
      </c>
      <c r="B282" s="1" t="s">
        <v>654</v>
      </c>
      <c r="C282" s="1">
        <v>5</v>
      </c>
      <c r="D282" s="1" t="s">
        <v>47</v>
      </c>
      <c r="E282">
        <v>2</v>
      </c>
      <c r="F282" s="5">
        <v>124.96</v>
      </c>
      <c r="G282" s="5">
        <v>108.1</v>
      </c>
      <c r="H282" s="5">
        <v>282.56</v>
      </c>
      <c r="I282" s="6">
        <v>812000</v>
      </c>
      <c r="J282" s="1">
        <v>2026</v>
      </c>
      <c r="K282" s="6">
        <f t="shared" si="43"/>
        <v>6498.0793854033291</v>
      </c>
      <c r="L282" s="6">
        <f t="shared" si="44"/>
        <v>2873.7259343148357</v>
      </c>
      <c r="M282" t="str">
        <f t="shared" si="42"/>
        <v>Ativo</v>
      </c>
      <c r="P282" s="8"/>
      <c r="Q282" t="s">
        <v>310</v>
      </c>
      <c r="W282" s="7">
        <f t="shared" si="45"/>
        <v>1</v>
      </c>
      <c r="X282" t="str">
        <f t="shared" si="46"/>
        <v>A · Premium ativo</v>
      </c>
    </row>
    <row r="283" spans="1:24" x14ac:dyDescent="0.3">
      <c r="A283" s="1" t="s">
        <v>600</v>
      </c>
      <c r="B283" s="1" t="s">
        <v>655</v>
      </c>
      <c r="C283" s="1">
        <v>0</v>
      </c>
      <c r="D283" s="1" t="s">
        <v>47</v>
      </c>
      <c r="E283">
        <v>2</v>
      </c>
      <c r="F283" s="5">
        <v>104.63</v>
      </c>
      <c r="G283" s="5">
        <v>38.89</v>
      </c>
      <c r="H283" s="5">
        <v>145.91999999999999</v>
      </c>
      <c r="I283" s="6">
        <v>509000</v>
      </c>
      <c r="J283" s="1">
        <v>2026</v>
      </c>
      <c r="K283" s="6">
        <f t="shared" si="43"/>
        <v>4864.761540667113</v>
      </c>
      <c r="L283" s="6">
        <f t="shared" si="44"/>
        <v>3488.2127192982457</v>
      </c>
      <c r="M283" t="str">
        <f t="shared" si="42"/>
        <v>Ativo</v>
      </c>
      <c r="P283" s="8"/>
      <c r="Q283" t="s">
        <v>310</v>
      </c>
      <c r="W283" s="7">
        <f t="shared" si="45"/>
        <v>1</v>
      </c>
      <c r="X283" t="str">
        <f t="shared" si="46"/>
        <v>A · Premium ativo</v>
      </c>
    </row>
    <row r="284" spans="1:24" x14ac:dyDescent="0.3">
      <c r="A284" s="1" t="s">
        <v>600</v>
      </c>
      <c r="B284" s="1" t="s">
        <v>656</v>
      </c>
      <c r="C284" s="1">
        <v>0</v>
      </c>
      <c r="D284" s="1" t="s">
        <v>25</v>
      </c>
      <c r="E284">
        <v>2</v>
      </c>
      <c r="F284" s="5">
        <v>67.06</v>
      </c>
      <c r="G284" s="5">
        <v>14.71</v>
      </c>
      <c r="H284" s="5">
        <v>84.77</v>
      </c>
      <c r="I284" s="6">
        <v>334000</v>
      </c>
      <c r="J284" s="1">
        <v>2026</v>
      </c>
      <c r="K284" s="6">
        <f t="shared" si="43"/>
        <v>4980.6143751864001</v>
      </c>
      <c r="L284" s="6">
        <f t="shared" si="44"/>
        <v>3940.0731390822225</v>
      </c>
      <c r="M284" t="str">
        <f t="shared" si="42"/>
        <v>Ativo</v>
      </c>
      <c r="P284" s="8"/>
      <c r="Q284" t="s">
        <v>310</v>
      </c>
      <c r="W284" s="7">
        <f t="shared" si="45"/>
        <v>1</v>
      </c>
      <c r="X284" t="str">
        <f t="shared" si="46"/>
        <v>A · Premium ativo</v>
      </c>
    </row>
    <row r="285" spans="1:24" x14ac:dyDescent="0.3">
      <c r="A285" s="1" t="s">
        <v>600</v>
      </c>
      <c r="B285" s="1" t="s">
        <v>657</v>
      </c>
      <c r="C285" s="1">
        <v>1</v>
      </c>
      <c r="D285" s="1" t="s">
        <v>47</v>
      </c>
      <c r="E285">
        <v>2</v>
      </c>
      <c r="F285" s="5">
        <v>106.12</v>
      </c>
      <c r="G285" s="5">
        <v>30.27</v>
      </c>
      <c r="H285" s="5">
        <v>139.19</v>
      </c>
      <c r="I285" s="6">
        <v>525000</v>
      </c>
      <c r="J285" s="1">
        <v>2026</v>
      </c>
      <c r="K285" s="6">
        <f t="shared" si="43"/>
        <v>4947.229551451187</v>
      </c>
      <c r="L285" s="6">
        <f t="shared" si="44"/>
        <v>3771.8226884115238</v>
      </c>
      <c r="M285" t="str">
        <f t="shared" si="42"/>
        <v>Ativo</v>
      </c>
      <c r="P285" s="8"/>
      <c r="Q285" t="s">
        <v>310</v>
      </c>
      <c r="W285" s="7">
        <f t="shared" si="45"/>
        <v>1</v>
      </c>
      <c r="X285" t="str">
        <f t="shared" si="46"/>
        <v>A · Premium ativo</v>
      </c>
    </row>
    <row r="286" spans="1:24" x14ac:dyDescent="0.3">
      <c r="A286" s="1" t="s">
        <v>600</v>
      </c>
      <c r="B286" s="1" t="s">
        <v>658</v>
      </c>
      <c r="C286" s="1">
        <v>1</v>
      </c>
      <c r="D286" s="1" t="s">
        <v>15</v>
      </c>
      <c r="E286">
        <v>2</v>
      </c>
      <c r="F286" s="5">
        <v>86.17</v>
      </c>
      <c r="G286" s="5">
        <v>23.07</v>
      </c>
      <c r="H286" s="5">
        <v>111.84</v>
      </c>
      <c r="I286" s="6">
        <v>456000</v>
      </c>
      <c r="J286" s="1">
        <v>2026</v>
      </c>
      <c r="K286" s="6">
        <f t="shared" si="43"/>
        <v>5291.8649181849833</v>
      </c>
      <c r="L286" s="6">
        <f t="shared" si="44"/>
        <v>4077.2532188841201</v>
      </c>
      <c r="M286" t="str">
        <f t="shared" si="42"/>
        <v>Ativo</v>
      </c>
      <c r="P286" s="8"/>
      <c r="Q286" t="s">
        <v>310</v>
      </c>
      <c r="W286" s="7">
        <f t="shared" si="45"/>
        <v>1</v>
      </c>
      <c r="X286" t="str">
        <f t="shared" si="46"/>
        <v>A · Premium ativo</v>
      </c>
    </row>
    <row r="287" spans="1:24" x14ac:dyDescent="0.3">
      <c r="A287" s="1" t="s">
        <v>600</v>
      </c>
      <c r="B287" s="1" t="s">
        <v>659</v>
      </c>
      <c r="C287" s="1">
        <v>2</v>
      </c>
      <c r="D287" s="1" t="s">
        <v>47</v>
      </c>
      <c r="E287">
        <v>2</v>
      </c>
      <c r="F287" s="5">
        <v>106.12</v>
      </c>
      <c r="G287" s="5">
        <v>29.98</v>
      </c>
      <c r="H287" s="5">
        <v>139.5</v>
      </c>
      <c r="I287" s="6">
        <v>541000</v>
      </c>
      <c r="J287" s="1">
        <v>2026</v>
      </c>
      <c r="K287" s="6">
        <f t="shared" si="43"/>
        <v>5098.0022615906519</v>
      </c>
      <c r="L287" s="6">
        <f t="shared" si="44"/>
        <v>3878.1362007168459</v>
      </c>
      <c r="M287" t="str">
        <f t="shared" si="42"/>
        <v>Ativo</v>
      </c>
      <c r="P287" s="8"/>
      <c r="Q287" t="s">
        <v>310</v>
      </c>
      <c r="W287" s="7">
        <f t="shared" si="45"/>
        <v>1</v>
      </c>
      <c r="X287" t="str">
        <f t="shared" si="46"/>
        <v>A · Premium ativo</v>
      </c>
    </row>
    <row r="288" spans="1:24" x14ac:dyDescent="0.3">
      <c r="A288" s="1" t="s">
        <v>600</v>
      </c>
      <c r="B288" s="1" t="s">
        <v>660</v>
      </c>
      <c r="C288" s="1">
        <v>2</v>
      </c>
      <c r="D288" s="1" t="s">
        <v>15</v>
      </c>
      <c r="E288">
        <v>2</v>
      </c>
      <c r="F288" s="5">
        <v>86.17</v>
      </c>
      <c r="G288" s="5">
        <v>23.04</v>
      </c>
      <c r="H288" s="5">
        <v>112.21</v>
      </c>
      <c r="I288" s="6">
        <v>467000</v>
      </c>
      <c r="J288" s="1">
        <v>2026</v>
      </c>
      <c r="K288" s="6">
        <f t="shared" si="43"/>
        <v>5419.5195543692698</v>
      </c>
      <c r="L288" s="6">
        <f t="shared" si="44"/>
        <v>4161.8394082523846</v>
      </c>
      <c r="M288" t="str">
        <f t="shared" si="42"/>
        <v>Ativo</v>
      </c>
      <c r="P288" s="8"/>
      <c r="Q288" t="s">
        <v>310</v>
      </c>
      <c r="W288" s="7">
        <f t="shared" si="45"/>
        <v>1</v>
      </c>
      <c r="X288" t="str">
        <f t="shared" si="46"/>
        <v>A · Premium ativo</v>
      </c>
    </row>
    <row r="289" spans="1:24" x14ac:dyDescent="0.3">
      <c r="A289" s="1" t="s">
        <v>600</v>
      </c>
      <c r="B289" s="1" t="s">
        <v>661</v>
      </c>
      <c r="C289" s="1">
        <v>3</v>
      </c>
      <c r="D289" s="1" t="s">
        <v>47</v>
      </c>
      <c r="E289">
        <v>2</v>
      </c>
      <c r="F289" s="5">
        <v>106.12</v>
      </c>
      <c r="G289" s="5">
        <v>30.27</v>
      </c>
      <c r="H289" s="5">
        <v>139.79</v>
      </c>
      <c r="I289" s="6">
        <v>557000</v>
      </c>
      <c r="J289" s="1">
        <v>2026</v>
      </c>
      <c r="K289" s="6">
        <f t="shared" si="43"/>
        <v>5248.7749717301167</v>
      </c>
      <c r="L289" s="6">
        <f t="shared" si="44"/>
        <v>3984.5482509478506</v>
      </c>
      <c r="M289" t="str">
        <f t="shared" si="42"/>
        <v>Ativo</v>
      </c>
      <c r="P289" s="8"/>
      <c r="Q289" t="s">
        <v>310</v>
      </c>
      <c r="W289" s="7">
        <f t="shared" si="45"/>
        <v>1</v>
      </c>
      <c r="X289" t="str">
        <f t="shared" si="46"/>
        <v>A · Premium ativo</v>
      </c>
    </row>
    <row r="290" spans="1:24" x14ac:dyDescent="0.3">
      <c r="A290" s="1" t="s">
        <v>600</v>
      </c>
      <c r="B290" s="1" t="s">
        <v>662</v>
      </c>
      <c r="C290" s="1">
        <v>3</v>
      </c>
      <c r="D290" s="1" t="s">
        <v>15</v>
      </c>
      <c r="E290">
        <v>2</v>
      </c>
      <c r="F290" s="5">
        <v>86.17</v>
      </c>
      <c r="G290" s="5">
        <v>23.07</v>
      </c>
      <c r="H290" s="5">
        <v>112.14</v>
      </c>
      <c r="I290" s="6">
        <v>478000</v>
      </c>
      <c r="J290" s="1">
        <v>2026</v>
      </c>
      <c r="K290" s="6">
        <f t="shared" si="43"/>
        <v>5547.1741905535564</v>
      </c>
      <c r="L290" s="6">
        <f t="shared" si="44"/>
        <v>4262.5289816301056</v>
      </c>
      <c r="M290" t="str">
        <f t="shared" ref="M290:M306" si="47">IF(A290="The View","Projeto",IF(J290&gt;=2026,"Ativo",IF(J290=2025,"Rever","Histórico")))</f>
        <v>Ativo</v>
      </c>
      <c r="P290" s="8"/>
      <c r="Q290" t="s">
        <v>310</v>
      </c>
      <c r="W290" s="7">
        <f t="shared" si="45"/>
        <v>1</v>
      </c>
      <c r="X290" t="str">
        <f t="shared" si="46"/>
        <v>A · Premium ativo</v>
      </c>
    </row>
    <row r="291" spans="1:24" x14ac:dyDescent="0.3">
      <c r="A291" s="1" t="s">
        <v>600</v>
      </c>
      <c r="B291" s="1" t="s">
        <v>663</v>
      </c>
      <c r="C291" s="1">
        <v>4</v>
      </c>
      <c r="D291" s="1" t="s">
        <v>47</v>
      </c>
      <c r="E291">
        <v>2</v>
      </c>
      <c r="F291" s="5">
        <v>106.12</v>
      </c>
      <c r="G291" s="5">
        <v>29.99</v>
      </c>
      <c r="H291" s="5">
        <v>140.11000000000001</v>
      </c>
      <c r="I291" s="6">
        <v>573000</v>
      </c>
      <c r="J291" s="1">
        <v>2026</v>
      </c>
      <c r="K291" s="6">
        <f t="shared" si="43"/>
        <v>5399.5476818695815</v>
      </c>
      <c r="L291" s="6">
        <f t="shared" si="44"/>
        <v>4089.6438512597242</v>
      </c>
      <c r="M291" t="str">
        <f t="shared" si="47"/>
        <v>Ativo</v>
      </c>
      <c r="P291" s="8"/>
      <c r="Q291" t="s">
        <v>310</v>
      </c>
      <c r="W291" s="7">
        <f t="shared" si="45"/>
        <v>1</v>
      </c>
      <c r="X291" t="str">
        <f t="shared" si="46"/>
        <v>A · Premium ativo</v>
      </c>
    </row>
    <row r="292" spans="1:24" x14ac:dyDescent="0.3">
      <c r="A292" s="1" t="s">
        <v>600</v>
      </c>
      <c r="B292" s="1" t="s">
        <v>664</v>
      </c>
      <c r="C292" s="1">
        <v>4</v>
      </c>
      <c r="D292" s="1" t="s">
        <v>15</v>
      </c>
      <c r="E292">
        <v>2</v>
      </c>
      <c r="F292" s="5">
        <v>86.17</v>
      </c>
      <c r="G292" s="5">
        <v>23.04</v>
      </c>
      <c r="H292" s="5">
        <v>111.71</v>
      </c>
      <c r="I292" s="6">
        <v>488000</v>
      </c>
      <c r="J292" s="1">
        <v>2026</v>
      </c>
      <c r="K292" s="6">
        <f t="shared" si="43"/>
        <v>5663.2238598119993</v>
      </c>
      <c r="L292" s="6">
        <f t="shared" si="44"/>
        <v>4368.4540327634058</v>
      </c>
      <c r="M292" t="str">
        <f t="shared" si="47"/>
        <v>Ativo</v>
      </c>
      <c r="P292" s="8"/>
      <c r="Q292" t="s">
        <v>310</v>
      </c>
      <c r="W292" s="7">
        <f t="shared" si="45"/>
        <v>1</v>
      </c>
      <c r="X292" t="str">
        <f t="shared" si="46"/>
        <v>A · Premium ativo</v>
      </c>
    </row>
    <row r="293" spans="1:24" x14ac:dyDescent="0.3">
      <c r="A293" s="1" t="s">
        <v>600</v>
      </c>
      <c r="B293" s="1" t="s">
        <v>665</v>
      </c>
      <c r="C293" s="1">
        <v>5</v>
      </c>
      <c r="D293" s="1" t="s">
        <v>47</v>
      </c>
      <c r="E293">
        <v>2</v>
      </c>
      <c r="F293" s="5">
        <v>106.12</v>
      </c>
      <c r="G293" s="5">
        <v>82.28</v>
      </c>
      <c r="H293" s="5">
        <v>231.3</v>
      </c>
      <c r="I293" s="6">
        <v>737000</v>
      </c>
      <c r="J293" s="1">
        <v>2026</v>
      </c>
      <c r="K293" s="6">
        <f t="shared" si="43"/>
        <v>6944.9679607990947</v>
      </c>
      <c r="L293" s="6">
        <f t="shared" si="44"/>
        <v>3186.3380890618241</v>
      </c>
      <c r="M293" t="str">
        <f t="shared" si="47"/>
        <v>Ativo</v>
      </c>
      <c r="P293" s="8"/>
      <c r="Q293" t="s">
        <v>310</v>
      </c>
      <c r="W293" s="7">
        <f t="shared" si="45"/>
        <v>1</v>
      </c>
      <c r="X293" t="str">
        <f t="shared" si="46"/>
        <v>A · Premium ativo</v>
      </c>
    </row>
    <row r="294" spans="1:24" x14ac:dyDescent="0.3">
      <c r="A294" s="1" t="s">
        <v>600</v>
      </c>
      <c r="B294" s="1" t="s">
        <v>666</v>
      </c>
      <c r="C294" s="1">
        <v>5</v>
      </c>
      <c r="D294" s="1" t="s">
        <v>15</v>
      </c>
      <c r="E294">
        <v>2</v>
      </c>
      <c r="F294" s="5">
        <v>86.17</v>
      </c>
      <c r="G294" s="5">
        <v>76.77000000000001</v>
      </c>
      <c r="H294" s="5">
        <v>165.84</v>
      </c>
      <c r="I294" s="6">
        <v>652000</v>
      </c>
      <c r="J294" s="1">
        <v>2026</v>
      </c>
      <c r="K294" s="6">
        <f t="shared" ref="K294:K306" si="48">IFERROR(I294/F294,"")</f>
        <v>7566.4384356504579</v>
      </c>
      <c r="L294" s="6">
        <f t="shared" ref="L294:L306" si="49">IFERROR(I294/H294,"")</f>
        <v>3931.5002411963337</v>
      </c>
      <c r="M294" t="str">
        <f t="shared" si="47"/>
        <v>Ativo</v>
      </c>
      <c r="P294" s="8"/>
      <c r="Q294" t="s">
        <v>310</v>
      </c>
      <c r="W294" s="7">
        <f t="shared" si="45"/>
        <v>1</v>
      </c>
      <c r="X294" t="str">
        <f t="shared" si="46"/>
        <v>A · Premium ativo</v>
      </c>
    </row>
    <row r="295" spans="1:24" x14ac:dyDescent="0.3">
      <c r="A295" s="1" t="s">
        <v>600</v>
      </c>
      <c r="B295" s="1" t="s">
        <v>667</v>
      </c>
      <c r="C295" s="1">
        <v>0</v>
      </c>
      <c r="D295" s="1" t="s">
        <v>25</v>
      </c>
      <c r="E295">
        <v>2</v>
      </c>
      <c r="F295" s="5">
        <v>67.05</v>
      </c>
      <c r="G295" s="5">
        <v>14.71</v>
      </c>
      <c r="H295" s="5">
        <v>84.16</v>
      </c>
      <c r="I295" s="6">
        <v>334000</v>
      </c>
      <c r="J295" s="1">
        <v>2026</v>
      </c>
      <c r="K295" s="6">
        <f t="shared" si="48"/>
        <v>4981.357196122297</v>
      </c>
      <c r="L295" s="6">
        <f t="shared" si="49"/>
        <v>3968.6311787072245</v>
      </c>
      <c r="M295" t="str">
        <f t="shared" si="47"/>
        <v>Ativo</v>
      </c>
      <c r="P295" s="8"/>
      <c r="Q295" t="s">
        <v>310</v>
      </c>
      <c r="W295" s="7">
        <f t="shared" si="45"/>
        <v>1</v>
      </c>
      <c r="X295" t="str">
        <f t="shared" si="46"/>
        <v>A · Premium ativo</v>
      </c>
    </row>
    <row r="296" spans="1:24" x14ac:dyDescent="0.3">
      <c r="A296" s="1" t="s">
        <v>600</v>
      </c>
      <c r="B296" s="1" t="s">
        <v>668</v>
      </c>
      <c r="C296" s="1">
        <v>0</v>
      </c>
      <c r="D296" s="1" t="s">
        <v>615</v>
      </c>
      <c r="E296">
        <v>2</v>
      </c>
      <c r="F296" s="5">
        <v>132.1</v>
      </c>
      <c r="G296" s="5">
        <v>39.53</v>
      </c>
      <c r="H296" s="5">
        <v>175.63</v>
      </c>
      <c r="I296" s="6">
        <v>581000</v>
      </c>
      <c r="J296" s="1">
        <v>2026</v>
      </c>
      <c r="K296" s="6">
        <f t="shared" si="48"/>
        <v>4398.1831945495842</v>
      </c>
      <c r="L296" s="6">
        <f t="shared" si="49"/>
        <v>3308.0908728577124</v>
      </c>
      <c r="M296" t="str">
        <f t="shared" si="47"/>
        <v>Ativo</v>
      </c>
      <c r="P296" s="8"/>
      <c r="Q296" t="s">
        <v>310</v>
      </c>
      <c r="W296" s="7">
        <f t="shared" si="45"/>
        <v>1</v>
      </c>
      <c r="X296" t="str">
        <f t="shared" si="46"/>
        <v>A · Premium ativo</v>
      </c>
    </row>
    <row r="297" spans="1:24" x14ac:dyDescent="0.3">
      <c r="A297" s="1" t="s">
        <v>600</v>
      </c>
      <c r="B297" s="1" t="s">
        <v>669</v>
      </c>
      <c r="C297" s="1">
        <v>1</v>
      </c>
      <c r="D297" s="1" t="s">
        <v>15</v>
      </c>
      <c r="E297">
        <v>2</v>
      </c>
      <c r="F297" s="5">
        <v>86.17</v>
      </c>
      <c r="G297" s="5">
        <v>23.54</v>
      </c>
      <c r="H297" s="5">
        <v>112.21</v>
      </c>
      <c r="I297" s="6">
        <v>454000</v>
      </c>
      <c r="J297" s="1">
        <v>2026</v>
      </c>
      <c r="K297" s="6">
        <f t="shared" si="48"/>
        <v>5268.6549843332941</v>
      </c>
      <c r="L297" s="6">
        <f t="shared" si="49"/>
        <v>4045.9852063095982</v>
      </c>
      <c r="M297" t="str">
        <f t="shared" si="47"/>
        <v>Ativo</v>
      </c>
      <c r="P297" s="8"/>
      <c r="Q297" t="s">
        <v>310</v>
      </c>
      <c r="W297" s="7">
        <f t="shared" si="45"/>
        <v>1</v>
      </c>
      <c r="X297" t="str">
        <f t="shared" si="46"/>
        <v>A · Premium ativo</v>
      </c>
    </row>
    <row r="298" spans="1:24" x14ac:dyDescent="0.3">
      <c r="A298" s="1" t="s">
        <v>600</v>
      </c>
      <c r="B298" s="1" t="s">
        <v>670</v>
      </c>
      <c r="C298" s="1">
        <v>1</v>
      </c>
      <c r="D298" s="1" t="s">
        <v>615</v>
      </c>
      <c r="E298">
        <v>2</v>
      </c>
      <c r="F298" s="5">
        <v>132.1</v>
      </c>
      <c r="G298" s="5">
        <v>39.229999999999997</v>
      </c>
      <c r="H298" s="5">
        <v>174.33</v>
      </c>
      <c r="I298" s="6">
        <v>610000</v>
      </c>
      <c r="J298" s="1">
        <v>2026</v>
      </c>
      <c r="K298" s="6">
        <f t="shared" si="48"/>
        <v>4617.7138531415594</v>
      </c>
      <c r="L298" s="6">
        <f t="shared" si="49"/>
        <v>3499.1108816612168</v>
      </c>
      <c r="M298" t="str">
        <f t="shared" si="47"/>
        <v>Ativo</v>
      </c>
      <c r="P298" s="8"/>
      <c r="Q298" t="s">
        <v>310</v>
      </c>
      <c r="W298" s="7">
        <f t="shared" si="45"/>
        <v>1</v>
      </c>
      <c r="X298" t="str">
        <f t="shared" si="46"/>
        <v>A · Premium ativo</v>
      </c>
    </row>
    <row r="299" spans="1:24" x14ac:dyDescent="0.3">
      <c r="A299" s="1" t="s">
        <v>600</v>
      </c>
      <c r="B299" s="1" t="s">
        <v>671</v>
      </c>
      <c r="C299" s="1">
        <v>2</v>
      </c>
      <c r="D299" s="1" t="s">
        <v>15</v>
      </c>
      <c r="E299">
        <v>2</v>
      </c>
      <c r="F299" s="5">
        <v>86.17</v>
      </c>
      <c r="G299" s="5">
        <v>23.17</v>
      </c>
      <c r="H299" s="5">
        <v>111.24</v>
      </c>
      <c r="I299" s="6">
        <v>465000</v>
      </c>
      <c r="J299" s="1">
        <v>2026</v>
      </c>
      <c r="K299" s="6">
        <f t="shared" si="48"/>
        <v>5396.3096205175816</v>
      </c>
      <c r="L299" s="6">
        <f t="shared" si="49"/>
        <v>4180.151024811219</v>
      </c>
      <c r="M299" t="str">
        <f t="shared" si="47"/>
        <v>Ativo</v>
      </c>
      <c r="P299" s="8"/>
      <c r="Q299" t="s">
        <v>310</v>
      </c>
      <c r="W299" s="7">
        <f t="shared" si="45"/>
        <v>1</v>
      </c>
      <c r="X299" t="str">
        <f t="shared" si="46"/>
        <v>A · Premium ativo</v>
      </c>
    </row>
    <row r="300" spans="1:24" x14ac:dyDescent="0.3">
      <c r="A300" s="1" t="s">
        <v>600</v>
      </c>
      <c r="B300" s="1" t="s">
        <v>672</v>
      </c>
      <c r="C300" s="1">
        <v>2</v>
      </c>
      <c r="D300" s="1" t="s">
        <v>615</v>
      </c>
      <c r="E300">
        <v>2</v>
      </c>
      <c r="F300" s="5">
        <v>132.1</v>
      </c>
      <c r="G300" s="5">
        <v>39.75</v>
      </c>
      <c r="H300" s="5">
        <v>170.55</v>
      </c>
      <c r="I300" s="6">
        <v>626000</v>
      </c>
      <c r="J300" s="1">
        <v>2026</v>
      </c>
      <c r="K300" s="6">
        <f t="shared" si="48"/>
        <v>4738.8342165026497</v>
      </c>
      <c r="L300" s="6">
        <f t="shared" si="49"/>
        <v>3670.4778657285251</v>
      </c>
      <c r="M300" t="str">
        <f t="shared" si="47"/>
        <v>Ativo</v>
      </c>
      <c r="P300" s="8"/>
      <c r="Q300" t="s">
        <v>310</v>
      </c>
      <c r="W300" s="7">
        <f t="shared" si="45"/>
        <v>1</v>
      </c>
      <c r="X300" t="str">
        <f t="shared" si="46"/>
        <v>A · Premium ativo</v>
      </c>
    </row>
    <row r="301" spans="1:24" x14ac:dyDescent="0.3">
      <c r="A301" s="1" t="s">
        <v>600</v>
      </c>
      <c r="B301" s="1" t="s">
        <v>673</v>
      </c>
      <c r="C301" s="1">
        <v>3</v>
      </c>
      <c r="D301" s="1" t="s">
        <v>15</v>
      </c>
      <c r="E301">
        <v>2</v>
      </c>
      <c r="F301" s="5">
        <v>86.17</v>
      </c>
      <c r="G301" s="5">
        <v>23.54</v>
      </c>
      <c r="H301" s="5">
        <v>113.01</v>
      </c>
      <c r="I301" s="6">
        <v>475000</v>
      </c>
      <c r="J301" s="1">
        <v>2026</v>
      </c>
      <c r="K301" s="6">
        <f t="shared" si="48"/>
        <v>5512.3592897760236</v>
      </c>
      <c r="L301" s="6">
        <f t="shared" si="49"/>
        <v>4203.1678612512169</v>
      </c>
      <c r="M301" t="str">
        <f t="shared" si="47"/>
        <v>Ativo</v>
      </c>
      <c r="P301" s="8"/>
      <c r="Q301" t="s">
        <v>310</v>
      </c>
      <c r="W301" s="7">
        <f t="shared" si="45"/>
        <v>1</v>
      </c>
      <c r="X301" t="str">
        <f t="shared" si="46"/>
        <v>A · Premium ativo</v>
      </c>
    </row>
    <row r="302" spans="1:24" x14ac:dyDescent="0.3">
      <c r="A302" s="1" t="s">
        <v>600</v>
      </c>
      <c r="B302" s="1" t="s">
        <v>674</v>
      </c>
      <c r="C302" s="1">
        <v>3</v>
      </c>
      <c r="D302" s="1" t="s">
        <v>615</v>
      </c>
      <c r="E302">
        <v>2</v>
      </c>
      <c r="F302" s="5">
        <v>132.1</v>
      </c>
      <c r="G302" s="5">
        <v>39.229999999999997</v>
      </c>
      <c r="H302" s="5">
        <v>176.43</v>
      </c>
      <c r="I302" s="6">
        <v>642000</v>
      </c>
      <c r="J302" s="1">
        <v>2026</v>
      </c>
      <c r="K302" s="6">
        <f t="shared" si="48"/>
        <v>4859.95457986374</v>
      </c>
      <c r="L302" s="6">
        <f t="shared" si="49"/>
        <v>3638.8369324944738</v>
      </c>
      <c r="M302" t="str">
        <f t="shared" si="47"/>
        <v>Ativo</v>
      </c>
      <c r="P302" s="8"/>
      <c r="Q302" t="s">
        <v>310</v>
      </c>
      <c r="W302" s="7">
        <f t="shared" ref="W302:W306" si="50">IF(A302="The View",1,MAX(0.25,MIN(1,IF(J302&gt;=2026,1,IF(J302=2025,0.8,IF(J302=2024,0.45,0.3)))*IF(Q302="Premium waterfront/marina",1,IF(Q302="Benchmark local",0.7,0.6))*IF(M302="Vendido",0.65,IF(M302="Reservado",0.8,IF(M302="Histórico",0.55,1))))))</f>
        <v>1</v>
      </c>
      <c r="X302" t="str">
        <f t="shared" ref="X302:X306" si="51">IF(A302="The View","Projeto",IF(W302&gt;=0.85,"A · Premium ativo",IF(W302&gt;=0.55,"B · Benchmark local","C · Histórico/secundário")))</f>
        <v>A · Premium ativo</v>
      </c>
    </row>
    <row r="303" spans="1:24" x14ac:dyDescent="0.3">
      <c r="A303" s="1" t="s">
        <v>600</v>
      </c>
      <c r="B303" s="1" t="s">
        <v>675</v>
      </c>
      <c r="C303" s="1">
        <v>4</v>
      </c>
      <c r="D303" s="1" t="s">
        <v>15</v>
      </c>
      <c r="E303">
        <v>2</v>
      </c>
      <c r="F303" s="5">
        <v>86.17</v>
      </c>
      <c r="G303" s="5">
        <v>23.17</v>
      </c>
      <c r="H303" s="5">
        <v>113.24</v>
      </c>
      <c r="I303" s="6">
        <v>486000</v>
      </c>
      <c r="J303" s="1">
        <v>2026</v>
      </c>
      <c r="K303" s="6">
        <f t="shared" si="48"/>
        <v>5640.0139259603111</v>
      </c>
      <c r="L303" s="6">
        <f t="shared" si="49"/>
        <v>4291.7696926880963</v>
      </c>
      <c r="M303" t="str">
        <f t="shared" si="47"/>
        <v>Ativo</v>
      </c>
      <c r="P303" s="8"/>
      <c r="Q303" t="s">
        <v>310</v>
      </c>
      <c r="W303" s="7">
        <f t="shared" si="50"/>
        <v>1</v>
      </c>
      <c r="X303" t="str">
        <f t="shared" si="51"/>
        <v>A · Premium ativo</v>
      </c>
    </row>
    <row r="304" spans="1:24" x14ac:dyDescent="0.3">
      <c r="A304" s="1" t="s">
        <v>600</v>
      </c>
      <c r="B304" s="1" t="s">
        <v>676</v>
      </c>
      <c r="C304" s="1">
        <v>4</v>
      </c>
      <c r="D304" s="1" t="s">
        <v>615</v>
      </c>
      <c r="E304">
        <v>2</v>
      </c>
      <c r="F304" s="5">
        <v>132.1</v>
      </c>
      <c r="G304" s="5">
        <v>39.75</v>
      </c>
      <c r="H304" s="5">
        <v>214.76</v>
      </c>
      <c r="I304" s="6">
        <v>674000</v>
      </c>
      <c r="J304" s="1">
        <v>2026</v>
      </c>
      <c r="K304" s="6">
        <f t="shared" si="48"/>
        <v>5102.1953065859198</v>
      </c>
      <c r="L304" s="6">
        <f t="shared" si="49"/>
        <v>3138.3870366921215</v>
      </c>
      <c r="M304" t="str">
        <f t="shared" si="47"/>
        <v>Ativo</v>
      </c>
      <c r="P304" s="8"/>
      <c r="Q304" t="s">
        <v>310</v>
      </c>
      <c r="W304" s="7">
        <f t="shared" si="50"/>
        <v>1</v>
      </c>
      <c r="X304" t="str">
        <f t="shared" si="51"/>
        <v>A · Premium ativo</v>
      </c>
    </row>
    <row r="305" spans="1:24" x14ac:dyDescent="0.3">
      <c r="A305" s="1" t="s">
        <v>600</v>
      </c>
      <c r="B305" s="1" t="s">
        <v>677</v>
      </c>
      <c r="C305" s="1">
        <v>5</v>
      </c>
      <c r="D305" s="1" t="s">
        <v>15</v>
      </c>
      <c r="E305">
        <v>2</v>
      </c>
      <c r="F305" s="5">
        <v>86.17</v>
      </c>
      <c r="G305" s="5">
        <v>73.87</v>
      </c>
      <c r="H305" s="5">
        <v>163.94</v>
      </c>
      <c r="I305" s="6">
        <v>652000</v>
      </c>
      <c r="J305" s="1">
        <v>2026</v>
      </c>
      <c r="K305" s="6">
        <f t="shared" si="48"/>
        <v>7566.4384356504579</v>
      </c>
      <c r="L305" s="6">
        <f t="shared" si="49"/>
        <v>3977.0647797974871</v>
      </c>
      <c r="M305" t="str">
        <f t="shared" si="47"/>
        <v>Ativo</v>
      </c>
      <c r="P305" s="8"/>
      <c r="Q305" t="s">
        <v>310</v>
      </c>
      <c r="W305" s="7">
        <f t="shared" si="50"/>
        <v>1</v>
      </c>
      <c r="X305" t="str">
        <f t="shared" si="51"/>
        <v>A · Premium ativo</v>
      </c>
    </row>
    <row r="306" spans="1:24" x14ac:dyDescent="0.3">
      <c r="A306" s="1" t="s">
        <v>600</v>
      </c>
      <c r="B306" s="1" t="s">
        <v>678</v>
      </c>
      <c r="C306" s="1">
        <v>5</v>
      </c>
      <c r="D306" s="1" t="s">
        <v>615</v>
      </c>
      <c r="E306">
        <v>2</v>
      </c>
      <c r="F306" s="5">
        <v>132.1</v>
      </c>
      <c r="G306" s="5">
        <v>39.229999999999997</v>
      </c>
      <c r="H306" s="5">
        <v>171.32999999999998</v>
      </c>
      <c r="I306" s="6">
        <v>844000</v>
      </c>
      <c r="J306" s="1">
        <v>2026</v>
      </c>
      <c r="K306" s="6">
        <f t="shared" si="48"/>
        <v>6389.0991672975024</v>
      </c>
      <c r="L306" s="6">
        <f t="shared" si="49"/>
        <v>4926.1658787135939</v>
      </c>
      <c r="M306" t="str">
        <f t="shared" si="47"/>
        <v>Ativo</v>
      </c>
      <c r="P306" s="8"/>
      <c r="Q306" t="s">
        <v>310</v>
      </c>
      <c r="W306" s="7">
        <f t="shared" si="50"/>
        <v>1</v>
      </c>
      <c r="X306" t="str">
        <f t="shared" si="51"/>
        <v>A · Premium ativo</v>
      </c>
    </row>
    <row r="307" spans="1:24" x14ac:dyDescent="0.3">
      <c r="A307" s="1"/>
      <c r="B307" s="1"/>
      <c r="C307" s="1"/>
      <c r="D307" s="1"/>
      <c r="F307" s="5"/>
      <c r="G307" s="5"/>
      <c r="H307" s="5"/>
      <c r="I307" s="6"/>
      <c r="J307" s="1"/>
      <c r="K307" s="6"/>
      <c r="L307" s="6"/>
      <c r="P307" s="8"/>
      <c r="W307" s="7"/>
    </row>
    <row r="308" spans="1:24" x14ac:dyDescent="0.3">
      <c r="A308" s="1"/>
      <c r="B308" s="1"/>
      <c r="C308" s="1"/>
      <c r="D308" s="1"/>
      <c r="F308" s="5"/>
      <c r="G308" s="5"/>
      <c r="H308" s="5"/>
      <c r="I308" s="6"/>
      <c r="J308" s="1"/>
      <c r="K308" s="6"/>
      <c r="L308" s="6"/>
      <c r="P308" s="8"/>
      <c r="W308" s="7"/>
    </row>
    <row r="309" spans="1:24" x14ac:dyDescent="0.3">
      <c r="A309" s="1"/>
      <c r="B309" s="1"/>
      <c r="C309" s="1"/>
      <c r="D309" s="1"/>
      <c r="F309" s="5"/>
      <c r="G309" s="5"/>
      <c r="H309" s="5"/>
      <c r="I309" s="6"/>
      <c r="J309" s="1"/>
      <c r="K309" s="6"/>
      <c r="L309" s="6"/>
      <c r="P309" s="8"/>
      <c r="W309" s="7"/>
    </row>
    <row r="310" spans="1:24" x14ac:dyDescent="0.3">
      <c r="A310" s="1"/>
      <c r="B310" s="1"/>
      <c r="C310" s="1"/>
      <c r="D310" s="1"/>
      <c r="F310" s="5"/>
      <c r="G310" s="5"/>
      <c r="H310" s="5"/>
      <c r="I310" s="6"/>
      <c r="J310" s="1"/>
      <c r="K310" s="6"/>
      <c r="L310" s="6"/>
      <c r="P310" s="8"/>
      <c r="W310" s="7"/>
    </row>
    <row r="311" spans="1:24" x14ac:dyDescent="0.3">
      <c r="A311" s="1"/>
      <c r="B311" s="1"/>
      <c r="C311" s="1"/>
      <c r="D311" s="1"/>
      <c r="F311" s="5"/>
      <c r="G311" s="5"/>
      <c r="H311" s="5"/>
      <c r="I311" s="6"/>
      <c r="J311" s="1"/>
      <c r="K311" s="6"/>
      <c r="L311" s="6"/>
      <c r="P311" s="8"/>
      <c r="W311" s="7"/>
    </row>
    <row r="312" spans="1:24" x14ac:dyDescent="0.3">
      <c r="A312" s="1"/>
      <c r="B312" s="1"/>
      <c r="C312" s="1"/>
      <c r="D312" s="1"/>
      <c r="F312" s="5"/>
      <c r="G312" s="5"/>
      <c r="H312" s="5"/>
      <c r="I312" s="6"/>
      <c r="J312" s="1"/>
      <c r="K312" s="6"/>
      <c r="L312" s="6"/>
      <c r="P312" s="8"/>
      <c r="W312" s="7"/>
    </row>
    <row r="313" spans="1:24" x14ac:dyDescent="0.3">
      <c r="A313" s="1"/>
      <c r="B313" s="1"/>
      <c r="C313" s="1"/>
      <c r="D313" s="1"/>
      <c r="F313" s="5"/>
      <c r="G313" s="5"/>
      <c r="H313" s="5"/>
      <c r="I313" s="6"/>
      <c r="J313" s="1"/>
      <c r="K313" s="6"/>
      <c r="L313" s="6"/>
      <c r="P313" s="8"/>
      <c r="W313" s="7"/>
    </row>
    <row r="314" spans="1:24" x14ac:dyDescent="0.3">
      <c r="A314" s="1"/>
      <c r="B314" s="1"/>
      <c r="C314" s="1"/>
      <c r="D314" s="1"/>
      <c r="F314" s="5"/>
      <c r="G314" s="5"/>
      <c r="H314" s="5"/>
      <c r="I314" s="6"/>
      <c r="J314" s="1"/>
      <c r="K314" s="6"/>
      <c r="L314" s="6"/>
      <c r="P314" s="8"/>
      <c r="W314" s="7"/>
    </row>
    <row r="315" spans="1:24" x14ac:dyDescent="0.3">
      <c r="A315" s="1"/>
      <c r="B315" s="1"/>
      <c r="C315" s="1"/>
      <c r="D315" s="1"/>
      <c r="F315" s="5"/>
      <c r="G315" s="5"/>
      <c r="H315" s="5"/>
      <c r="I315" s="6"/>
      <c r="J315" s="1"/>
      <c r="K315" s="6"/>
      <c r="L315" s="6"/>
      <c r="P315" s="8"/>
      <c r="W315" s="7"/>
    </row>
    <row r="316" spans="1:24" x14ac:dyDescent="0.3">
      <c r="A316" s="1"/>
      <c r="B316" s="1"/>
      <c r="C316" s="1"/>
      <c r="D316" s="1"/>
      <c r="F316" s="5"/>
      <c r="G316" s="5"/>
      <c r="H316" s="5"/>
      <c r="I316" s="6"/>
      <c r="J316" s="1"/>
      <c r="K316" s="6"/>
      <c r="L316" s="6"/>
      <c r="P316" s="8"/>
      <c r="W316" s="7"/>
    </row>
    <row r="317" spans="1:24" x14ac:dyDescent="0.3">
      <c r="A317" s="1"/>
      <c r="B317" s="1"/>
      <c r="C317" s="1"/>
      <c r="D317" s="1"/>
      <c r="F317" s="5"/>
      <c r="G317" s="5"/>
      <c r="H317" s="5"/>
      <c r="I317" s="6"/>
      <c r="J317" s="1"/>
      <c r="K317" s="6"/>
      <c r="L317" s="6"/>
      <c r="P317" s="8"/>
      <c r="W317" s="7"/>
    </row>
    <row r="318" spans="1:24" x14ac:dyDescent="0.3">
      <c r="A318" s="1"/>
      <c r="B318" s="1"/>
      <c r="C318" s="1"/>
      <c r="D318" s="1"/>
      <c r="F318" s="5"/>
      <c r="G318" s="5"/>
      <c r="H318" s="5"/>
      <c r="I318" s="6"/>
      <c r="J318" s="1"/>
      <c r="K318" s="6"/>
      <c r="L318" s="6"/>
      <c r="P318" s="8"/>
      <c r="W318" s="7"/>
    </row>
    <row r="319" spans="1:24" x14ac:dyDescent="0.3">
      <c r="A319" s="1"/>
      <c r="B319" s="1"/>
      <c r="C319" s="1"/>
      <c r="D319" s="1"/>
      <c r="F319" s="5"/>
      <c r="G319" s="5"/>
      <c r="H319" s="5"/>
      <c r="I319" s="6"/>
      <c r="J319" s="1"/>
      <c r="K319" s="6"/>
      <c r="L319" s="6"/>
      <c r="P319" s="8"/>
      <c r="W319" s="7"/>
    </row>
    <row r="320" spans="1:24" x14ac:dyDescent="0.3">
      <c r="A320" s="1"/>
      <c r="B320" s="1"/>
      <c r="C320" s="1"/>
      <c r="D320" s="1"/>
      <c r="F320" s="5"/>
      <c r="G320" s="5"/>
      <c r="H320" s="5"/>
      <c r="I320" s="6"/>
      <c r="J320" s="1"/>
      <c r="K320" s="6"/>
      <c r="L320" s="6"/>
      <c r="P320" s="8"/>
      <c r="W320" s="7"/>
    </row>
    <row r="321" spans="1:23" x14ac:dyDescent="0.3">
      <c r="A321" s="1"/>
      <c r="B321" s="1"/>
      <c r="C321" s="1"/>
      <c r="D321" s="1"/>
      <c r="F321" s="5"/>
      <c r="G321" s="5"/>
      <c r="H321" s="5"/>
      <c r="I321" s="6"/>
      <c r="J321" s="1"/>
      <c r="K321" s="6"/>
      <c r="L321" s="6"/>
      <c r="P321" s="8"/>
      <c r="W321" s="7"/>
    </row>
    <row r="322" spans="1:23" x14ac:dyDescent="0.3">
      <c r="A322" s="1"/>
      <c r="B322" s="1"/>
      <c r="C322" s="1"/>
      <c r="D322" s="1"/>
      <c r="F322" s="5"/>
      <c r="G322" s="5"/>
      <c r="H322" s="5"/>
      <c r="I322" s="6"/>
      <c r="J322" s="1"/>
      <c r="K322" s="6"/>
      <c r="L322" s="6"/>
      <c r="P322" s="8"/>
      <c r="W322" s="7"/>
    </row>
    <row r="323" spans="1:23" x14ac:dyDescent="0.3">
      <c r="A323" s="1"/>
      <c r="B323" s="1"/>
      <c r="C323" s="1"/>
      <c r="D323" s="1"/>
      <c r="F323" s="5"/>
      <c r="G323" s="5"/>
      <c r="H323" s="5"/>
      <c r="I323" s="6"/>
      <c r="J323" s="1"/>
      <c r="K323" s="6"/>
      <c r="L323" s="6"/>
      <c r="P323" s="8"/>
      <c r="W323" s="7"/>
    </row>
    <row r="324" spans="1:23" x14ac:dyDescent="0.3">
      <c r="A324" s="1"/>
      <c r="B324" s="1"/>
      <c r="C324" s="1"/>
      <c r="D324" s="1"/>
      <c r="F324" s="5"/>
      <c r="G324" s="5"/>
      <c r="H324" s="5"/>
      <c r="I324" s="6"/>
      <c r="J324" s="1"/>
      <c r="K324" s="6"/>
      <c r="L324" s="6"/>
      <c r="P324" s="8"/>
      <c r="W324" s="7"/>
    </row>
    <row r="325" spans="1:23" x14ac:dyDescent="0.3">
      <c r="A325" s="1"/>
      <c r="B325" s="1"/>
      <c r="C325" s="1"/>
      <c r="D325" s="1"/>
      <c r="F325" s="5"/>
      <c r="G325" s="5"/>
      <c r="H325" s="5"/>
      <c r="I325" s="6"/>
      <c r="J325" s="1"/>
      <c r="K325" s="6"/>
      <c r="L325" s="6"/>
      <c r="P325" s="8"/>
      <c r="W325" s="7"/>
    </row>
    <row r="326" spans="1:23" x14ac:dyDescent="0.3">
      <c r="A326" s="1"/>
      <c r="B326" s="1"/>
      <c r="C326" s="1"/>
      <c r="D326" s="1"/>
      <c r="F326" s="5"/>
      <c r="G326" s="5"/>
      <c r="H326" s="5"/>
      <c r="I326" s="6"/>
      <c r="J326" s="1"/>
      <c r="K326" s="6"/>
      <c r="L326" s="6"/>
      <c r="P326" s="8"/>
      <c r="W326" s="7"/>
    </row>
    <row r="327" spans="1:23" x14ac:dyDescent="0.3">
      <c r="A327" s="1"/>
      <c r="B327" s="1"/>
      <c r="C327" s="1"/>
      <c r="D327" s="1"/>
      <c r="F327" s="5"/>
      <c r="G327" s="5"/>
      <c r="H327" s="5"/>
      <c r="I327" s="6"/>
      <c r="J327" s="1"/>
      <c r="K327" s="6"/>
      <c r="L327" s="6"/>
      <c r="P327" s="8"/>
      <c r="W327" s="7"/>
    </row>
    <row r="328" spans="1:23" x14ac:dyDescent="0.3">
      <c r="A328" s="1"/>
      <c r="B328" s="1"/>
      <c r="C328" s="1"/>
      <c r="D328" s="1"/>
      <c r="F328" s="5"/>
      <c r="G328" s="5"/>
      <c r="H328" s="5"/>
      <c r="I328" s="6"/>
      <c r="J328" s="1"/>
      <c r="K328" s="6"/>
      <c r="L328" s="6"/>
      <c r="P328" s="8"/>
      <c r="W328" s="7"/>
    </row>
    <row r="329" spans="1:23" x14ac:dyDescent="0.3">
      <c r="A329" s="1"/>
      <c r="B329" s="1"/>
      <c r="C329" s="1"/>
      <c r="D329" s="1"/>
      <c r="F329" s="5"/>
      <c r="G329" s="5"/>
      <c r="H329" s="5"/>
      <c r="I329" s="6"/>
      <c r="J329" s="1"/>
      <c r="K329" s="6"/>
      <c r="L329" s="6"/>
      <c r="P329" s="8"/>
      <c r="W329" s="7"/>
    </row>
    <row r="330" spans="1:23" x14ac:dyDescent="0.3">
      <c r="A330" s="1"/>
      <c r="B330" s="1"/>
      <c r="C330" s="1"/>
      <c r="D330" s="1"/>
      <c r="F330" s="5"/>
      <c r="G330" s="5"/>
      <c r="H330" s="5"/>
      <c r="I330" s="6"/>
      <c r="J330" s="1"/>
      <c r="K330" s="6"/>
      <c r="L330" s="6"/>
      <c r="P330" s="8"/>
      <c r="W330" s="7"/>
    </row>
    <row r="331" spans="1:23" x14ac:dyDescent="0.3">
      <c r="A331" s="1"/>
      <c r="B331" s="1"/>
      <c r="C331" s="1"/>
      <c r="D331" s="1"/>
      <c r="F331" s="5"/>
      <c r="G331" s="5"/>
      <c r="H331" s="5"/>
      <c r="I331" s="6"/>
      <c r="J331" s="1"/>
      <c r="K331" s="6"/>
      <c r="L331" s="6"/>
      <c r="P331" s="8"/>
      <c r="W331" s="7"/>
    </row>
  </sheetData>
  <conditionalFormatting sqref="X2:X331">
    <cfRule type="expression" dxfId="6" priority="2">
      <formula>LEFT($X2,1)="A"</formula>
    </cfRule>
    <cfRule type="expression" dxfId="5" priority="3">
      <formula>LEFT($X2,1)="C"</formula>
    </cfRule>
  </conditionalFormatting>
  <conditionalFormatting sqref="AB2:AB331">
    <cfRule type="expression" dxfId="4" priority="1">
      <formula>$AB2="Alta"</formula>
    </cfRule>
  </conditionalFormatting>
  <dataValidations count="4">
    <dataValidation type="list" sqref="M2:M306" xr:uid="{00000000-0002-0000-0000-000000000000}">
      <formula1>"Projeto,Ativo,Rever,Histórico,Reservado,Vendido"</formula1>
    </dataValidation>
    <dataValidation type="list" sqref="Q2:Q306" xr:uid="{00000000-0002-0000-0000-000001000000}">
      <formula1>"Projeto,Premium waterfront/marina,Benchmark local,Histórico,A classificar"</formula1>
    </dataValidation>
    <dataValidation type="list" sqref="T2:U306" xr:uid="{00000000-0002-0000-0000-000003000000}">
      <formula1>"Sim,Não,A confirmar"</formula1>
    </dataValidation>
    <dataValidation type="list" sqref="R2:R174 R176:R306" xr:uid="{00000000-0002-0000-0000-000002000000}">
      <formula1>"Nova construção,Usado recente,Usado,A confirmar"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6"/>
  <sheetViews>
    <sheetView workbookViewId="0"/>
  </sheetViews>
  <sheetFormatPr defaultRowHeight="14.4" x14ac:dyDescent="0.3"/>
  <cols>
    <col min="1" max="1" width="80" customWidth="1"/>
  </cols>
  <sheetData>
    <row r="1" spans="1:1" x14ac:dyDescent="0.3">
      <c r="A1" s="2" t="s">
        <v>159</v>
      </c>
    </row>
    <row r="2" spans="1:1" x14ac:dyDescent="0.3">
      <c r="A2" s="3"/>
    </row>
    <row r="3" spans="1:1" x14ac:dyDescent="0.3">
      <c r="A3" s="2" t="s">
        <v>160</v>
      </c>
    </row>
    <row r="4" spans="1:1" x14ac:dyDescent="0.3">
      <c r="A4" s="3" t="s">
        <v>161</v>
      </c>
    </row>
    <row r="5" spans="1:1" x14ac:dyDescent="0.3">
      <c r="A5" s="3" t="s">
        <v>162</v>
      </c>
    </row>
    <row r="6" spans="1:1" x14ac:dyDescent="0.3">
      <c r="A6" s="3" t="s">
        <v>163</v>
      </c>
    </row>
    <row r="7" spans="1:1" x14ac:dyDescent="0.3">
      <c r="A7" s="3"/>
    </row>
    <row r="8" spans="1:1" x14ac:dyDescent="0.3">
      <c r="A8" s="2" t="s">
        <v>164</v>
      </c>
    </row>
    <row r="9" spans="1:1" ht="28.8" x14ac:dyDescent="0.3">
      <c r="A9" s="2" t="s">
        <v>165</v>
      </c>
    </row>
    <row r="10" spans="1:1" x14ac:dyDescent="0.3">
      <c r="A10" s="2" t="s">
        <v>166</v>
      </c>
    </row>
    <row r="11" spans="1:1" x14ac:dyDescent="0.3">
      <c r="A11" s="2" t="s">
        <v>167</v>
      </c>
    </row>
    <row r="12" spans="1:1" x14ac:dyDescent="0.3">
      <c r="A12" s="2" t="s">
        <v>168</v>
      </c>
    </row>
    <row r="13" spans="1:1" x14ac:dyDescent="0.3">
      <c r="A13" s="2" t="s">
        <v>169</v>
      </c>
    </row>
    <row r="14" spans="1:1" x14ac:dyDescent="0.3">
      <c r="A14" s="2" t="s">
        <v>170</v>
      </c>
    </row>
    <row r="15" spans="1:1" x14ac:dyDescent="0.3">
      <c r="A15" s="2" t="s">
        <v>171</v>
      </c>
    </row>
    <row r="16" spans="1:1" x14ac:dyDescent="0.3">
      <c r="A16" s="2" t="s">
        <v>172</v>
      </c>
    </row>
    <row r="17" spans="1:1" x14ac:dyDescent="0.3">
      <c r="A17" s="2" t="s">
        <v>173</v>
      </c>
    </row>
    <row r="18" spans="1:1" x14ac:dyDescent="0.3">
      <c r="A18" s="3"/>
    </row>
    <row r="19" spans="1:1" x14ac:dyDescent="0.3">
      <c r="A19" s="2" t="s">
        <v>174</v>
      </c>
    </row>
    <row r="20" spans="1:1" x14ac:dyDescent="0.3">
      <c r="A20" s="3" t="s">
        <v>175</v>
      </c>
    </row>
    <row r="21" spans="1:1" x14ac:dyDescent="0.3">
      <c r="A21" s="3" t="s">
        <v>176</v>
      </c>
    </row>
    <row r="22" spans="1:1" x14ac:dyDescent="0.3">
      <c r="A22" s="3" t="s">
        <v>177</v>
      </c>
    </row>
    <row r="23" spans="1:1" x14ac:dyDescent="0.3">
      <c r="A23" s="3"/>
    </row>
    <row r="24" spans="1:1" x14ac:dyDescent="0.3">
      <c r="A24" s="2" t="s">
        <v>178</v>
      </c>
    </row>
    <row r="25" spans="1:1" x14ac:dyDescent="0.3">
      <c r="A25" s="3" t="s">
        <v>179</v>
      </c>
    </row>
    <row r="26" spans="1:1" x14ac:dyDescent="0.3">
      <c r="A26" s="3" t="s">
        <v>180</v>
      </c>
    </row>
    <row r="27" spans="1:1" x14ac:dyDescent="0.3">
      <c r="A27" s="3" t="s">
        <v>181</v>
      </c>
    </row>
    <row r="28" spans="1:1" x14ac:dyDescent="0.3">
      <c r="A28" s="3" t="s">
        <v>182</v>
      </c>
    </row>
    <row r="29" spans="1:1" x14ac:dyDescent="0.3">
      <c r="A29" s="3" t="s">
        <v>183</v>
      </c>
    </row>
    <row r="30" spans="1:1" x14ac:dyDescent="0.3">
      <c r="A30" s="3"/>
    </row>
    <row r="31" spans="1:1" x14ac:dyDescent="0.3">
      <c r="A31" s="2" t="s">
        <v>184</v>
      </c>
    </row>
    <row r="32" spans="1:1" x14ac:dyDescent="0.3">
      <c r="A32" s="2" t="s">
        <v>185</v>
      </c>
    </row>
    <row r="33" spans="1:1" x14ac:dyDescent="0.3">
      <c r="A33" s="2" t="s">
        <v>186</v>
      </c>
    </row>
    <row r="34" spans="1:1" x14ac:dyDescent="0.3">
      <c r="A34" s="2" t="s">
        <v>187</v>
      </c>
    </row>
    <row r="35" spans="1:1" x14ac:dyDescent="0.3">
      <c r="A35" s="2" t="s">
        <v>188</v>
      </c>
    </row>
    <row r="36" spans="1:1" ht="28.8" x14ac:dyDescent="0.3">
      <c r="A36" s="2" t="s">
        <v>189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6"/>
  <sheetViews>
    <sheetView workbookViewId="0"/>
  </sheetViews>
  <sheetFormatPr defaultRowHeight="14.4" x14ac:dyDescent="0.3"/>
  <cols>
    <col min="1" max="1" width="15.77734375" customWidth="1"/>
    <col min="2" max="2" width="5.109375" customWidth="1"/>
    <col min="3" max="3" width="16" customWidth="1"/>
    <col min="4" max="4" width="8.33203125" customWidth="1"/>
    <col min="5" max="5" width="8.5546875" customWidth="1"/>
    <col min="6" max="6" width="31.109375" customWidth="1"/>
  </cols>
  <sheetData>
    <row r="1" spans="1:8" ht="21" x14ac:dyDescent="0.4">
      <c r="A1" s="27" t="s">
        <v>239</v>
      </c>
      <c r="B1" s="28"/>
      <c r="C1" s="28"/>
      <c r="D1" s="28"/>
      <c r="E1" s="28"/>
      <c r="F1" s="28"/>
      <c r="G1" s="28"/>
      <c r="H1" s="28"/>
    </row>
    <row r="3" spans="1:8" x14ac:dyDescent="0.3">
      <c r="A3" s="9" t="s">
        <v>240</v>
      </c>
      <c r="B3" s="9" t="s">
        <v>241</v>
      </c>
      <c r="C3" s="9" t="s">
        <v>242</v>
      </c>
    </row>
    <row r="4" spans="1:8" x14ac:dyDescent="0.3">
      <c r="A4" t="s">
        <v>243</v>
      </c>
      <c r="B4">
        <v>172</v>
      </c>
      <c r="C4" t="s">
        <v>244</v>
      </c>
    </row>
    <row r="5" spans="1:8" x14ac:dyDescent="0.3">
      <c r="A5" t="s">
        <v>245</v>
      </c>
      <c r="B5">
        <v>39</v>
      </c>
      <c r="C5" t="s">
        <v>246</v>
      </c>
    </row>
    <row r="6" spans="1:8" x14ac:dyDescent="0.3">
      <c r="A6" t="s">
        <v>247</v>
      </c>
      <c r="B6">
        <v>133</v>
      </c>
      <c r="C6" t="s">
        <v>248</v>
      </c>
    </row>
    <row r="7" spans="1:8" x14ac:dyDescent="0.3">
      <c r="A7" t="s">
        <v>249</v>
      </c>
      <c r="B7">
        <v>86</v>
      </c>
      <c r="C7" t="s">
        <v>250</v>
      </c>
    </row>
    <row r="8" spans="1:8" x14ac:dyDescent="0.3">
      <c r="A8" t="s">
        <v>251</v>
      </c>
      <c r="B8">
        <v>86</v>
      </c>
      <c r="C8" t="s">
        <v>252</v>
      </c>
    </row>
    <row r="9" spans="1:8" x14ac:dyDescent="0.3">
      <c r="A9" t="s">
        <v>253</v>
      </c>
      <c r="B9">
        <v>3</v>
      </c>
      <c r="C9" t="s">
        <v>254</v>
      </c>
    </row>
    <row r="12" spans="1:8" x14ac:dyDescent="0.3">
      <c r="A12" s="9" t="s">
        <v>0</v>
      </c>
      <c r="B12" s="9" t="s">
        <v>255</v>
      </c>
      <c r="C12" s="9" t="s">
        <v>256</v>
      </c>
      <c r="D12" s="9" t="s">
        <v>257</v>
      </c>
      <c r="E12" s="9" t="s">
        <v>258</v>
      </c>
      <c r="F12" s="9" t="s">
        <v>259</v>
      </c>
    </row>
    <row r="13" spans="1:8" x14ac:dyDescent="0.3">
      <c r="A13" t="s">
        <v>142</v>
      </c>
      <c r="B13">
        <v>27</v>
      </c>
      <c r="C13" s="10">
        <v>5561</v>
      </c>
      <c r="D13" s="10">
        <v>4173</v>
      </c>
      <c r="E13" s="10">
        <v>9380</v>
      </c>
      <c r="F13" t="s">
        <v>260</v>
      </c>
    </row>
    <row r="14" spans="1:8" x14ac:dyDescent="0.3">
      <c r="A14" t="s">
        <v>12</v>
      </c>
      <c r="B14">
        <v>47</v>
      </c>
      <c r="C14" s="10">
        <v>5264</v>
      </c>
      <c r="D14" s="10">
        <v>3714</v>
      </c>
      <c r="E14" s="10">
        <v>8618</v>
      </c>
      <c r="F14" t="s">
        <v>260</v>
      </c>
    </row>
    <row r="15" spans="1:8" x14ac:dyDescent="0.3">
      <c r="A15" t="s">
        <v>64</v>
      </c>
      <c r="B15">
        <v>59</v>
      </c>
      <c r="C15" s="10">
        <v>3202</v>
      </c>
      <c r="D15" s="10">
        <v>2116</v>
      </c>
      <c r="E15" s="10">
        <v>4585</v>
      </c>
      <c r="F15" t="s">
        <v>261</v>
      </c>
    </row>
    <row r="16" spans="1:8" x14ac:dyDescent="0.3">
      <c r="A16" t="s">
        <v>99</v>
      </c>
      <c r="B16">
        <v>39</v>
      </c>
      <c r="C16" s="10">
        <v>4025</v>
      </c>
      <c r="D16" s="10">
        <v>3381</v>
      </c>
      <c r="E16" s="10">
        <v>6781</v>
      </c>
      <c r="F16" t="s">
        <v>246</v>
      </c>
    </row>
  </sheetData>
  <mergeCells count="1">
    <mergeCell ref="A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"/>
  <sheetViews>
    <sheetView workbookViewId="0"/>
  </sheetViews>
  <sheetFormatPr defaultRowHeight="14.4" x14ac:dyDescent="0.3"/>
  <cols>
    <col min="1" max="1" width="26" customWidth="1"/>
    <col min="2" max="3" width="42" customWidth="1"/>
    <col min="4" max="4" width="36" customWidth="1"/>
    <col min="5" max="6" width="26" customWidth="1"/>
  </cols>
  <sheetData>
    <row r="1" spans="1:6" ht="21" x14ac:dyDescent="0.4">
      <c r="A1" s="27" t="s">
        <v>262</v>
      </c>
      <c r="B1" s="28"/>
      <c r="C1" s="28"/>
      <c r="D1" s="28"/>
      <c r="E1" s="28"/>
      <c r="F1" s="28"/>
    </row>
    <row r="3" spans="1:6" x14ac:dyDescent="0.3">
      <c r="A3" s="11" t="s">
        <v>263</v>
      </c>
      <c r="B3" s="11" t="s">
        <v>264</v>
      </c>
      <c r="C3" s="11" t="s">
        <v>265</v>
      </c>
      <c r="D3" s="11" t="s">
        <v>266</v>
      </c>
      <c r="E3" s="11" t="s">
        <v>267</v>
      </c>
      <c r="F3" s="11" t="s">
        <v>268</v>
      </c>
    </row>
    <row r="4" spans="1:6" ht="28.8" x14ac:dyDescent="0.3">
      <c r="A4" s="12" t="s">
        <v>214</v>
      </c>
      <c r="B4" s="12" t="s">
        <v>269</v>
      </c>
      <c r="C4" s="12" t="s">
        <v>270</v>
      </c>
      <c r="D4" s="12" t="s">
        <v>271</v>
      </c>
      <c r="E4" s="12"/>
      <c r="F4" s="12" t="s">
        <v>272</v>
      </c>
    </row>
    <row r="5" spans="1:6" ht="28.8" x14ac:dyDescent="0.3">
      <c r="A5" s="12" t="s">
        <v>214</v>
      </c>
      <c r="B5" s="12" t="s">
        <v>273</v>
      </c>
      <c r="C5" s="12" t="s">
        <v>274</v>
      </c>
      <c r="D5" s="12" t="s">
        <v>275</v>
      </c>
      <c r="E5" s="12"/>
      <c r="F5" s="12" t="s">
        <v>272</v>
      </c>
    </row>
    <row r="6" spans="1:6" ht="28.8" x14ac:dyDescent="0.3">
      <c r="A6" s="12" t="s">
        <v>214</v>
      </c>
      <c r="B6" s="12" t="s">
        <v>276</v>
      </c>
      <c r="C6" s="12" t="s">
        <v>277</v>
      </c>
      <c r="D6" s="12" t="s">
        <v>278</v>
      </c>
      <c r="E6" s="12"/>
      <c r="F6" s="12" t="s">
        <v>272</v>
      </c>
    </row>
    <row r="7" spans="1:6" x14ac:dyDescent="0.3">
      <c r="A7" s="12" t="s">
        <v>212</v>
      </c>
      <c r="B7" s="12" t="s">
        <v>279</v>
      </c>
      <c r="C7" s="12" t="s">
        <v>280</v>
      </c>
      <c r="D7" s="12" t="s">
        <v>281</v>
      </c>
      <c r="E7" s="12"/>
      <c r="F7" s="12" t="s">
        <v>272</v>
      </c>
    </row>
    <row r="8" spans="1:6" x14ac:dyDescent="0.3">
      <c r="A8" s="12" t="s">
        <v>212</v>
      </c>
      <c r="B8" s="12" t="s">
        <v>282</v>
      </c>
      <c r="C8" s="12" t="s">
        <v>283</v>
      </c>
      <c r="D8" s="12" t="s">
        <v>284</v>
      </c>
      <c r="E8" s="12"/>
      <c r="F8" s="12" t="s">
        <v>272</v>
      </c>
    </row>
    <row r="9" spans="1:6" ht="28.8" x14ac:dyDescent="0.3">
      <c r="A9" s="12" t="s">
        <v>212</v>
      </c>
      <c r="B9" s="12" t="s">
        <v>285</v>
      </c>
      <c r="C9" s="12" t="s">
        <v>286</v>
      </c>
      <c r="D9" s="12" t="s">
        <v>287</v>
      </c>
      <c r="E9" s="12"/>
      <c r="F9" s="12" t="s">
        <v>272</v>
      </c>
    </row>
    <row r="10" spans="1:6" x14ac:dyDescent="0.3">
      <c r="A10" s="12" t="s">
        <v>288</v>
      </c>
      <c r="B10" s="12" t="s">
        <v>289</v>
      </c>
      <c r="C10" s="12" t="s">
        <v>290</v>
      </c>
      <c r="D10" s="12" t="s">
        <v>291</v>
      </c>
      <c r="E10" s="12"/>
      <c r="F10" s="12" t="s">
        <v>272</v>
      </c>
    </row>
  </sheetData>
  <mergeCells count="1">
    <mergeCell ref="A1:F1"/>
  </mergeCells>
  <dataValidations count="1">
    <dataValidation type="list" sqref="F4:F10" xr:uid="{00000000-0002-0000-0300-000000000000}">
      <formula1>"Por fazer,Em progresso,Concluído"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"/>
  <sheetViews>
    <sheetView workbookViewId="0"/>
  </sheetViews>
  <sheetFormatPr defaultRowHeight="14.4" x14ac:dyDescent="0.3"/>
  <cols>
    <col min="1" max="1" width="12" customWidth="1"/>
    <col min="2" max="2" width="28" customWidth="1"/>
    <col min="3" max="3" width="18" customWidth="1"/>
    <col min="4" max="4" width="24" customWidth="1"/>
    <col min="5" max="5" width="18" customWidth="1"/>
    <col min="6" max="6" width="14" customWidth="1"/>
    <col min="7" max="7" width="18" customWidth="1"/>
    <col min="8" max="8" width="24" customWidth="1"/>
    <col min="9" max="9" width="22" customWidth="1"/>
    <col min="10" max="10" width="12" customWidth="1"/>
    <col min="11" max="11" width="14" customWidth="1"/>
    <col min="12" max="12" width="38" customWidth="1"/>
    <col min="13" max="14" width="42" customWidth="1"/>
  </cols>
  <sheetData>
    <row r="1" spans="1:14" ht="28.8" x14ac:dyDescent="0.3">
      <c r="A1" s="13" t="s">
        <v>263</v>
      </c>
      <c r="B1" s="13" t="s">
        <v>292</v>
      </c>
      <c r="C1" s="13" t="s">
        <v>293</v>
      </c>
      <c r="D1" s="13" t="s">
        <v>294</v>
      </c>
      <c r="E1" s="13" t="s">
        <v>295</v>
      </c>
      <c r="F1" s="13" t="s">
        <v>296</v>
      </c>
      <c r="G1" s="13" t="s">
        <v>297</v>
      </c>
      <c r="H1" s="13" t="s">
        <v>298</v>
      </c>
      <c r="I1" s="13" t="s">
        <v>299</v>
      </c>
      <c r="J1" s="13" t="s">
        <v>300</v>
      </c>
      <c r="K1" s="13" t="s">
        <v>301</v>
      </c>
      <c r="L1" s="13" t="s">
        <v>302</v>
      </c>
      <c r="M1" s="13" t="s">
        <v>303</v>
      </c>
      <c r="N1" s="13" t="s">
        <v>304</v>
      </c>
    </row>
    <row r="2" spans="1:14" ht="57.6" x14ac:dyDescent="0.3">
      <c r="A2" s="12" t="s">
        <v>214</v>
      </c>
      <c r="B2" s="12" t="s">
        <v>305</v>
      </c>
      <c r="C2" s="12" t="s">
        <v>0</v>
      </c>
      <c r="D2" s="12" t="s">
        <v>306</v>
      </c>
      <c r="E2" s="12" t="s">
        <v>307</v>
      </c>
      <c r="F2" s="12" t="s">
        <v>308</v>
      </c>
      <c r="G2" s="12" t="s">
        <v>309</v>
      </c>
      <c r="H2" s="12" t="s">
        <v>310</v>
      </c>
      <c r="I2" s="12" t="s">
        <v>311</v>
      </c>
      <c r="J2" s="14">
        <v>0.95</v>
      </c>
      <c r="K2" s="12" t="s">
        <v>312</v>
      </c>
      <c r="L2" s="12" t="s">
        <v>313</v>
      </c>
      <c r="M2" s="12" t="s">
        <v>314</v>
      </c>
      <c r="N2" s="12" t="s">
        <v>315</v>
      </c>
    </row>
    <row r="3" spans="1:14" ht="43.2" x14ac:dyDescent="0.3">
      <c r="A3" s="12" t="s">
        <v>214</v>
      </c>
      <c r="B3" s="12" t="s">
        <v>316</v>
      </c>
      <c r="C3" s="12" t="s">
        <v>0</v>
      </c>
      <c r="D3" s="12" t="s">
        <v>317</v>
      </c>
      <c r="E3" s="12" t="s">
        <v>318</v>
      </c>
      <c r="F3" s="12" t="s">
        <v>319</v>
      </c>
      <c r="G3" s="12" t="s">
        <v>320</v>
      </c>
      <c r="H3" s="12" t="s">
        <v>310</v>
      </c>
      <c r="I3" s="12" t="s">
        <v>311</v>
      </c>
      <c r="J3" s="14">
        <v>0.9</v>
      </c>
      <c r="K3" s="12" t="s">
        <v>312</v>
      </c>
      <c r="L3" s="12" t="s">
        <v>321</v>
      </c>
      <c r="M3" s="12" t="s">
        <v>322</v>
      </c>
      <c r="N3" s="12" t="s">
        <v>323</v>
      </c>
    </row>
    <row r="4" spans="1:14" ht="43.2" x14ac:dyDescent="0.3">
      <c r="A4" s="12" t="s">
        <v>214</v>
      </c>
      <c r="B4" s="12" t="s">
        <v>207</v>
      </c>
      <c r="C4" s="12" t="s">
        <v>0</v>
      </c>
      <c r="D4" s="12" t="s">
        <v>324</v>
      </c>
      <c r="E4" s="12" t="s">
        <v>325</v>
      </c>
      <c r="F4" s="12" t="s">
        <v>326</v>
      </c>
      <c r="G4" s="12" t="s">
        <v>327</v>
      </c>
      <c r="H4" s="12" t="s">
        <v>328</v>
      </c>
      <c r="I4" s="12" t="s">
        <v>329</v>
      </c>
      <c r="J4" s="14">
        <v>0.75</v>
      </c>
      <c r="K4" s="12" t="s">
        <v>312</v>
      </c>
      <c r="L4" s="12" t="s">
        <v>330</v>
      </c>
      <c r="M4" s="12" t="s">
        <v>331</v>
      </c>
      <c r="N4" s="12" t="s">
        <v>332</v>
      </c>
    </row>
    <row r="5" spans="1:14" ht="43.2" x14ac:dyDescent="0.3">
      <c r="A5" s="12" t="s">
        <v>212</v>
      </c>
      <c r="B5" s="12" t="s">
        <v>333</v>
      </c>
      <c r="C5" s="12" t="s">
        <v>0</v>
      </c>
      <c r="D5" s="12" t="s">
        <v>334</v>
      </c>
      <c r="E5" s="12" t="s">
        <v>335</v>
      </c>
      <c r="F5" s="12" t="s">
        <v>336</v>
      </c>
      <c r="G5" s="12" t="s">
        <v>337</v>
      </c>
      <c r="H5" s="12" t="s">
        <v>338</v>
      </c>
      <c r="I5" s="12" t="s">
        <v>329</v>
      </c>
      <c r="J5" s="14">
        <v>0.65</v>
      </c>
      <c r="K5" s="12" t="s">
        <v>312</v>
      </c>
      <c r="L5" s="12" t="s">
        <v>339</v>
      </c>
      <c r="M5" s="12" t="s">
        <v>322</v>
      </c>
      <c r="N5" s="12" t="s">
        <v>340</v>
      </c>
    </row>
    <row r="6" spans="1:14" ht="43.2" x14ac:dyDescent="0.3">
      <c r="A6" s="12" t="s">
        <v>212</v>
      </c>
      <c r="B6" s="12" t="s">
        <v>341</v>
      </c>
      <c r="C6" s="12" t="s">
        <v>342</v>
      </c>
      <c r="D6" s="12" t="s">
        <v>343</v>
      </c>
      <c r="E6" s="12" t="s">
        <v>335</v>
      </c>
      <c r="F6" s="12" t="s">
        <v>336</v>
      </c>
      <c r="G6" s="12" t="s">
        <v>344</v>
      </c>
      <c r="H6" s="12" t="s">
        <v>345</v>
      </c>
      <c r="I6" s="12" t="s">
        <v>329</v>
      </c>
      <c r="J6" s="14">
        <v>0.6</v>
      </c>
      <c r="K6" s="12" t="s">
        <v>312</v>
      </c>
      <c r="L6" s="12" t="s">
        <v>346</v>
      </c>
      <c r="M6" s="12" t="s">
        <v>322</v>
      </c>
      <c r="N6" s="12" t="s">
        <v>347</v>
      </c>
    </row>
    <row r="7" spans="1:14" ht="57.6" x14ac:dyDescent="0.3">
      <c r="A7" s="12" t="s">
        <v>212</v>
      </c>
      <c r="B7" s="12" t="s">
        <v>348</v>
      </c>
      <c r="C7" s="12" t="s">
        <v>349</v>
      </c>
      <c r="D7" s="12" t="s">
        <v>350</v>
      </c>
      <c r="E7" s="12" t="s">
        <v>351</v>
      </c>
      <c r="F7" s="12" t="s">
        <v>352</v>
      </c>
      <c r="G7" s="12" t="s">
        <v>349</v>
      </c>
      <c r="H7" s="12" t="s">
        <v>353</v>
      </c>
      <c r="I7" s="12" t="s">
        <v>329</v>
      </c>
      <c r="J7" s="14">
        <v>0.55000000000000004</v>
      </c>
      <c r="K7" s="12" t="s">
        <v>312</v>
      </c>
      <c r="L7" s="12" t="s">
        <v>354</v>
      </c>
      <c r="M7" s="12" t="s">
        <v>355</v>
      </c>
      <c r="N7" s="12" t="s">
        <v>356</v>
      </c>
    </row>
    <row r="8" spans="1:14" ht="43.2" x14ac:dyDescent="0.3">
      <c r="A8" s="12" t="s">
        <v>288</v>
      </c>
      <c r="B8" s="12" t="s">
        <v>357</v>
      </c>
      <c r="C8" s="12" t="s">
        <v>358</v>
      </c>
      <c r="D8" s="12" t="s">
        <v>359</v>
      </c>
      <c r="E8" s="12" t="s">
        <v>360</v>
      </c>
      <c r="F8" s="12" t="s">
        <v>361</v>
      </c>
      <c r="G8" s="12" t="s">
        <v>362</v>
      </c>
      <c r="H8" s="12" t="s">
        <v>363</v>
      </c>
      <c r="I8" s="12" t="s">
        <v>364</v>
      </c>
      <c r="J8" s="14">
        <v>0.45</v>
      </c>
      <c r="K8" s="12" t="s">
        <v>312</v>
      </c>
      <c r="L8" s="12" t="s">
        <v>365</v>
      </c>
      <c r="M8" s="12" t="s">
        <v>366</v>
      </c>
      <c r="N8" s="12" t="s">
        <v>367</v>
      </c>
    </row>
    <row r="9" spans="1:14" ht="43.2" x14ac:dyDescent="0.3">
      <c r="A9" s="12" t="s">
        <v>288</v>
      </c>
      <c r="B9" s="12" t="s">
        <v>368</v>
      </c>
      <c r="C9" s="12" t="s">
        <v>369</v>
      </c>
      <c r="D9" s="12" t="s">
        <v>370</v>
      </c>
      <c r="E9" s="12" t="s">
        <v>371</v>
      </c>
      <c r="F9" s="12" t="s">
        <v>372</v>
      </c>
      <c r="G9" s="12" t="s">
        <v>373</v>
      </c>
      <c r="H9" s="12" t="s">
        <v>374</v>
      </c>
      <c r="I9" s="12" t="s">
        <v>364</v>
      </c>
      <c r="J9" s="14">
        <v>0.35</v>
      </c>
      <c r="K9" s="12" t="s">
        <v>312</v>
      </c>
      <c r="L9" s="12" t="s">
        <v>375</v>
      </c>
      <c r="M9" s="12" t="s">
        <v>376</v>
      </c>
      <c r="N9" s="12" t="s">
        <v>377</v>
      </c>
    </row>
  </sheetData>
  <conditionalFormatting sqref="A2:A9">
    <cfRule type="expression" dxfId="3" priority="1">
      <formula>$A2="Alta"</formula>
    </cfRule>
    <cfRule type="expression" dxfId="2" priority="2">
      <formula>$A2="Média"</formula>
    </cfRule>
    <cfRule type="expression" dxfId="1" priority="3">
      <formula>$A2="Baixa"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"/>
  <sheetViews>
    <sheetView workbookViewId="0"/>
  </sheetViews>
  <sheetFormatPr defaultRowHeight="14.4" x14ac:dyDescent="0.3"/>
  <cols>
    <col min="1" max="1" width="18" customWidth="1"/>
    <col min="2" max="2" width="36" customWidth="1"/>
    <col min="3" max="3" width="16" customWidth="1"/>
    <col min="4" max="4" width="14" customWidth="1"/>
    <col min="5" max="5" width="38" customWidth="1"/>
    <col min="6" max="6" width="28" customWidth="1"/>
  </cols>
  <sheetData>
    <row r="1" spans="1:6" ht="28.8" x14ac:dyDescent="0.3">
      <c r="A1" s="13" t="s">
        <v>378</v>
      </c>
      <c r="B1" s="13" t="s">
        <v>379</v>
      </c>
      <c r="C1" s="13" t="s">
        <v>380</v>
      </c>
      <c r="D1" s="13" t="s">
        <v>381</v>
      </c>
      <c r="E1" s="13" t="s">
        <v>382</v>
      </c>
      <c r="F1" s="13" t="s">
        <v>383</v>
      </c>
    </row>
    <row r="2" spans="1:6" ht="28.8" x14ac:dyDescent="0.3">
      <c r="A2" s="12" t="s">
        <v>294</v>
      </c>
      <c r="B2" s="12" t="s">
        <v>384</v>
      </c>
      <c r="C2" s="12">
        <v>1</v>
      </c>
      <c r="D2" s="12" t="s">
        <v>13</v>
      </c>
      <c r="E2" s="12" t="s">
        <v>385</v>
      </c>
      <c r="F2" s="12" t="s">
        <v>386</v>
      </c>
    </row>
    <row r="3" spans="1:6" ht="28.8" x14ac:dyDescent="0.3">
      <c r="A3" s="12" t="s">
        <v>294</v>
      </c>
      <c r="B3" s="12" t="s">
        <v>387</v>
      </c>
      <c r="C3" s="12">
        <v>0.7</v>
      </c>
      <c r="D3" s="12" t="s">
        <v>16</v>
      </c>
      <c r="E3" s="12" t="s">
        <v>388</v>
      </c>
      <c r="F3" s="12" t="s">
        <v>207</v>
      </c>
    </row>
    <row r="4" spans="1:6" ht="28.8" x14ac:dyDescent="0.3">
      <c r="A4" s="12" t="s">
        <v>294</v>
      </c>
      <c r="B4" s="12" t="s">
        <v>389</v>
      </c>
      <c r="C4" s="12">
        <v>0.35</v>
      </c>
      <c r="D4" s="12" t="s">
        <v>390</v>
      </c>
      <c r="E4" s="12" t="s">
        <v>391</v>
      </c>
      <c r="F4" s="12" t="s">
        <v>368</v>
      </c>
    </row>
    <row r="5" spans="1:6" x14ac:dyDescent="0.3">
      <c r="A5" s="12" t="s">
        <v>392</v>
      </c>
      <c r="B5" s="12" t="s">
        <v>393</v>
      </c>
      <c r="C5" s="12">
        <v>1</v>
      </c>
      <c r="D5" s="12" t="s">
        <v>394</v>
      </c>
      <c r="E5" s="12" t="s">
        <v>395</v>
      </c>
      <c r="F5" s="12" t="s">
        <v>396</v>
      </c>
    </row>
    <row r="6" spans="1:6" x14ac:dyDescent="0.3">
      <c r="A6" s="12" t="s">
        <v>392</v>
      </c>
      <c r="B6" s="12" t="s">
        <v>397</v>
      </c>
      <c r="C6" s="12">
        <v>0.4</v>
      </c>
      <c r="D6" s="12" t="s">
        <v>390</v>
      </c>
      <c r="E6" s="12" t="s">
        <v>398</v>
      </c>
      <c r="F6" s="12" t="s">
        <v>399</v>
      </c>
    </row>
    <row r="7" spans="1:6" ht="28.8" x14ac:dyDescent="0.3">
      <c r="A7" s="12" t="s">
        <v>400</v>
      </c>
      <c r="B7" s="12" t="s">
        <v>401</v>
      </c>
      <c r="C7" s="12">
        <v>0.9</v>
      </c>
      <c r="D7" s="12" t="s">
        <v>394</v>
      </c>
      <c r="E7" s="12" t="s">
        <v>402</v>
      </c>
      <c r="F7" s="12" t="s">
        <v>403</v>
      </c>
    </row>
    <row r="8" spans="1:6" ht="28.8" x14ac:dyDescent="0.3">
      <c r="A8" s="12" t="s">
        <v>400</v>
      </c>
      <c r="B8" s="12" t="s">
        <v>404</v>
      </c>
      <c r="C8" s="12">
        <v>0.5</v>
      </c>
      <c r="D8" s="12" t="s">
        <v>405</v>
      </c>
      <c r="E8" s="12" t="s">
        <v>406</v>
      </c>
      <c r="F8" s="12" t="s">
        <v>407</v>
      </c>
    </row>
    <row r="9" spans="1:6" ht="28.8" x14ac:dyDescent="0.3">
      <c r="A9" s="12" t="s">
        <v>408</v>
      </c>
      <c r="B9" s="12" t="s">
        <v>409</v>
      </c>
      <c r="C9" s="12">
        <v>1</v>
      </c>
      <c r="D9" s="12" t="s">
        <v>394</v>
      </c>
      <c r="E9" s="12" t="s">
        <v>410</v>
      </c>
      <c r="F9" s="12" t="s">
        <v>411</v>
      </c>
    </row>
    <row r="10" spans="1:6" x14ac:dyDescent="0.3">
      <c r="A10" s="12" t="s">
        <v>408</v>
      </c>
      <c r="B10" s="12" t="s">
        <v>412</v>
      </c>
      <c r="C10" s="12">
        <v>0.4</v>
      </c>
      <c r="D10" s="12" t="s">
        <v>390</v>
      </c>
      <c r="E10" s="12" t="s">
        <v>413</v>
      </c>
      <c r="F10" s="12" t="s">
        <v>414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9"/>
  <sheetViews>
    <sheetView workbookViewId="0"/>
  </sheetViews>
  <sheetFormatPr defaultRowHeight="14.4" x14ac:dyDescent="0.3"/>
  <cols>
    <col min="1" max="2" width="22" customWidth="1"/>
    <col min="3" max="3" width="9.33203125" customWidth="1"/>
    <col min="4" max="5" width="22" customWidth="1"/>
    <col min="6" max="6" width="3.21875" customWidth="1"/>
    <col min="7" max="7" width="13.5546875" customWidth="1"/>
    <col min="8" max="8" width="8.21875" customWidth="1"/>
    <col min="9" max="9" width="7.77734375" customWidth="1"/>
    <col min="10" max="10" width="12.33203125" customWidth="1"/>
    <col min="11" max="11" width="17.44140625" customWidth="1"/>
    <col min="12" max="12" width="17.6640625" customWidth="1"/>
    <col min="13" max="14" width="22" customWidth="1"/>
    <col min="15" max="15" width="38" customWidth="1"/>
    <col min="16" max="16" width="15.88671875" customWidth="1"/>
    <col min="17" max="18" width="22" customWidth="1"/>
    <col min="19" max="19" width="12.5546875" customWidth="1"/>
    <col min="20" max="21" width="9.33203125" customWidth="1"/>
    <col min="22" max="22" width="17.88671875" customWidth="1"/>
    <col min="23" max="23" width="13.77734375" customWidth="1"/>
    <col min="24" max="25" width="22" customWidth="1"/>
    <col min="26" max="27" width="38" customWidth="1"/>
    <col min="28" max="28" width="22" customWidth="1"/>
    <col min="30" max="30" width="6" customWidth="1"/>
    <col min="31" max="31" width="62" customWidth="1"/>
  </cols>
  <sheetData>
    <row r="1" spans="1:34" ht="24" customHeight="1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190</v>
      </c>
      <c r="N1" s="15" t="s">
        <v>191</v>
      </c>
      <c r="O1" s="15" t="s">
        <v>192</v>
      </c>
      <c r="P1" s="15" t="s">
        <v>193</v>
      </c>
      <c r="Q1" s="15" t="s">
        <v>194</v>
      </c>
      <c r="R1" s="15" t="s">
        <v>195</v>
      </c>
      <c r="S1" s="15" t="s">
        <v>196</v>
      </c>
      <c r="T1" s="15" t="s">
        <v>197</v>
      </c>
      <c r="U1" s="15" t="s">
        <v>198</v>
      </c>
      <c r="V1" s="15" t="s">
        <v>199</v>
      </c>
      <c r="W1" s="15" t="s">
        <v>200</v>
      </c>
      <c r="X1" s="15" t="s">
        <v>201</v>
      </c>
      <c r="Y1" s="15" t="s">
        <v>202</v>
      </c>
      <c r="Z1" s="15" t="s">
        <v>203</v>
      </c>
      <c r="AA1" s="15" t="s">
        <v>204</v>
      </c>
      <c r="AB1" s="15" t="s">
        <v>205</v>
      </c>
      <c r="AD1" s="29" t="s">
        <v>415</v>
      </c>
      <c r="AE1" s="29"/>
      <c r="AF1" s="29"/>
      <c r="AG1" s="29"/>
      <c r="AH1" s="29"/>
    </row>
    <row r="2" spans="1:34" ht="43.2" x14ac:dyDescent="0.3">
      <c r="A2" s="16" t="s">
        <v>305</v>
      </c>
      <c r="B2" s="16" t="s">
        <v>416</v>
      </c>
      <c r="C2" s="16" t="s">
        <v>344</v>
      </c>
      <c r="D2" s="16" t="s">
        <v>417</v>
      </c>
      <c r="E2" s="16" t="s">
        <v>418</v>
      </c>
      <c r="F2" s="16"/>
      <c r="G2" s="16"/>
      <c r="H2" s="16"/>
      <c r="I2" s="17">
        <v>690000</v>
      </c>
      <c r="J2" s="16">
        <v>2026</v>
      </c>
      <c r="K2" s="17" t="str">
        <f t="shared" ref="K2:K9" si="0">IF(OR(F2="",I2=""),"",I2/F2)</f>
        <v/>
      </c>
      <c r="L2" s="17" t="str">
        <f t="shared" ref="L2:L9" si="1">IF(OR(H2="",I2=""),"",I2/H2)</f>
        <v/>
      </c>
      <c r="M2" s="16" t="s">
        <v>419</v>
      </c>
      <c r="N2" s="16" t="s">
        <v>420</v>
      </c>
      <c r="O2" s="16" t="s">
        <v>314</v>
      </c>
      <c r="P2" s="18">
        <v>46149</v>
      </c>
      <c r="Q2" s="16" t="s">
        <v>310</v>
      </c>
      <c r="R2" s="16" t="s">
        <v>206</v>
      </c>
      <c r="S2" s="16"/>
      <c r="T2" s="16" t="s">
        <v>211</v>
      </c>
      <c r="U2" s="16" t="s">
        <v>211</v>
      </c>
      <c r="V2" s="16"/>
      <c r="W2" s="19">
        <v>0.95</v>
      </c>
      <c r="X2" s="16" t="s">
        <v>311</v>
      </c>
      <c r="Y2" s="16" t="s">
        <v>212</v>
      </c>
      <c r="Z2" s="16" t="s">
        <v>421</v>
      </c>
      <c r="AA2" s="16" t="s">
        <v>422</v>
      </c>
      <c r="AB2" s="16" t="s">
        <v>214</v>
      </c>
      <c r="AD2" s="12" t="s">
        <v>423</v>
      </c>
      <c r="AE2" s="12" t="s">
        <v>424</v>
      </c>
    </row>
    <row r="3" spans="1:34" ht="43.2" x14ac:dyDescent="0.3">
      <c r="A3" s="16" t="s">
        <v>316</v>
      </c>
      <c r="B3" s="16" t="s">
        <v>425</v>
      </c>
      <c r="C3" s="16" t="s">
        <v>344</v>
      </c>
      <c r="D3" s="16" t="s">
        <v>426</v>
      </c>
      <c r="E3" s="16" t="s">
        <v>427</v>
      </c>
      <c r="F3" s="16"/>
      <c r="G3" s="16"/>
      <c r="H3" s="16"/>
      <c r="I3" s="17">
        <v>720000</v>
      </c>
      <c r="J3" s="16">
        <v>2026</v>
      </c>
      <c r="K3" s="17" t="str">
        <f t="shared" si="0"/>
        <v/>
      </c>
      <c r="L3" s="17" t="str">
        <f t="shared" si="1"/>
        <v/>
      </c>
      <c r="M3" s="16" t="s">
        <v>419</v>
      </c>
      <c r="N3" s="16" t="s">
        <v>428</v>
      </c>
      <c r="O3" s="16" t="s">
        <v>322</v>
      </c>
      <c r="P3" s="18">
        <v>46149</v>
      </c>
      <c r="Q3" s="16" t="s">
        <v>310</v>
      </c>
      <c r="R3" s="16" t="s">
        <v>206</v>
      </c>
      <c r="S3" s="16"/>
      <c r="T3" s="16" t="s">
        <v>211</v>
      </c>
      <c r="U3" s="16" t="s">
        <v>211</v>
      </c>
      <c r="V3" s="16"/>
      <c r="W3" s="19">
        <v>0.9</v>
      </c>
      <c r="X3" s="16" t="s">
        <v>311</v>
      </c>
      <c r="Y3" s="16" t="s">
        <v>212</v>
      </c>
      <c r="Z3" s="16" t="s">
        <v>429</v>
      </c>
      <c r="AA3" s="16" t="s">
        <v>430</v>
      </c>
      <c r="AB3" s="16" t="s">
        <v>214</v>
      </c>
      <c r="AD3" s="12" t="s">
        <v>431</v>
      </c>
      <c r="AE3" s="12" t="s">
        <v>432</v>
      </c>
    </row>
    <row r="4" spans="1:34" ht="28.8" x14ac:dyDescent="0.3">
      <c r="A4" s="16" t="s">
        <v>207</v>
      </c>
      <c r="B4" s="16" t="s">
        <v>433</v>
      </c>
      <c r="C4" s="16" t="s">
        <v>344</v>
      </c>
      <c r="D4" s="16" t="s">
        <v>434</v>
      </c>
      <c r="E4" s="16" t="s">
        <v>344</v>
      </c>
      <c r="F4" s="16"/>
      <c r="G4" s="16"/>
      <c r="H4" s="16"/>
      <c r="I4" s="17">
        <v>535500</v>
      </c>
      <c r="J4" s="16">
        <v>2026</v>
      </c>
      <c r="K4" s="17" t="str">
        <f t="shared" si="0"/>
        <v/>
      </c>
      <c r="L4" s="17" t="str">
        <f t="shared" si="1"/>
        <v/>
      </c>
      <c r="M4" s="16" t="s">
        <v>419</v>
      </c>
      <c r="N4" s="16" t="s">
        <v>428</v>
      </c>
      <c r="O4" s="16" t="s">
        <v>331</v>
      </c>
      <c r="P4" s="18">
        <v>46149</v>
      </c>
      <c r="Q4" s="16" t="s">
        <v>328</v>
      </c>
      <c r="R4" s="16" t="s">
        <v>206</v>
      </c>
      <c r="S4" s="16"/>
      <c r="T4" s="16" t="s">
        <v>211</v>
      </c>
      <c r="U4" s="16" t="s">
        <v>211</v>
      </c>
      <c r="V4" s="16">
        <v>300</v>
      </c>
      <c r="W4" s="19">
        <v>0.75</v>
      </c>
      <c r="X4" s="16" t="s">
        <v>329</v>
      </c>
      <c r="Y4" s="16" t="s">
        <v>212</v>
      </c>
      <c r="Z4" s="16" t="s">
        <v>435</v>
      </c>
      <c r="AA4" s="16" t="s">
        <v>436</v>
      </c>
      <c r="AB4" s="16" t="s">
        <v>214</v>
      </c>
      <c r="AD4" s="12" t="s">
        <v>437</v>
      </c>
      <c r="AE4" s="12" t="s">
        <v>438</v>
      </c>
    </row>
    <row r="5" spans="1:34" ht="43.2" x14ac:dyDescent="0.3">
      <c r="A5" s="16" t="s">
        <v>333</v>
      </c>
      <c r="B5" s="16" t="s">
        <v>439</v>
      </c>
      <c r="C5" s="16" t="s">
        <v>344</v>
      </c>
      <c r="D5" s="16" t="s">
        <v>440</v>
      </c>
      <c r="E5" s="16" t="s">
        <v>441</v>
      </c>
      <c r="F5" s="16"/>
      <c r="G5" s="16"/>
      <c r="H5" s="16"/>
      <c r="I5" s="17">
        <v>415000</v>
      </c>
      <c r="J5" s="16">
        <v>2026</v>
      </c>
      <c r="K5" s="17" t="str">
        <f t="shared" si="0"/>
        <v/>
      </c>
      <c r="L5" s="17" t="str">
        <f t="shared" si="1"/>
        <v/>
      </c>
      <c r="M5" s="16" t="s">
        <v>419</v>
      </c>
      <c r="N5" s="16" t="s">
        <v>428</v>
      </c>
      <c r="O5" s="16" t="s">
        <v>322</v>
      </c>
      <c r="P5" s="18">
        <v>46149</v>
      </c>
      <c r="Q5" s="16" t="s">
        <v>338</v>
      </c>
      <c r="R5" s="16" t="s">
        <v>206</v>
      </c>
      <c r="S5" s="16"/>
      <c r="T5" s="16" t="s">
        <v>344</v>
      </c>
      <c r="U5" s="16" t="s">
        <v>344</v>
      </c>
      <c r="V5" s="16"/>
      <c r="W5" s="19">
        <v>0.65</v>
      </c>
      <c r="X5" s="16" t="s">
        <v>329</v>
      </c>
      <c r="Y5" s="16" t="s">
        <v>212</v>
      </c>
      <c r="Z5" s="16" t="s">
        <v>442</v>
      </c>
      <c r="AA5" s="16" t="s">
        <v>443</v>
      </c>
      <c r="AB5" s="16" t="s">
        <v>212</v>
      </c>
      <c r="AD5" s="12" t="s">
        <v>444</v>
      </c>
      <c r="AE5" s="12" t="s">
        <v>445</v>
      </c>
    </row>
    <row r="6" spans="1:34" ht="43.2" x14ac:dyDescent="0.3">
      <c r="A6" s="16" t="s">
        <v>341</v>
      </c>
      <c r="B6" s="16" t="s">
        <v>446</v>
      </c>
      <c r="C6" s="16" t="s">
        <v>344</v>
      </c>
      <c r="D6" s="16" t="s">
        <v>440</v>
      </c>
      <c r="E6" s="16" t="s">
        <v>344</v>
      </c>
      <c r="F6" s="16"/>
      <c r="G6" s="16"/>
      <c r="H6" s="16"/>
      <c r="I6" s="17">
        <v>415000</v>
      </c>
      <c r="J6" s="16">
        <v>2026</v>
      </c>
      <c r="K6" s="17" t="str">
        <f t="shared" si="0"/>
        <v/>
      </c>
      <c r="L6" s="17" t="str">
        <f t="shared" si="1"/>
        <v/>
      </c>
      <c r="M6" s="16" t="s">
        <v>447</v>
      </c>
      <c r="N6" s="16" t="s">
        <v>428</v>
      </c>
      <c r="O6" s="16" t="s">
        <v>322</v>
      </c>
      <c r="P6" s="18">
        <v>46149</v>
      </c>
      <c r="Q6" s="16" t="s">
        <v>345</v>
      </c>
      <c r="R6" s="16" t="s">
        <v>206</v>
      </c>
      <c r="S6" s="16"/>
      <c r="T6" s="16" t="s">
        <v>344</v>
      </c>
      <c r="U6" s="16" t="s">
        <v>344</v>
      </c>
      <c r="V6" s="16"/>
      <c r="W6" s="19">
        <v>0.6</v>
      </c>
      <c r="X6" s="16" t="s">
        <v>329</v>
      </c>
      <c r="Y6" s="16" t="s">
        <v>288</v>
      </c>
      <c r="Z6" s="16" t="s">
        <v>448</v>
      </c>
      <c r="AA6" s="16" t="s">
        <v>449</v>
      </c>
      <c r="AB6" s="16" t="s">
        <v>212</v>
      </c>
      <c r="AD6" s="12" t="s">
        <v>450</v>
      </c>
      <c r="AE6" s="12" t="s">
        <v>451</v>
      </c>
    </row>
    <row r="7" spans="1:34" ht="43.2" x14ac:dyDescent="0.3">
      <c r="A7" s="16" t="s">
        <v>348</v>
      </c>
      <c r="B7" s="16" t="s">
        <v>452</v>
      </c>
      <c r="C7" s="16" t="s">
        <v>344</v>
      </c>
      <c r="D7" s="16" t="s">
        <v>453</v>
      </c>
      <c r="E7" s="16" t="s">
        <v>454</v>
      </c>
      <c r="F7" s="16"/>
      <c r="G7" s="16"/>
      <c r="H7" s="16"/>
      <c r="I7" s="17">
        <v>335000</v>
      </c>
      <c r="J7" s="16">
        <v>2026</v>
      </c>
      <c r="K7" s="17" t="str">
        <f t="shared" si="0"/>
        <v/>
      </c>
      <c r="L7" s="17" t="str">
        <f t="shared" si="1"/>
        <v/>
      </c>
      <c r="M7" s="16" t="s">
        <v>455</v>
      </c>
      <c r="N7" s="16" t="s">
        <v>420</v>
      </c>
      <c r="O7" s="16" t="s">
        <v>355</v>
      </c>
      <c r="P7" s="18">
        <v>46149</v>
      </c>
      <c r="Q7" s="16" t="s">
        <v>353</v>
      </c>
      <c r="R7" s="16" t="s">
        <v>456</v>
      </c>
      <c r="S7" s="16"/>
      <c r="T7" s="16" t="s">
        <v>344</v>
      </c>
      <c r="U7" s="16" t="s">
        <v>344</v>
      </c>
      <c r="V7" s="16"/>
      <c r="W7" s="19">
        <v>0.55000000000000004</v>
      </c>
      <c r="X7" s="16" t="s">
        <v>329</v>
      </c>
      <c r="Y7" s="16" t="s">
        <v>288</v>
      </c>
      <c r="Z7" s="16" t="s">
        <v>457</v>
      </c>
      <c r="AA7" s="16" t="s">
        <v>458</v>
      </c>
      <c r="AB7" s="16" t="s">
        <v>212</v>
      </c>
      <c r="AD7" s="12" t="s">
        <v>459</v>
      </c>
      <c r="AE7" s="12" t="s">
        <v>460</v>
      </c>
    </row>
    <row r="8" spans="1:34" ht="43.2" x14ac:dyDescent="0.3">
      <c r="A8" s="16" t="s">
        <v>357</v>
      </c>
      <c r="B8" s="16" t="s">
        <v>461</v>
      </c>
      <c r="C8" s="16" t="s">
        <v>344</v>
      </c>
      <c r="D8" s="16" t="s">
        <v>344</v>
      </c>
      <c r="E8" s="16" t="s">
        <v>344</v>
      </c>
      <c r="F8" s="16"/>
      <c r="G8" s="16"/>
      <c r="H8" s="16"/>
      <c r="I8" s="17">
        <v>335000</v>
      </c>
      <c r="J8" s="16">
        <v>2026</v>
      </c>
      <c r="K8" s="17" t="str">
        <f t="shared" si="0"/>
        <v/>
      </c>
      <c r="L8" s="17" t="str">
        <f t="shared" si="1"/>
        <v/>
      </c>
      <c r="M8" s="16" t="s">
        <v>419</v>
      </c>
      <c r="N8" s="16" t="s">
        <v>420</v>
      </c>
      <c r="O8" s="16" t="s">
        <v>366</v>
      </c>
      <c r="P8" s="18">
        <v>46149</v>
      </c>
      <c r="Q8" s="16" t="s">
        <v>363</v>
      </c>
      <c r="R8" s="16" t="s">
        <v>462</v>
      </c>
      <c r="S8" s="16"/>
      <c r="T8" s="16" t="s">
        <v>344</v>
      </c>
      <c r="U8" s="16" t="s">
        <v>344</v>
      </c>
      <c r="V8" s="16"/>
      <c r="W8" s="19">
        <v>0.45</v>
      </c>
      <c r="X8" s="16" t="s">
        <v>364</v>
      </c>
      <c r="Y8" s="16" t="s">
        <v>288</v>
      </c>
      <c r="Z8" s="16" t="s">
        <v>463</v>
      </c>
      <c r="AA8" s="16" t="s">
        <v>464</v>
      </c>
      <c r="AB8" s="16" t="s">
        <v>288</v>
      </c>
    </row>
    <row r="9" spans="1:34" ht="43.2" x14ac:dyDescent="0.3">
      <c r="A9" s="16" t="s">
        <v>368</v>
      </c>
      <c r="B9" s="16" t="s">
        <v>465</v>
      </c>
      <c r="C9" s="16" t="s">
        <v>344</v>
      </c>
      <c r="D9" s="16" t="s">
        <v>466</v>
      </c>
      <c r="E9" s="16" t="s">
        <v>467</v>
      </c>
      <c r="F9" s="16"/>
      <c r="G9" s="16"/>
      <c r="H9" s="16"/>
      <c r="I9" s="17">
        <v>860000</v>
      </c>
      <c r="J9" s="16">
        <v>2026</v>
      </c>
      <c r="K9" s="17" t="str">
        <f t="shared" si="0"/>
        <v/>
      </c>
      <c r="L9" s="17" t="str">
        <f t="shared" si="1"/>
        <v/>
      </c>
      <c r="M9" s="16" t="s">
        <v>468</v>
      </c>
      <c r="N9" s="16" t="s">
        <v>420</v>
      </c>
      <c r="O9" s="16" t="s">
        <v>376</v>
      </c>
      <c r="P9" s="18">
        <v>46149</v>
      </c>
      <c r="Q9" s="16" t="s">
        <v>374</v>
      </c>
      <c r="R9" s="16" t="s">
        <v>206</v>
      </c>
      <c r="S9" s="16"/>
      <c r="T9" s="16" t="s">
        <v>211</v>
      </c>
      <c r="U9" s="16" t="s">
        <v>211</v>
      </c>
      <c r="V9" s="16"/>
      <c r="W9" s="19">
        <v>0.35</v>
      </c>
      <c r="X9" s="16" t="s">
        <v>364</v>
      </c>
      <c r="Y9" s="16" t="s">
        <v>288</v>
      </c>
      <c r="Z9" s="16" t="s">
        <v>469</v>
      </c>
      <c r="AA9" s="16" t="s">
        <v>470</v>
      </c>
      <c r="AB9" s="16" t="s">
        <v>288</v>
      </c>
    </row>
  </sheetData>
  <mergeCells count="1">
    <mergeCell ref="AD1:AH1"/>
  </mergeCells>
  <dataValidations count="3">
    <dataValidation type="list" sqref="M2:M9" xr:uid="{00000000-0002-0000-0600-000000000000}">
      <formula1>"Candidato / Ativo,Candidato / A validar,Candidato / Listagens individuais,Candidato / Estratégico,Ativo,Histórico"</formula1>
    </dataValidation>
    <dataValidation type="list" sqref="X2:X9" xr:uid="{00000000-0002-0000-0600-000001000000}">
      <formula1>"A · Premium ativo,B · Benchmark local,C · Histórico/secundário"</formula1>
    </dataValidation>
    <dataValidation type="list" sqref="AB2:AB9" xr:uid="{00000000-0002-0000-0600-000002000000}">
      <formula1>"Alta,Média,Baixa"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7"/>
  <sheetViews>
    <sheetView workbookViewId="0"/>
  </sheetViews>
  <sheetFormatPr defaultRowHeight="14.4" x14ac:dyDescent="0.3"/>
  <cols>
    <col min="1" max="1" width="12" customWidth="1"/>
    <col min="2" max="2" width="14" customWidth="1"/>
    <col min="3" max="3" width="18" customWidth="1"/>
    <col min="4" max="4" width="16" customWidth="1"/>
    <col min="5" max="5" width="22" customWidth="1"/>
    <col min="6" max="6" width="12" customWidth="1"/>
    <col min="7" max="9" width="13" customWidth="1"/>
    <col min="10" max="10" width="22" customWidth="1"/>
    <col min="11" max="11" width="42" customWidth="1"/>
    <col min="12" max="12" width="62" customWidth="1"/>
  </cols>
  <sheetData>
    <row r="1" spans="1:12" ht="28.8" x14ac:dyDescent="0.3">
      <c r="A1" s="20" t="s">
        <v>471</v>
      </c>
      <c r="B1" s="20" t="s">
        <v>191</v>
      </c>
      <c r="C1" s="20" t="s">
        <v>472</v>
      </c>
      <c r="D1" s="20" t="s">
        <v>294</v>
      </c>
      <c r="E1" s="20" t="s">
        <v>194</v>
      </c>
      <c r="F1" s="20" t="s">
        <v>473</v>
      </c>
      <c r="G1" s="20" t="s">
        <v>474</v>
      </c>
      <c r="H1" s="20" t="s">
        <v>475</v>
      </c>
      <c r="I1" s="20" t="s">
        <v>476</v>
      </c>
      <c r="J1" s="20" t="s">
        <v>477</v>
      </c>
      <c r="K1" s="20" t="s">
        <v>478</v>
      </c>
      <c r="L1" s="20" t="s">
        <v>192</v>
      </c>
    </row>
    <row r="2" spans="1:12" ht="28.8" x14ac:dyDescent="0.3">
      <c r="A2" s="12" t="s">
        <v>479</v>
      </c>
      <c r="B2" s="12" t="s">
        <v>420</v>
      </c>
      <c r="C2" s="12" t="s">
        <v>480</v>
      </c>
      <c r="D2" s="12" t="s">
        <v>481</v>
      </c>
      <c r="E2" s="12" t="s">
        <v>482</v>
      </c>
      <c r="F2" s="21">
        <v>3121</v>
      </c>
      <c r="G2" s="22">
        <v>5.0000000000000001E-3</v>
      </c>
      <c r="H2" s="22">
        <v>2.4E-2</v>
      </c>
      <c r="I2" s="22">
        <v>0.108</v>
      </c>
      <c r="J2" s="12" t="s">
        <v>483</v>
      </c>
      <c r="K2" s="12" t="s">
        <v>484</v>
      </c>
      <c r="L2" s="12" t="s">
        <v>485</v>
      </c>
    </row>
    <row r="3" spans="1:12" ht="28.8" x14ac:dyDescent="0.3">
      <c r="A3" s="12" t="s">
        <v>479</v>
      </c>
      <c r="B3" s="12" t="s">
        <v>420</v>
      </c>
      <c r="C3" s="12" t="s">
        <v>480</v>
      </c>
      <c r="D3" s="12" t="s">
        <v>486</v>
      </c>
      <c r="E3" s="12" t="s">
        <v>487</v>
      </c>
      <c r="F3" s="21">
        <v>4009</v>
      </c>
      <c r="G3" s="22">
        <v>5.0000000000000001E-3</v>
      </c>
      <c r="H3" s="22">
        <v>2.8000000000000001E-2</v>
      </c>
      <c r="I3" s="22">
        <v>0.109</v>
      </c>
      <c r="J3" s="12" t="s">
        <v>488</v>
      </c>
      <c r="K3" s="12" t="s">
        <v>489</v>
      </c>
      <c r="L3" s="12" t="s">
        <v>490</v>
      </c>
    </row>
    <row r="4" spans="1:12" ht="28.8" x14ac:dyDescent="0.3">
      <c r="A4" s="12" t="s">
        <v>479</v>
      </c>
      <c r="B4" s="12" t="s">
        <v>420</v>
      </c>
      <c r="C4" s="12" t="s">
        <v>480</v>
      </c>
      <c r="D4" s="12" t="s">
        <v>343</v>
      </c>
      <c r="E4" s="12" t="s">
        <v>491</v>
      </c>
      <c r="F4" s="21">
        <v>3261</v>
      </c>
      <c r="G4" s="22">
        <v>1.6E-2</v>
      </c>
      <c r="H4" s="22">
        <v>2.7E-2</v>
      </c>
      <c r="I4" s="22">
        <v>9.7000000000000003E-2</v>
      </c>
      <c r="J4" s="12" t="s">
        <v>492</v>
      </c>
      <c r="K4" s="12" t="s">
        <v>493</v>
      </c>
      <c r="L4" s="12" t="s">
        <v>494</v>
      </c>
    </row>
    <row r="5" spans="1:12" ht="43.2" x14ac:dyDescent="0.3">
      <c r="A5" s="12" t="s">
        <v>495</v>
      </c>
      <c r="B5" s="12" t="s">
        <v>496</v>
      </c>
      <c r="C5" s="12" t="s">
        <v>497</v>
      </c>
      <c r="D5" s="12" t="s">
        <v>481</v>
      </c>
      <c r="E5" s="12" t="s">
        <v>482</v>
      </c>
      <c r="F5" s="21">
        <v>2076</v>
      </c>
      <c r="G5" s="22"/>
      <c r="H5" s="22"/>
      <c r="I5" s="22">
        <v>0.16800000000000001</v>
      </c>
      <c r="J5" s="12" t="s">
        <v>498</v>
      </c>
      <c r="K5" s="12" t="s">
        <v>499</v>
      </c>
      <c r="L5" s="12" t="s">
        <v>500</v>
      </c>
    </row>
    <row r="6" spans="1:12" ht="43.2" x14ac:dyDescent="0.3">
      <c r="A6" s="12" t="s">
        <v>495</v>
      </c>
      <c r="B6" s="12" t="s">
        <v>496</v>
      </c>
      <c r="C6" s="12" t="s">
        <v>497</v>
      </c>
      <c r="D6" s="12" t="s">
        <v>486</v>
      </c>
      <c r="E6" s="12" t="s">
        <v>487</v>
      </c>
      <c r="F6" s="21">
        <v>3139</v>
      </c>
      <c r="G6" s="22"/>
      <c r="H6" s="22"/>
      <c r="I6" s="22"/>
      <c r="J6" s="12" t="s">
        <v>498</v>
      </c>
      <c r="K6" s="12" t="s">
        <v>501</v>
      </c>
      <c r="L6" s="12" t="s">
        <v>500</v>
      </c>
    </row>
    <row r="7" spans="1:12" ht="43.2" x14ac:dyDescent="0.3">
      <c r="A7" s="12" t="s">
        <v>502</v>
      </c>
      <c r="B7" s="12" t="s">
        <v>496</v>
      </c>
      <c r="C7" s="12" t="s">
        <v>497</v>
      </c>
      <c r="D7" s="12" t="s">
        <v>481</v>
      </c>
      <c r="E7" s="12" t="s">
        <v>482</v>
      </c>
      <c r="F7" s="21">
        <v>2198</v>
      </c>
      <c r="G7" s="22"/>
      <c r="H7" s="22"/>
      <c r="I7" s="22">
        <v>0.17499999999999999</v>
      </c>
      <c r="J7" s="12" t="s">
        <v>503</v>
      </c>
      <c r="K7" s="12" t="s">
        <v>504</v>
      </c>
      <c r="L7" s="12" t="s">
        <v>505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6"/>
  <sheetViews>
    <sheetView workbookViewId="0"/>
  </sheetViews>
  <sheetFormatPr defaultRowHeight="14.4" x14ac:dyDescent="0.3"/>
  <cols>
    <col min="1" max="1" width="8" customWidth="1"/>
    <col min="2" max="2" width="18" customWidth="1"/>
    <col min="3" max="3" width="55" customWidth="1"/>
    <col min="4" max="4" width="48" customWidth="1"/>
    <col min="6" max="6" width="18" customWidth="1"/>
    <col min="7" max="7" width="42" customWidth="1"/>
    <col min="8" max="8" width="62" customWidth="1"/>
  </cols>
  <sheetData>
    <row r="1" spans="1:8" ht="22.35" customHeight="1" x14ac:dyDescent="0.3">
      <c r="A1" s="30" t="s">
        <v>506</v>
      </c>
      <c r="B1" s="28"/>
      <c r="C1" s="28"/>
      <c r="D1" s="28"/>
      <c r="E1" s="28"/>
      <c r="F1" s="28"/>
      <c r="G1" s="28"/>
      <c r="H1" s="28"/>
    </row>
    <row r="3" spans="1:8" ht="28.8" x14ac:dyDescent="0.3">
      <c r="A3" s="20" t="s">
        <v>507</v>
      </c>
      <c r="B3" s="20" t="s">
        <v>241</v>
      </c>
      <c r="C3" s="20" t="s">
        <v>508</v>
      </c>
      <c r="D3" s="20" t="s">
        <v>509</v>
      </c>
      <c r="F3" s="32" t="s">
        <v>510</v>
      </c>
      <c r="G3" s="28"/>
      <c r="H3" s="28"/>
    </row>
    <row r="4" spans="1:8" ht="72" x14ac:dyDescent="0.3">
      <c r="A4" s="23" t="s">
        <v>511</v>
      </c>
      <c r="B4" s="21">
        <v>4025.4237288135591</v>
      </c>
      <c r="C4" s="12" t="s">
        <v>512</v>
      </c>
      <c r="D4" s="12" t="s">
        <v>513</v>
      </c>
      <c r="F4" s="12" t="s">
        <v>420</v>
      </c>
      <c r="G4" s="12" t="s">
        <v>514</v>
      </c>
      <c r="H4" s="12" t="s">
        <v>485</v>
      </c>
    </row>
    <row r="5" spans="1:8" ht="86.4" x14ac:dyDescent="0.3">
      <c r="A5" s="23" t="s">
        <v>515</v>
      </c>
      <c r="B5" s="21">
        <v>4294.9522246887364</v>
      </c>
      <c r="C5" s="12" t="s">
        <v>516</v>
      </c>
      <c r="D5" s="12" t="s">
        <v>517</v>
      </c>
      <c r="F5" s="12" t="s">
        <v>518</v>
      </c>
      <c r="G5" s="12" t="s">
        <v>519</v>
      </c>
      <c r="H5" s="12" t="s">
        <v>494</v>
      </c>
    </row>
    <row r="6" spans="1:8" ht="57.6" x14ac:dyDescent="0.3">
      <c r="A6" s="23" t="s">
        <v>520</v>
      </c>
      <c r="B6" s="21" t="e">
        <f ca="1">_xludf.XLOOKUP("Olhão",Benchmark_Mercado!$D$2:$D$7,Benchmark_Mercado!$F$2:$F$7)</f>
        <v>#NAME?</v>
      </c>
      <c r="C6" s="12" t="s">
        <v>521</v>
      </c>
      <c r="D6" s="12" t="s">
        <v>522</v>
      </c>
      <c r="F6" s="12" t="s">
        <v>523</v>
      </c>
      <c r="G6" s="12" t="s">
        <v>524</v>
      </c>
      <c r="H6" s="12" t="s">
        <v>490</v>
      </c>
    </row>
    <row r="7" spans="1:8" ht="57.6" x14ac:dyDescent="0.3">
      <c r="A7" s="23" t="s">
        <v>525</v>
      </c>
      <c r="B7" s="21" t="e">
        <f ca="1">_xludf.XLOOKUP("Algarve",Benchmark_Mercado!$D$2:$D$7,Benchmark_Mercado!$F$2:$F$7)</f>
        <v>#NAME?</v>
      </c>
      <c r="C7" s="12" t="s">
        <v>521</v>
      </c>
      <c r="D7" s="12" t="s">
        <v>526</v>
      </c>
      <c r="F7" s="12" t="s">
        <v>496</v>
      </c>
      <c r="G7" s="12" t="s">
        <v>527</v>
      </c>
      <c r="H7" s="12" t="s">
        <v>500</v>
      </c>
    </row>
    <row r="8" spans="1:8" ht="57.6" x14ac:dyDescent="0.3">
      <c r="A8" s="23" t="s">
        <v>528</v>
      </c>
      <c r="B8" s="21" t="e">
        <f ca="1">_xludf.XLOOKUP("Portugal",Benchmark_Mercado!$D$2:$D$7,Benchmark_Mercado!$F$2:$F$7)</f>
        <v>#NAME?</v>
      </c>
      <c r="C8" s="12" t="s">
        <v>521</v>
      </c>
      <c r="D8" s="12" t="s">
        <v>529</v>
      </c>
    </row>
    <row r="9" spans="1:8" ht="43.2" x14ac:dyDescent="0.3">
      <c r="A9" s="23" t="s">
        <v>530</v>
      </c>
      <c r="B9" s="22" t="e">
        <f ca="1">B4/B6-1</f>
        <v>#NAME?</v>
      </c>
      <c r="C9" s="12" t="s">
        <v>531</v>
      </c>
      <c r="D9" s="12" t="s">
        <v>532</v>
      </c>
    </row>
    <row r="10" spans="1:8" ht="43.2" x14ac:dyDescent="0.3">
      <c r="A10" s="23" t="s">
        <v>533</v>
      </c>
      <c r="B10" s="22" t="e">
        <f ca="1">B4/B7-1</f>
        <v>#NAME?</v>
      </c>
      <c r="C10" s="12" t="s">
        <v>534</v>
      </c>
      <c r="D10" s="12" t="s">
        <v>535</v>
      </c>
    </row>
    <row r="11" spans="1:8" ht="57.6" x14ac:dyDescent="0.3">
      <c r="A11" s="23" t="s">
        <v>536</v>
      </c>
      <c r="B11" s="22" t="e">
        <f ca="1">B4/B8-1</f>
        <v>#NAME?</v>
      </c>
      <c r="C11" s="12" t="s">
        <v>537</v>
      </c>
      <c r="D11" s="12" t="s">
        <v>538</v>
      </c>
    </row>
    <row r="13" spans="1:8" x14ac:dyDescent="0.3">
      <c r="A13" s="31" t="s">
        <v>539</v>
      </c>
      <c r="B13" s="28"/>
      <c r="C13" s="28"/>
      <c r="D13" s="28"/>
      <c r="E13" s="28"/>
      <c r="F13" s="28"/>
      <c r="G13" s="28"/>
      <c r="H13" s="28"/>
    </row>
    <row r="14" spans="1:8" ht="72" x14ac:dyDescent="0.3">
      <c r="A14" s="12" t="s">
        <v>423</v>
      </c>
      <c r="B14" s="12" t="s">
        <v>540</v>
      </c>
      <c r="C14" s="12" t="s">
        <v>541</v>
      </c>
    </row>
    <row r="15" spans="1:8" ht="43.2" x14ac:dyDescent="0.3">
      <c r="A15" s="12" t="s">
        <v>431</v>
      </c>
      <c r="B15" s="12" t="s">
        <v>542</v>
      </c>
      <c r="C15" s="12" t="s">
        <v>543</v>
      </c>
    </row>
    <row r="16" spans="1:8" ht="43.2" x14ac:dyDescent="0.3">
      <c r="A16" s="12" t="s">
        <v>437</v>
      </c>
      <c r="B16" s="12" t="s">
        <v>544</v>
      </c>
      <c r="C16" s="12" t="s">
        <v>545</v>
      </c>
    </row>
    <row r="17" spans="1:4" ht="43.2" x14ac:dyDescent="0.3">
      <c r="A17" s="12" t="s">
        <v>444</v>
      </c>
      <c r="B17" s="12" t="s">
        <v>546</v>
      </c>
      <c r="C17" s="12" t="s">
        <v>547</v>
      </c>
    </row>
    <row r="18" spans="1:4" ht="28.8" x14ac:dyDescent="0.3">
      <c r="A18" s="12" t="s">
        <v>450</v>
      </c>
      <c r="B18" s="12" t="s">
        <v>548</v>
      </c>
      <c r="C18" s="12" t="s">
        <v>549</v>
      </c>
    </row>
    <row r="21" spans="1:4" x14ac:dyDescent="0.3">
      <c r="A21" s="33" t="s">
        <v>550</v>
      </c>
      <c r="B21" s="28"/>
      <c r="C21" s="28"/>
      <c r="D21" s="28"/>
    </row>
    <row r="22" spans="1:4" ht="43.2" x14ac:dyDescent="0.3">
      <c r="A22" s="12" t="s">
        <v>551</v>
      </c>
      <c r="B22" s="12">
        <v>25</v>
      </c>
      <c r="C22" s="12" t="s">
        <v>552</v>
      </c>
      <c r="D22" s="12" t="s">
        <v>553</v>
      </c>
    </row>
    <row r="23" spans="1:4" ht="57.6" x14ac:dyDescent="0.3">
      <c r="A23" s="12" t="s">
        <v>554</v>
      </c>
      <c r="B23" s="21">
        <f>MEDIAN(Saramago_2024_Convertido!$L$2:$L$26)</f>
        <v>3486.6468842729969</v>
      </c>
      <c r="C23" s="12" t="s">
        <v>555</v>
      </c>
      <c r="D23" s="12" t="s">
        <v>556</v>
      </c>
    </row>
    <row r="24" spans="1:4" x14ac:dyDescent="0.3">
      <c r="A24" s="12" t="s">
        <v>190</v>
      </c>
      <c r="B24" s="12" t="s">
        <v>210</v>
      </c>
      <c r="C24" s="12" t="s">
        <v>557</v>
      </c>
      <c r="D24" s="12" t="s">
        <v>558</v>
      </c>
    </row>
    <row r="25" spans="1:4" ht="43.2" x14ac:dyDescent="0.3">
      <c r="A25" s="12" t="s">
        <v>200</v>
      </c>
      <c r="B25" s="14">
        <v>0.45</v>
      </c>
      <c r="C25" s="12" t="s">
        <v>559</v>
      </c>
      <c r="D25" s="12" t="s">
        <v>560</v>
      </c>
    </row>
    <row r="26" spans="1:4" ht="28.8" x14ac:dyDescent="0.3">
      <c r="A26" s="12" t="s">
        <v>561</v>
      </c>
      <c r="B26" s="12" t="s">
        <v>562</v>
      </c>
      <c r="C26" s="12" t="s">
        <v>563</v>
      </c>
      <c r="D26" s="12" t="s">
        <v>564</v>
      </c>
    </row>
  </sheetData>
  <mergeCells count="4">
    <mergeCell ref="A1:H1"/>
    <mergeCell ref="A13:H13"/>
    <mergeCell ref="F3:H3"/>
    <mergeCell ref="A21:D21"/>
  </mergeCells>
  <conditionalFormatting sqref="B9:B11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26"/>
  <sheetViews>
    <sheetView workbookViewId="0"/>
  </sheetViews>
  <sheetFormatPr defaultRowHeight="14.4" x14ac:dyDescent="0.3"/>
  <cols>
    <col min="1" max="1" width="24" customWidth="1"/>
    <col min="2" max="4" width="12" customWidth="1"/>
    <col min="5" max="5" width="10" customWidth="1"/>
    <col min="6" max="13" width="14" customWidth="1"/>
    <col min="14" max="14" width="48" customWidth="1"/>
  </cols>
  <sheetData>
    <row r="1" spans="1:14" ht="43.2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26" t="s">
        <v>565</v>
      </c>
      <c r="L1" s="26" t="s">
        <v>566</v>
      </c>
      <c r="M1" s="26" t="s">
        <v>200</v>
      </c>
      <c r="N1" s="26" t="s">
        <v>478</v>
      </c>
    </row>
    <row r="2" spans="1:14" ht="43.2" x14ac:dyDescent="0.3">
      <c r="A2" s="12" t="s">
        <v>207</v>
      </c>
      <c r="B2" s="12" t="s">
        <v>208</v>
      </c>
      <c r="C2" s="12">
        <v>0</v>
      </c>
      <c r="D2" s="12" t="s">
        <v>15</v>
      </c>
      <c r="E2" s="12" t="s">
        <v>209</v>
      </c>
      <c r="F2" s="24">
        <v>91.55</v>
      </c>
      <c r="G2" s="24">
        <v>38.85</v>
      </c>
      <c r="H2" s="24">
        <v>130.4</v>
      </c>
      <c r="I2" s="25">
        <v>400000</v>
      </c>
      <c r="J2" s="24">
        <v>2024</v>
      </c>
      <c r="K2" s="24">
        <v>4369.1971600218458</v>
      </c>
      <c r="L2" s="24">
        <v>3067.4846625766868</v>
      </c>
      <c r="M2" s="14">
        <v>0.45</v>
      </c>
      <c r="N2" s="12" t="s">
        <v>213</v>
      </c>
    </row>
    <row r="3" spans="1:14" ht="43.2" x14ac:dyDescent="0.3">
      <c r="A3" s="12" t="s">
        <v>207</v>
      </c>
      <c r="B3" s="12" t="s">
        <v>215</v>
      </c>
      <c r="C3" s="12">
        <v>0</v>
      </c>
      <c r="D3" s="12" t="s">
        <v>47</v>
      </c>
      <c r="E3" s="12" t="s">
        <v>209</v>
      </c>
      <c r="F3" s="24">
        <v>110.1</v>
      </c>
      <c r="G3" s="24">
        <v>44.2</v>
      </c>
      <c r="H3" s="24">
        <v>154.30000000000001</v>
      </c>
      <c r="I3" s="25">
        <v>500000</v>
      </c>
      <c r="J3" s="24">
        <v>2024</v>
      </c>
      <c r="K3" s="24">
        <v>4541.3260672116257</v>
      </c>
      <c r="L3" s="24">
        <v>3240.4406999351909</v>
      </c>
      <c r="M3" s="14">
        <v>0.45</v>
      </c>
      <c r="N3" s="12" t="s">
        <v>213</v>
      </c>
    </row>
    <row r="4" spans="1:14" ht="43.2" x14ac:dyDescent="0.3">
      <c r="A4" s="12" t="s">
        <v>207</v>
      </c>
      <c r="B4" s="12" t="s">
        <v>216</v>
      </c>
      <c r="C4" s="12">
        <v>0</v>
      </c>
      <c r="D4" s="12" t="s">
        <v>47</v>
      </c>
      <c r="E4" s="12" t="s">
        <v>209</v>
      </c>
      <c r="F4" s="24">
        <v>111.1</v>
      </c>
      <c r="G4" s="24">
        <v>44.2</v>
      </c>
      <c r="H4" s="24">
        <v>155.30000000000001</v>
      </c>
      <c r="I4" s="25">
        <v>490000</v>
      </c>
      <c r="J4" s="24">
        <v>2024</v>
      </c>
      <c r="K4" s="24">
        <v>4410.441044104411</v>
      </c>
      <c r="L4" s="24">
        <v>3155.1835157759174</v>
      </c>
      <c r="M4" s="14">
        <v>0.45</v>
      </c>
      <c r="N4" s="12" t="s">
        <v>213</v>
      </c>
    </row>
    <row r="5" spans="1:14" ht="43.2" x14ac:dyDescent="0.3">
      <c r="A5" s="12" t="s">
        <v>207</v>
      </c>
      <c r="B5" s="12" t="s">
        <v>217</v>
      </c>
      <c r="C5" s="12">
        <v>0</v>
      </c>
      <c r="D5" s="12" t="s">
        <v>47</v>
      </c>
      <c r="E5" s="12" t="s">
        <v>209</v>
      </c>
      <c r="F5" s="24">
        <v>111.1</v>
      </c>
      <c r="G5" s="24">
        <v>44.2</v>
      </c>
      <c r="H5" s="24">
        <v>155.30000000000001</v>
      </c>
      <c r="I5" s="25">
        <v>500000</v>
      </c>
      <c r="J5" s="24">
        <v>2024</v>
      </c>
      <c r="K5" s="24">
        <v>4500.4500450045007</v>
      </c>
      <c r="L5" s="24">
        <v>3219.5750160978751</v>
      </c>
      <c r="M5" s="14">
        <v>0.45</v>
      </c>
      <c r="N5" s="12" t="s">
        <v>213</v>
      </c>
    </row>
    <row r="6" spans="1:14" ht="43.2" x14ac:dyDescent="0.3">
      <c r="A6" s="12" t="s">
        <v>207</v>
      </c>
      <c r="B6" s="12" t="s">
        <v>218</v>
      </c>
      <c r="C6" s="12">
        <v>0</v>
      </c>
      <c r="D6" s="12" t="s">
        <v>15</v>
      </c>
      <c r="E6" s="12" t="s">
        <v>209</v>
      </c>
      <c r="F6" s="24">
        <v>91.55</v>
      </c>
      <c r="G6" s="24">
        <v>38.6</v>
      </c>
      <c r="H6" s="24">
        <v>130.15</v>
      </c>
      <c r="I6" s="25">
        <v>400000</v>
      </c>
      <c r="J6" s="24">
        <v>2024</v>
      </c>
      <c r="K6" s="24">
        <v>4369.1971600218458</v>
      </c>
      <c r="L6" s="24">
        <v>3073.3768728390319</v>
      </c>
      <c r="M6" s="14">
        <v>0.45</v>
      </c>
      <c r="N6" s="12" t="s">
        <v>213</v>
      </c>
    </row>
    <row r="7" spans="1:14" ht="43.2" x14ac:dyDescent="0.3">
      <c r="A7" s="12" t="s">
        <v>207</v>
      </c>
      <c r="B7" s="12" t="s">
        <v>219</v>
      </c>
      <c r="C7" s="12">
        <v>1</v>
      </c>
      <c r="D7" s="12" t="s">
        <v>15</v>
      </c>
      <c r="E7" s="12" t="s">
        <v>209</v>
      </c>
      <c r="F7" s="24">
        <v>101.2</v>
      </c>
      <c r="G7" s="24">
        <v>21.9</v>
      </c>
      <c r="H7" s="24">
        <v>123.1</v>
      </c>
      <c r="I7" s="25">
        <v>400000</v>
      </c>
      <c r="J7" s="24">
        <v>2024</v>
      </c>
      <c r="K7" s="24">
        <v>3952.569169960474</v>
      </c>
      <c r="L7" s="24">
        <v>3249.3907392363935</v>
      </c>
      <c r="M7" s="14">
        <v>0.45</v>
      </c>
      <c r="N7" s="12" t="s">
        <v>213</v>
      </c>
    </row>
    <row r="8" spans="1:14" ht="43.2" x14ac:dyDescent="0.3">
      <c r="A8" s="12" t="s">
        <v>207</v>
      </c>
      <c r="B8" s="12" t="s">
        <v>220</v>
      </c>
      <c r="C8" s="12">
        <v>1</v>
      </c>
      <c r="D8" s="12" t="s">
        <v>25</v>
      </c>
      <c r="E8" s="12" t="s">
        <v>209</v>
      </c>
      <c r="F8" s="24">
        <v>57</v>
      </c>
      <c r="G8" s="24">
        <v>9.85</v>
      </c>
      <c r="H8" s="24">
        <v>66.849999999999994</v>
      </c>
      <c r="I8" s="25">
        <v>280000</v>
      </c>
      <c r="J8" s="24">
        <v>2024</v>
      </c>
      <c r="K8" s="24">
        <v>4912.2807017543855</v>
      </c>
      <c r="L8" s="24">
        <v>4188.4816753926707</v>
      </c>
      <c r="M8" s="14">
        <v>0.45</v>
      </c>
      <c r="N8" s="12" t="s">
        <v>213</v>
      </c>
    </row>
    <row r="9" spans="1:14" ht="43.2" x14ac:dyDescent="0.3">
      <c r="A9" s="12" t="s">
        <v>207</v>
      </c>
      <c r="B9" s="12" t="s">
        <v>221</v>
      </c>
      <c r="C9" s="12">
        <v>1</v>
      </c>
      <c r="D9" s="12" t="s">
        <v>25</v>
      </c>
      <c r="E9" s="12" t="s">
        <v>209</v>
      </c>
      <c r="F9" s="24">
        <v>57</v>
      </c>
      <c r="G9" s="24">
        <v>9</v>
      </c>
      <c r="H9" s="24">
        <v>66</v>
      </c>
      <c r="I9" s="25">
        <v>275000</v>
      </c>
      <c r="J9" s="24">
        <v>2024</v>
      </c>
      <c r="K9" s="24">
        <v>4824.5614035087719</v>
      </c>
      <c r="L9" s="24">
        <v>4166.666666666667</v>
      </c>
      <c r="M9" s="14">
        <v>0.45</v>
      </c>
      <c r="N9" s="12" t="s">
        <v>213</v>
      </c>
    </row>
    <row r="10" spans="1:14" ht="43.2" x14ac:dyDescent="0.3">
      <c r="A10" s="12" t="s">
        <v>207</v>
      </c>
      <c r="B10" s="12" t="s">
        <v>222</v>
      </c>
      <c r="C10" s="12">
        <v>1</v>
      </c>
      <c r="D10" s="12" t="s">
        <v>15</v>
      </c>
      <c r="E10" s="12" t="s">
        <v>209</v>
      </c>
      <c r="F10" s="24">
        <v>99.6</v>
      </c>
      <c r="G10" s="24">
        <v>18.45</v>
      </c>
      <c r="H10" s="24">
        <v>118.05</v>
      </c>
      <c r="I10" s="25">
        <v>380000</v>
      </c>
      <c r="J10" s="24">
        <v>2024</v>
      </c>
      <c r="K10" s="24">
        <v>3815.2610441767069</v>
      </c>
      <c r="L10" s="24">
        <v>3218.9750105887338</v>
      </c>
      <c r="M10" s="14">
        <v>0.45</v>
      </c>
      <c r="N10" s="12" t="s">
        <v>213</v>
      </c>
    </row>
    <row r="11" spans="1:14" ht="43.2" x14ac:dyDescent="0.3">
      <c r="A11" s="12" t="s">
        <v>207</v>
      </c>
      <c r="B11" s="12" t="s">
        <v>223</v>
      </c>
      <c r="C11" s="12">
        <v>1</v>
      </c>
      <c r="D11" s="12" t="s">
        <v>25</v>
      </c>
      <c r="E11" s="12" t="s">
        <v>209</v>
      </c>
      <c r="F11" s="24">
        <v>57</v>
      </c>
      <c r="G11" s="24">
        <v>9.9499999999999993</v>
      </c>
      <c r="H11" s="24">
        <v>66.95</v>
      </c>
      <c r="I11" s="25">
        <v>275000</v>
      </c>
      <c r="J11" s="24">
        <v>2024</v>
      </c>
      <c r="K11" s="24">
        <v>4824.5614035087719</v>
      </c>
      <c r="L11" s="24">
        <v>4107.5429424943986</v>
      </c>
      <c r="M11" s="14">
        <v>0.45</v>
      </c>
      <c r="N11" s="12" t="s">
        <v>213</v>
      </c>
    </row>
    <row r="12" spans="1:14" ht="43.2" x14ac:dyDescent="0.3">
      <c r="A12" s="12" t="s">
        <v>207</v>
      </c>
      <c r="B12" s="12" t="s">
        <v>224</v>
      </c>
      <c r="C12" s="12">
        <v>1</v>
      </c>
      <c r="D12" s="12" t="s">
        <v>15</v>
      </c>
      <c r="E12" s="12" t="s">
        <v>209</v>
      </c>
      <c r="F12" s="24">
        <v>101.2</v>
      </c>
      <c r="G12" s="24">
        <v>31.9</v>
      </c>
      <c r="H12" s="24">
        <v>133.1</v>
      </c>
      <c r="I12" s="25">
        <v>385000</v>
      </c>
      <c r="J12" s="24">
        <v>2024</v>
      </c>
      <c r="K12" s="24">
        <v>3804.3478260869565</v>
      </c>
      <c r="L12" s="24">
        <v>2892.5619834710747</v>
      </c>
      <c r="M12" s="14">
        <v>0.45</v>
      </c>
      <c r="N12" s="12" t="s">
        <v>213</v>
      </c>
    </row>
    <row r="13" spans="1:14" ht="43.2" x14ac:dyDescent="0.3">
      <c r="A13" s="12" t="s">
        <v>207</v>
      </c>
      <c r="B13" s="12" t="s">
        <v>225</v>
      </c>
      <c r="C13" s="12">
        <v>2</v>
      </c>
      <c r="D13" s="12" t="s">
        <v>15</v>
      </c>
      <c r="E13" s="12" t="s">
        <v>209</v>
      </c>
      <c r="F13" s="24">
        <v>101.2</v>
      </c>
      <c r="G13" s="24">
        <v>22.55</v>
      </c>
      <c r="H13" s="24">
        <v>123.75</v>
      </c>
      <c r="I13" s="25">
        <v>400000</v>
      </c>
      <c r="J13" s="24">
        <v>2024</v>
      </c>
      <c r="K13" s="24">
        <v>3952.569169960474</v>
      </c>
      <c r="L13" s="24">
        <v>3232.3232323232323</v>
      </c>
      <c r="M13" s="14">
        <v>0.45</v>
      </c>
      <c r="N13" s="12" t="s">
        <v>213</v>
      </c>
    </row>
    <row r="14" spans="1:14" ht="43.2" x14ac:dyDescent="0.3">
      <c r="A14" s="12" t="s">
        <v>207</v>
      </c>
      <c r="B14" s="12" t="s">
        <v>226</v>
      </c>
      <c r="C14" s="12">
        <v>2</v>
      </c>
      <c r="D14" s="12" t="s">
        <v>25</v>
      </c>
      <c r="E14" s="12" t="s">
        <v>209</v>
      </c>
      <c r="F14" s="24">
        <v>57</v>
      </c>
      <c r="G14" s="24">
        <v>9</v>
      </c>
      <c r="H14" s="24">
        <v>66</v>
      </c>
      <c r="I14" s="25">
        <v>285000</v>
      </c>
      <c r="J14" s="24">
        <v>2024</v>
      </c>
      <c r="K14" s="24">
        <v>5000</v>
      </c>
      <c r="L14" s="24">
        <v>4318.181818181818</v>
      </c>
      <c r="M14" s="14">
        <v>0.45</v>
      </c>
      <c r="N14" s="12" t="s">
        <v>213</v>
      </c>
    </row>
    <row r="15" spans="1:14" ht="43.2" x14ac:dyDescent="0.3">
      <c r="A15" s="12" t="s">
        <v>207</v>
      </c>
      <c r="B15" s="12" t="s">
        <v>227</v>
      </c>
      <c r="C15" s="12">
        <v>2</v>
      </c>
      <c r="D15" s="12" t="s">
        <v>25</v>
      </c>
      <c r="E15" s="12" t="s">
        <v>209</v>
      </c>
      <c r="F15" s="24">
        <v>57</v>
      </c>
      <c r="G15" s="24">
        <v>9.85</v>
      </c>
      <c r="H15" s="24">
        <v>66.849999999999994</v>
      </c>
      <c r="I15" s="25">
        <v>290000</v>
      </c>
      <c r="J15" s="24">
        <v>2024</v>
      </c>
      <c r="K15" s="24">
        <v>5087.7192982456145</v>
      </c>
      <c r="L15" s="24">
        <v>4338.0703066566948</v>
      </c>
      <c r="M15" s="14">
        <v>0.45</v>
      </c>
      <c r="N15" s="12" t="s">
        <v>213</v>
      </c>
    </row>
    <row r="16" spans="1:14" ht="43.2" x14ac:dyDescent="0.3">
      <c r="A16" s="12" t="s">
        <v>207</v>
      </c>
      <c r="B16" s="12" t="s">
        <v>228</v>
      </c>
      <c r="C16" s="12">
        <v>2</v>
      </c>
      <c r="D16" s="12" t="s">
        <v>15</v>
      </c>
      <c r="E16" s="12" t="s">
        <v>209</v>
      </c>
      <c r="F16" s="24">
        <v>99.6</v>
      </c>
      <c r="G16" s="24">
        <v>19.600000000000001</v>
      </c>
      <c r="H16" s="24">
        <v>119.19999999999999</v>
      </c>
      <c r="I16" s="25">
        <v>405000</v>
      </c>
      <c r="J16" s="24">
        <v>2024</v>
      </c>
      <c r="K16" s="24">
        <v>4066.265060240964</v>
      </c>
      <c r="L16" s="24">
        <v>3397.6510067114095</v>
      </c>
      <c r="M16" s="14">
        <v>0.45</v>
      </c>
      <c r="N16" s="12" t="s">
        <v>213</v>
      </c>
    </row>
    <row r="17" spans="1:14" ht="43.2" x14ac:dyDescent="0.3">
      <c r="A17" s="12" t="s">
        <v>207</v>
      </c>
      <c r="B17" s="12" t="s">
        <v>229</v>
      </c>
      <c r="C17" s="12">
        <v>2</v>
      </c>
      <c r="D17" s="12" t="s">
        <v>25</v>
      </c>
      <c r="E17" s="12" t="s">
        <v>209</v>
      </c>
      <c r="F17" s="24">
        <v>55.85</v>
      </c>
      <c r="G17" s="24">
        <v>11.1</v>
      </c>
      <c r="H17" s="24">
        <v>66.95</v>
      </c>
      <c r="I17" s="25">
        <v>215000</v>
      </c>
      <c r="J17" s="24">
        <v>2024</v>
      </c>
      <c r="K17" s="24">
        <v>3849.5971351835274</v>
      </c>
      <c r="L17" s="24">
        <v>3211.3517550410752</v>
      </c>
      <c r="M17" s="14">
        <v>0.45</v>
      </c>
      <c r="N17" s="12" t="s">
        <v>213</v>
      </c>
    </row>
    <row r="18" spans="1:14" ht="43.2" x14ac:dyDescent="0.3">
      <c r="A18" s="12" t="s">
        <v>207</v>
      </c>
      <c r="B18" s="12" t="s">
        <v>230</v>
      </c>
      <c r="C18" s="12">
        <v>3</v>
      </c>
      <c r="D18" s="12" t="s">
        <v>15</v>
      </c>
      <c r="E18" s="12" t="s">
        <v>209</v>
      </c>
      <c r="F18" s="24">
        <v>101.2</v>
      </c>
      <c r="G18" s="24">
        <v>21.9</v>
      </c>
      <c r="H18" s="24">
        <v>123.1</v>
      </c>
      <c r="I18" s="25">
        <v>415000</v>
      </c>
      <c r="J18" s="24">
        <v>2024</v>
      </c>
      <c r="K18" s="24">
        <v>4100.790513833992</v>
      </c>
      <c r="L18" s="24">
        <v>3371.2428919577583</v>
      </c>
      <c r="M18" s="14">
        <v>0.45</v>
      </c>
      <c r="N18" s="12" t="s">
        <v>213</v>
      </c>
    </row>
    <row r="19" spans="1:14" ht="43.2" x14ac:dyDescent="0.3">
      <c r="A19" s="12" t="s">
        <v>207</v>
      </c>
      <c r="B19" s="12" t="s">
        <v>231</v>
      </c>
      <c r="C19" s="12">
        <v>3</v>
      </c>
      <c r="D19" s="12" t="s">
        <v>25</v>
      </c>
      <c r="E19" s="12" t="s">
        <v>209</v>
      </c>
      <c r="F19" s="24">
        <v>55.85</v>
      </c>
      <c r="G19" s="24">
        <v>11.1</v>
      </c>
      <c r="H19" s="24">
        <v>66.95</v>
      </c>
      <c r="I19" s="25">
        <v>235000</v>
      </c>
      <c r="J19" s="24">
        <v>2024</v>
      </c>
      <c r="K19" s="24">
        <v>4207.6991942703671</v>
      </c>
      <c r="L19" s="24">
        <v>3510.0821508588497</v>
      </c>
      <c r="M19" s="14">
        <v>0.45</v>
      </c>
      <c r="N19" s="12" t="s">
        <v>213</v>
      </c>
    </row>
    <row r="20" spans="1:14" ht="43.2" x14ac:dyDescent="0.3">
      <c r="A20" s="12" t="s">
        <v>207</v>
      </c>
      <c r="B20" s="12" t="s">
        <v>232</v>
      </c>
      <c r="C20" s="12">
        <v>3</v>
      </c>
      <c r="D20" s="12" t="s">
        <v>25</v>
      </c>
      <c r="E20" s="12" t="s">
        <v>209</v>
      </c>
      <c r="F20" s="24">
        <v>57</v>
      </c>
      <c r="G20" s="24">
        <v>9.85</v>
      </c>
      <c r="H20" s="24">
        <v>66.849999999999994</v>
      </c>
      <c r="I20" s="25">
        <v>295000</v>
      </c>
      <c r="J20" s="24">
        <v>2024</v>
      </c>
      <c r="K20" s="24">
        <v>5175.4385964912281</v>
      </c>
      <c r="L20" s="24">
        <v>4412.8646222887064</v>
      </c>
      <c r="M20" s="14">
        <v>0.45</v>
      </c>
      <c r="N20" s="12" t="s">
        <v>213</v>
      </c>
    </row>
    <row r="21" spans="1:14" ht="43.2" x14ac:dyDescent="0.3">
      <c r="A21" s="12" t="s">
        <v>207</v>
      </c>
      <c r="B21" s="12" t="s">
        <v>233</v>
      </c>
      <c r="C21" s="12">
        <v>3</v>
      </c>
      <c r="D21" s="12" t="s">
        <v>25</v>
      </c>
      <c r="E21" s="12" t="s">
        <v>209</v>
      </c>
      <c r="F21" s="24">
        <v>55.85</v>
      </c>
      <c r="G21" s="24">
        <v>11.55</v>
      </c>
      <c r="H21" s="24">
        <v>67.400000000000006</v>
      </c>
      <c r="I21" s="25">
        <v>235000</v>
      </c>
      <c r="J21" s="24">
        <v>2024</v>
      </c>
      <c r="K21" s="24">
        <v>4207.6991942703671</v>
      </c>
      <c r="L21" s="24">
        <v>3486.6468842729969</v>
      </c>
      <c r="M21" s="14">
        <v>0.45</v>
      </c>
      <c r="N21" s="12" t="s">
        <v>213</v>
      </c>
    </row>
    <row r="22" spans="1:14" ht="43.2" x14ac:dyDescent="0.3">
      <c r="A22" s="12" t="s">
        <v>207</v>
      </c>
      <c r="B22" s="12" t="s">
        <v>234</v>
      </c>
      <c r="C22" s="12">
        <v>3</v>
      </c>
      <c r="D22" s="12" t="s">
        <v>15</v>
      </c>
      <c r="E22" s="12" t="s">
        <v>209</v>
      </c>
      <c r="F22" s="24">
        <v>99.6</v>
      </c>
      <c r="G22" s="24">
        <v>19.600000000000001</v>
      </c>
      <c r="H22" s="24">
        <v>119.19999999999999</v>
      </c>
      <c r="I22" s="25">
        <v>425000</v>
      </c>
      <c r="J22" s="24">
        <v>2024</v>
      </c>
      <c r="K22" s="24">
        <v>4267.06827309237</v>
      </c>
      <c r="L22" s="24">
        <v>3565.4362416107388</v>
      </c>
      <c r="M22" s="14">
        <v>0.45</v>
      </c>
      <c r="N22" s="12" t="s">
        <v>213</v>
      </c>
    </row>
    <row r="23" spans="1:14" ht="43.2" x14ac:dyDescent="0.3">
      <c r="A23" s="12" t="s">
        <v>207</v>
      </c>
      <c r="B23" s="12" t="s">
        <v>235</v>
      </c>
      <c r="C23" s="12">
        <v>3</v>
      </c>
      <c r="D23" s="12" t="s">
        <v>15</v>
      </c>
      <c r="E23" s="12" t="s">
        <v>209</v>
      </c>
      <c r="F23" s="24">
        <v>101.2</v>
      </c>
      <c r="G23" s="24">
        <v>21.45</v>
      </c>
      <c r="H23" s="24">
        <v>122.65</v>
      </c>
      <c r="I23" s="25">
        <v>435000</v>
      </c>
      <c r="J23" s="24">
        <v>2024</v>
      </c>
      <c r="K23" s="24">
        <v>4298.418972332016</v>
      </c>
      <c r="L23" s="24">
        <v>3546.6775377089275</v>
      </c>
      <c r="M23" s="14">
        <v>0.45</v>
      </c>
      <c r="N23" s="12" t="s">
        <v>213</v>
      </c>
    </row>
    <row r="24" spans="1:14" ht="43.2" x14ac:dyDescent="0.3">
      <c r="A24" s="12" t="s">
        <v>207</v>
      </c>
      <c r="B24" s="12" t="s">
        <v>236</v>
      </c>
      <c r="C24" s="12">
        <v>4</v>
      </c>
      <c r="D24" s="12" t="s">
        <v>15</v>
      </c>
      <c r="E24" s="12" t="s">
        <v>209</v>
      </c>
      <c r="F24" s="24">
        <v>101.2</v>
      </c>
      <c r="G24" s="24">
        <v>20.45</v>
      </c>
      <c r="H24" s="24">
        <v>121.65</v>
      </c>
      <c r="I24" s="25">
        <v>520000</v>
      </c>
      <c r="J24" s="24">
        <v>2024</v>
      </c>
      <c r="K24" s="24">
        <v>5138.3399209486161</v>
      </c>
      <c r="L24" s="24">
        <v>4274.5581586518701</v>
      </c>
      <c r="M24" s="14">
        <v>0.45</v>
      </c>
      <c r="N24" s="12" t="s">
        <v>213</v>
      </c>
    </row>
    <row r="25" spans="1:14" ht="43.2" x14ac:dyDescent="0.3">
      <c r="A25" s="12" t="s">
        <v>207</v>
      </c>
      <c r="B25" s="12" t="s">
        <v>237</v>
      </c>
      <c r="C25" s="12">
        <v>4</v>
      </c>
      <c r="D25" s="12" t="s">
        <v>47</v>
      </c>
      <c r="E25" s="12" t="s">
        <v>209</v>
      </c>
      <c r="F25" s="24">
        <v>116.2</v>
      </c>
      <c r="G25" s="24">
        <v>20.100000000000001</v>
      </c>
      <c r="H25" s="24">
        <v>136.30000000000001</v>
      </c>
      <c r="I25" s="25">
        <v>590000</v>
      </c>
      <c r="J25" s="24">
        <v>2024</v>
      </c>
      <c r="K25" s="24">
        <v>5077.4526678141137</v>
      </c>
      <c r="L25" s="24">
        <v>4328.6867204695518</v>
      </c>
      <c r="M25" s="14">
        <v>0.45</v>
      </c>
      <c r="N25" s="12" t="s">
        <v>213</v>
      </c>
    </row>
    <row r="26" spans="1:14" ht="43.2" x14ac:dyDescent="0.3">
      <c r="A26" s="12" t="s">
        <v>207</v>
      </c>
      <c r="B26" s="12" t="s">
        <v>238</v>
      </c>
      <c r="C26" s="12">
        <v>4</v>
      </c>
      <c r="D26" s="12" t="s">
        <v>15</v>
      </c>
      <c r="E26" s="12" t="s">
        <v>209</v>
      </c>
      <c r="F26" s="24">
        <v>99.6</v>
      </c>
      <c r="G26" s="24">
        <v>19.600000000000001</v>
      </c>
      <c r="H26" s="24">
        <v>119.19999999999999</v>
      </c>
      <c r="I26" s="25">
        <v>520000</v>
      </c>
      <c r="J26" s="24">
        <v>2024</v>
      </c>
      <c r="K26" s="24">
        <v>5220.8835341365466</v>
      </c>
      <c r="L26" s="24">
        <v>4362.4161073825508</v>
      </c>
      <c r="M26" s="14">
        <v>0.45</v>
      </c>
      <c r="N26" s="12" t="s">
        <v>213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10</vt:i4>
      </vt:variant>
    </vt:vector>
  </HeadingPairs>
  <TitlesOfParts>
    <vt:vector size="10" baseType="lpstr">
      <vt:lpstr>Dados</vt:lpstr>
      <vt:lpstr>Instruções</vt:lpstr>
      <vt:lpstr>Resumo BD</vt:lpstr>
      <vt:lpstr>Plano de melhoria</vt:lpstr>
      <vt:lpstr>Candidatos Compset</vt:lpstr>
      <vt:lpstr>Critérios Pesos</vt:lpstr>
      <vt:lpstr>Candidatos Estrutura</vt:lpstr>
      <vt:lpstr>Benchmark_Mercado</vt:lpstr>
      <vt:lpstr>Contexto_Mercado</vt:lpstr>
      <vt:lpstr>Saramago_2024_Convertido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Algarprédio</dc:creator>
  <cp:lastModifiedBy>Ruan Hora – Responsável Administrativo | Hotéis, Aloja</cp:lastModifiedBy>
  <dcterms:created xsi:type="dcterms:W3CDTF">2026-05-11T10:33:46Z</dcterms:created>
  <dcterms:modified xsi:type="dcterms:W3CDTF">2026-05-12T14:08:52Z</dcterms:modified>
</cp:coreProperties>
</file>