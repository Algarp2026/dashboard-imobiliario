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57e20b996b4d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dos" sheetId="1" r:id="R733531faac304a35"/>
    <x:sheet xmlns:r="http://schemas.openxmlformats.org/officeDocument/2006/relationships" name="Instruções" sheetId="2" r:id="Rb1b988f64d6f45d2"/>
    <x:sheet xmlns:r="http://schemas.openxmlformats.org/officeDocument/2006/relationships" name="Resumo BD" sheetId="3" r:id="R8bef2c82a42c444b"/>
    <x:sheet xmlns:r="http://schemas.openxmlformats.org/officeDocument/2006/relationships" name="Plano de melhoria" sheetId="4" r:id="R0a77c2a006d5465d"/>
    <x:sheet xmlns:r="http://schemas.openxmlformats.org/officeDocument/2006/relationships" name="Candidatos Compset" sheetId="5" r:id="R9fa82aef23274f1d"/>
    <x:sheet xmlns:r="http://schemas.openxmlformats.org/officeDocument/2006/relationships" name="Critérios Pesos" sheetId="6" r:id="Rd4e8ceafdfdc421d"/>
    <x:sheet xmlns:r="http://schemas.openxmlformats.org/officeDocument/2006/relationships" name="Candidatos Estrutura" sheetId="7" r:id="R4429ef404be94793"/>
    <x:sheet xmlns:r="http://schemas.openxmlformats.org/officeDocument/2006/relationships" name="Benchmark_Mercado" sheetId="8" r:id="R61f0b0cfdc954330"/>
    <x:sheet xmlns:r="http://schemas.openxmlformats.org/officeDocument/2006/relationships" name="Contexto_Mercado" sheetId="9" r:id="R2392adcbe1744cc9"/>
    <x:sheet xmlns:r="http://schemas.openxmlformats.org/officeDocument/2006/relationships" name="Saramago_2024_Convertido" sheetId="10" r:id="R5d7689d6510343ca"/>
  </x:sheets>
</x:workbook>
</file>

<file path=xl/sharedStrings.xml><?xml version="1.0" encoding="utf-8"?>
<x:sst xmlns:x="http://schemas.openxmlformats.org/spreadsheetml/2006/main">
  <x:si>
    <x:t xml:space="preserve">Empreendimento</x:t>
  </x:si>
  <x:si>
    <x:t xml:space="preserve">Fração</x:t>
  </x:si>
  <x:si>
    <x:t xml:space="preserve">Piso</x:t>
  </x:si>
  <x:si>
    <x:t xml:space="preserve">Tipologia</x:t>
  </x:si>
  <x:si>
    <x:t xml:space="preserve">Vista</x:t>
  </x:si>
  <x:si>
    <x:t xml:space="preserve">ABP</x:t>
  </x:si>
  <x:si>
    <x:t xml:space="preserve">Varanda/Terraço</x:t>
  </x:si>
  <x:si>
    <x:t xml:space="preserve">Área Total</x:t>
  </x:si>
  <x:si>
    <x:t xml:space="preserve">PVP</x:t>
  </x:si>
  <x:si>
    <x:t xml:space="preserve">Ano Referência</x:t>
  </x:si>
  <x:si>
    <x:t xml:space="preserve">Sem Varanda/Terraço</x:t>
  </x:si>
  <x:si>
    <x:t xml:space="preserve">Com Varanda/Terraço</x:t>
  </x:si>
  <x:si>
    <x:t xml:space="preserve">Del Mar Waterfront</x:t>
  </x:si>
  <x:si>
    <x:t xml:space="preserve">A</x:t>
  </x:si>
  <x:si>
    <x:t xml:space="preserve">R/C</x:t>
  </x:si>
  <x:si>
    <x:t xml:space="preserve">T2</x:t>
  </x:si>
  <x:si>
    <x:t xml:space="preserve">B</x:t>
  </x:si>
  <x:si>
    <x:t xml:space="preserve">G</x:t>
  </x:si>
  <x:si>
    <x:t xml:space="preserve">H</x:t>
  </x:si>
  <x:si>
    <x:t xml:space="preserve">K</x:t>
  </x:si>
  <x:si>
    <x:t xml:space="preserve">L</x:t>
  </x:si>
  <x:si>
    <x:t xml:space="preserve">M</x:t>
  </x:si>
  <x:si>
    <x:t xml:space="preserve">Q</x:t>
  </x:si>
  <x:si>
    <x:t xml:space="preserve">U</x:t>
  </x:si>
  <x:si>
    <x:t xml:space="preserve">W</x:t>
  </x:si>
  <x:si>
    <x:t xml:space="preserve">T1</x:t>
  </x:si>
  <x:si>
    <x:t xml:space="preserve">X</x:t>
  </x:si>
  <x:si>
    <x:t xml:space="preserve">Y</x:t>
  </x:si>
  <x:si>
    <x:t xml:space="preserve">Z</x:t>
  </x:si>
  <x:si>
    <x:t xml:space="preserve">D</x:t>
  </x:si>
  <x:si>
    <x:t xml:space="preserve">AI</x:t>
  </x:si>
  <x:si>
    <x:t xml:space="preserve">AK</x:t>
  </x:si>
  <x:si>
    <x:t xml:space="preserve">AL</x:t>
  </x:si>
  <x:si>
    <x:t xml:space="preserve">AS</x:t>
  </x:si>
  <x:si>
    <x:t xml:space="preserve">AW</x:t>
  </x:si>
  <x:si>
    <x:t xml:space="preserve">AX</x:t>
  </x:si>
  <x:si>
    <x:t xml:space="preserve">BK</x:t>
  </x:si>
  <x:si>
    <x:t xml:space="preserve">BL</x:t>
  </x:si>
  <x:si>
    <x:t xml:space="preserve">BN</x:t>
  </x:si>
  <x:si>
    <x:t xml:space="preserve">BO</x:t>
  </x:si>
  <x:si>
    <x:t xml:space="preserve">BQ</x:t>
  </x:si>
  <x:si>
    <x:t xml:space="preserve">BS</x:t>
  </x:si>
  <x:si>
    <x:t xml:space="preserve">BU</x:t>
  </x:si>
  <x:si>
    <x:t xml:space="preserve">BW</x:t>
  </x:si>
  <x:si>
    <x:t xml:space="preserve">BX</x:t>
  </x:si>
  <x:si>
    <x:t xml:space="preserve">BY</x:t>
  </x:si>
  <x:si>
    <x:t xml:space="preserve">BZ</x:t>
  </x:si>
  <x:si>
    <x:t xml:space="preserve">T3</x:t>
  </x:si>
  <x:si>
    <x:t xml:space="preserve">CF</x:t>
  </x:si>
  <x:si>
    <x:t xml:space="preserve">CG</x:t>
  </x:si>
  <x:si>
    <x:t xml:space="preserve">CI</x:t>
  </x:si>
  <x:si>
    <x:t xml:space="preserve">CJ</x:t>
  </x:si>
  <x:si>
    <x:t xml:space="preserve">CK</x:t>
  </x:si>
  <x:si>
    <x:t xml:space="preserve">CL</x:t>
  </x:si>
  <x:si>
    <x:t xml:space="preserve">CO</x:t>
  </x:si>
  <x:si>
    <x:t xml:space="preserve">CR</x:t>
  </x:si>
  <x:si>
    <x:t xml:space="preserve">CT</x:t>
  </x:si>
  <x:si>
    <x:t xml:space="preserve">CV</x:t>
  </x:si>
  <x:si>
    <x:t xml:space="preserve">DB</x:t>
  </x:si>
  <x:si>
    <x:t xml:space="preserve">DD</x:t>
  </x:si>
  <x:si>
    <x:t xml:space="preserve">DE</x:t>
  </x:si>
  <x:si>
    <x:t xml:space="preserve">DH</x:t>
  </x:si>
  <x:si>
    <x:t xml:space="preserve">DO</x:t>
  </x:si>
  <x:si>
    <x:t xml:space="preserve">DS</x:t>
  </x:si>
  <x:si>
    <x:t xml:space="preserve">Le Parc</x:t>
  </x:si>
  <x:si>
    <x:t xml:space="preserve">1.1</x:t>
  </x:si>
  <x:si>
    <x:t xml:space="preserve">1.2</x:t>
  </x:si>
  <x:si>
    <x:t xml:space="preserve">2.1</x:t>
  </x:si>
  <x:si>
    <x:t xml:space="preserve">2.2</x:t>
  </x:si>
  <x:si>
    <x:t xml:space="preserve">3.1</x:t>
  </x:si>
  <x:si>
    <x:t xml:space="preserve">3.2</x:t>
  </x:si>
  <x:si>
    <x:t xml:space="preserve">4.1</x:t>
  </x:si>
  <x:si>
    <x:t xml:space="preserve">4.2</x:t>
  </x:si>
  <x:si>
    <x:t xml:space="preserve">1.3</x:t>
  </x:si>
  <x:si>
    <x:t xml:space="preserve">1.4</x:t>
  </x:si>
  <x:si>
    <x:t xml:space="preserve">1.5</x:t>
  </x:si>
  <x:si>
    <x:t xml:space="preserve">1.6</x:t>
  </x:si>
  <x:si>
    <x:t xml:space="preserve">2.3</x:t>
  </x:si>
  <x:si>
    <x:t xml:space="preserve">2.4</x:t>
  </x:si>
  <x:si>
    <x:t xml:space="preserve">2.5</x:t>
  </x:si>
  <x:si>
    <x:t xml:space="preserve">2.6</x:t>
  </x:si>
  <x:si>
    <x:t xml:space="preserve">3.3</x:t>
  </x:si>
  <x:si>
    <x:t xml:space="preserve">3.4</x:t>
  </x:si>
  <x:si>
    <x:t xml:space="preserve">3.5</x:t>
  </x:si>
  <x:si>
    <x:t xml:space="preserve">3.6</x:t>
  </x:si>
  <x:si>
    <x:t xml:space="preserve">4.3</x:t>
  </x:si>
  <x:si>
    <x:t xml:space="preserve">4.4</x:t>
  </x:si>
  <x:si>
    <x:t xml:space="preserve">T4</x:t>
  </x:si>
  <x:si>
    <x:t xml:space="preserve">4.5</x:t>
  </x:si>
  <x:si>
    <x:t xml:space="preserve">5.1</x:t>
  </x:si>
  <x:si>
    <x:t xml:space="preserve">5.2</x:t>
  </x:si>
  <x:si>
    <x:t xml:space="preserve">5.3</x:t>
  </x:si>
  <x:si>
    <x:t xml:space="preserve">5.4</x:t>
  </x:si>
  <x:si>
    <x:t xml:space="preserve">5.5</x:t>
  </x:si>
  <x:si>
    <x:t xml:space="preserve">6.1</x:t>
  </x:si>
  <x:si>
    <x:t xml:space="preserve">6.2</x:t>
  </x:si>
  <x:si>
    <x:t xml:space="preserve">6.3</x:t>
  </x:si>
  <x:si>
    <x:t xml:space="preserve">6.4</x:t>
  </x:si>
  <x:si>
    <x:t xml:space="preserve">6.5</x:t>
  </x:si>
  <x:si>
    <x:t xml:space="preserve">The View</x:t>
  </x:si>
  <x:si>
    <x:t xml:space="preserve">Apartamento 1</x:t>
  </x:si>
  <x:si>
    <x:t xml:space="preserve">Apartamento 2</x:t>
  </x:si>
  <x:si>
    <x:t xml:space="preserve">Apartamento 3</x:t>
  </x:si>
  <x:si>
    <x:t xml:space="preserve">Apartamento 4</x:t>
  </x:si>
  <x:si>
    <x:t xml:space="preserve">T1+1</x:t>
  </x:si>
  <x:si>
    <x:t xml:space="preserve">Apartamento 5</x:t>
  </x:si>
  <x:si>
    <x:t xml:space="preserve">Apartamento 6</x:t>
  </x:si>
  <x:si>
    <x:t xml:space="preserve">T2+1</x:t>
  </x:si>
  <x:si>
    <x:t xml:space="preserve">Apartamento 7</x:t>
  </x:si>
  <x:si>
    <x:t xml:space="preserve">Apartamento 8</x:t>
  </x:si>
  <x:si>
    <x:t xml:space="preserve">Apartamento 9</x:t>
  </x:si>
  <x:si>
    <x:t xml:space="preserve">Apartamento 10</x:t>
  </x:si>
  <x:si>
    <x:t xml:space="preserve">Apartamento 11</x:t>
  </x:si>
  <x:si>
    <x:t xml:space="preserve">Apartamento 12</x:t>
  </x:si>
  <x:si>
    <x:t xml:space="preserve">Apartamento 13</x:t>
  </x:si>
  <x:si>
    <x:t xml:space="preserve">Apartamento 14</x:t>
  </x:si>
  <x:si>
    <x:t xml:space="preserve">Apartamento 15</x:t>
  </x:si>
  <x:si>
    <x:t xml:space="preserve">Apartamento 16</x:t>
  </x:si>
  <x:si>
    <x:t xml:space="preserve">Apartamento 17</x:t>
  </x:si>
  <x:si>
    <x:t xml:space="preserve">Apartamento 18</x:t>
  </x:si>
  <x:si>
    <x:t xml:space="preserve">Apartamento 19</x:t>
  </x:si>
  <x:si>
    <x:t xml:space="preserve">Apartamento 20</x:t>
  </x:si>
  <x:si>
    <x:t xml:space="preserve">Apartamento 21</x:t>
  </x:si>
  <x:si>
    <x:t xml:space="preserve">Apartamento 22</x:t>
  </x:si>
  <x:si>
    <x:t xml:space="preserve">Apartamento 23</x:t>
  </x:si>
  <x:si>
    <x:t xml:space="preserve">Apartamento 24</x:t>
  </x:si>
  <x:si>
    <x:t xml:space="preserve">Apartamento 25</x:t>
  </x:si>
  <x:si>
    <x:t xml:space="preserve">Apartamento 26</x:t>
  </x:si>
  <x:si>
    <x:t xml:space="preserve">Apartamento 27</x:t>
  </x:si>
  <x:si>
    <x:t xml:space="preserve">Apartamento 28</x:t>
  </x:si>
  <x:si>
    <x:t xml:space="preserve">Apartamento 29</x:t>
  </x:si>
  <x:si>
    <x:t xml:space="preserve">Apartamento 30</x:t>
  </x:si>
  <x:si>
    <x:t xml:space="preserve">Apartamento 31</x:t>
  </x:si>
  <x:si>
    <x:t xml:space="preserve">Apartamento 32</x:t>
  </x:si>
  <x:si>
    <x:t xml:space="preserve">Apartamento 33</x:t>
  </x:si>
  <x:si>
    <x:t xml:space="preserve">Apartamento 34</x:t>
  </x:si>
  <x:si>
    <x:t xml:space="preserve">Apartamento 35</x:t>
  </x:si>
  <x:si>
    <x:t xml:space="preserve">T1-Duplex</x:t>
  </x:si>
  <x:si>
    <x:t xml:space="preserve">Apartamento 36</x:t>
  </x:si>
  <x:si>
    <x:t xml:space="preserve">Apartamento 37</x:t>
  </x:si>
  <x:si>
    <x:t xml:space="preserve">Apartamento 38</x:t>
  </x:si>
  <x:si>
    <x:t xml:space="preserve">Apartamento 39</x:t>
  </x:si>
  <x:si>
    <x:t xml:space="preserve">Aura Living</x:t>
  </x:si>
  <x:si>
    <x:t xml:space="preserve">S</x:t>
  </x:si>
  <x:si>
    <x:t xml:space="preserve">O</x:t>
  </x:si>
  <x:si>
    <x:t xml:space="preserve">N</x:t>
  </x:si>
  <x:si>
    <x:t xml:space="preserve">R</x:t>
  </x:si>
  <x:si>
    <x:t xml:space="preserve">AA</x:t>
  </x:si>
  <x:si>
    <x:t xml:space="preserve">BB</x:t>
  </x:si>
  <x:si>
    <x:t xml:space="preserve">CC</x:t>
  </x:si>
  <x:si>
    <x:t xml:space="preserve">EE</x:t>
  </x:si>
  <x:si>
    <x:t xml:space="preserve">FF</x:t>
  </x:si>
  <x:si>
    <x:t xml:space="preserve">GG</x:t>
  </x:si>
  <x:si>
    <x:t xml:space="preserve">HH</x:t>
  </x:si>
  <x:si>
    <x:t xml:space="preserve">I</x:t>
  </x:si>
  <x:si>
    <x:t xml:space="preserve">J</x:t>
  </x:si>
  <x:si>
    <x:t xml:space="preserve">II</x:t>
  </x:si>
  <x:si>
    <x:t xml:space="preserve">JJ</x:t>
  </x:si>
  <x:si>
    <x:t xml:space="preserve">KK</x:t>
  </x:si>
  <x:si>
    <x:t xml:space="preserve">INSTRUÇÕES PARA ATUALIZAR O DASHBOARD</x:t>
  </x:si>
  <x:si>
    <x:t xml:space="preserve">1. ESTRUTURA DO FICHEIRO</x:t>
  </x:si>
  <x:si>
    <x:t xml:space="preserve">   - Mantenha a folha 'Dados' com exatamente as mesmas colunas</x:t>
  </x:si>
  <x:si>
    <x:t xml:space="preserve">   - Não altere os nomes das colunas</x:t>
  </x:si>
  <x:si>
    <x:t xml:space="preserve">   - Não deixe linhas em branco no meio dos dados</x:t>
  </x:si>
  <x:si>
    <x:t xml:space="preserve">2. COLUNAS OBRIGATÓRIAS</x:t>
  </x:si>
  <x:si>
    <x:t xml:space="preserve">   • Empreendimento: Nome do empreendimento (ex: The View, Del Mar Waterfront, Aura Living)</x:t>
  </x:si>
  <x:si>
    <x:t xml:space="preserve">   • Fração: Identificador único (ex: Apartamento 1, W, CG)</x:t>
  </x:si>
  <x:si>
    <x:t xml:space="preserve">   • Piso: Número do piso ou R/C (ex: 1, 2, R/C)</x:t>
  </x:si>
  <x:si>
    <x:t xml:space="preserve">   • Tipologia: Tipo de apartamento (ex: T1, T2, T3, T1+1, T2+1, T1-Duplex)</x:t>
  </x:si>
  <x:si>
    <x:t xml:space="preserve">   • Vista: Código numérico da vista (ex: 1, 2, 3, 4)</x:t>
  </x:si>
  <x:si>
    <x:t xml:space="preserve">   • ABP: Área Bruta Privativa em m² (ex: 99.7)</x:t>
  </x:si>
  <x:si>
    <x:t xml:space="preserve">   • Varanda/Terraço: Área da varanda em m² (ex: 43.4)</x:t>
  </x:si>
  <x:si>
    <x:t xml:space="preserve">   • PVP: Preço de venda em € (ex: 545000)</x:t>
  </x:si>
  <x:si>
    <x:t xml:space="preserve">   • Ano Referência: Ano dos dados (ex: 2026)</x:t>
  </x:si>
  <x:si>
    <x:t xml:space="preserve">3. COMO ADICIONAR NOVOS EMPREENDIMENTOS</x:t>
  </x:si>
  <x:si>
    <x:t xml:space="preserve">   - Adicione novas linhas no final da tabela</x:t>
  </x:si>
  <x:si>
    <x:t xml:space="preserve">   - Preencha todos os campos obrigatórios</x:t>
  </x:si>
  <x:si>
    <x:t xml:space="preserve">   - Use o mesmo formato de dados (sem símbolos de moeda, etc)</x:t>
  </x:si>
  <x:si>
    <x:t xml:space="preserve">4. COMO FAZER UPLOAD</x:t>
  </x:si>
  <x:si>
    <x:t xml:space="preserve">   - Aceda ao dashboard em: viewdash-4miuthwx.manus.space</x:t>
  </x:si>
  <x:si>
    <x:t xml:space="preserve">   - Clique na aba '🔄 Atualizar'</x:t>
  </x:si>
  <x:si>
    <x:t xml:space="preserve">   - Clique em 'Selecionar Ficheiro'</x:t>
  </x:si>
  <x:si>
    <x:t xml:space="preserve">   - Escolha este ficheiro Excel</x:t>
  </x:si>
  <x:si>
    <x:t xml:space="preserve">   - O dashboard será atualizado automaticamente</x:t>
  </x:si>
  <x:si>
    <x:t xml:space="preserve">5. NOTAS IMPORTANTES</x:t>
  </x:si>
  <x:si>
    <x:t xml:space="preserve">   • T1+1, T1-Duplex são comparados com T2 (configurável na aba ⚙️ Configuração)</x:t>
  </x:si>
  <x:si>
    <x:t xml:space="preserve">   • Certifique-se de que não há espaços em branco extras nos nomes</x:t>
  </x:si>
  <x:si>
    <x:t xml:space="preserve">   • Use sempre o mesmo formato de data e números</x:t>
  </x:si>
  <x:si>
    <x:t xml:space="preserve">   • Faça backup do ficheiro antes de fazer grandes alterações</x:t>
  </x:si>
  <x:si>
    <x:t xml:space="preserve">   • Este ficheiro inclui todos os 4 empreendimentos: The View, Del Mar Waterfront, Le Parc, Aura Living</x:t>
  </x:si>
</x:sst>
</file>

<file path=xl/styles.xml><?xml version="1.0" encoding="utf-8"?>
<x:styleSheet xmlns:x="http://schemas.openxmlformats.org/spreadsheetml/2006/main">
  <x:numFmts count="8">
    <x:numFmt numFmtId="200" formatCode="0.00"/>
    <x:numFmt numFmtId="201" formatCode="€ #,##0"/>
    <x:numFmt numFmtId="202" formatCode="yyyy-mm-dd"/>
    <x:numFmt numFmtId="203" formatCode="#,##0 &quot;€/m²&quot;"/>
    <x:numFmt numFmtId="204" formatCode="0.0%"/>
    <x:numFmt numFmtId="205" formatCode="#,##0.00"/>
    <x:numFmt numFmtId="206" formatCode="#,##0 €"/>
    <x:numFmt numFmtId="207" formatCode="0"/>
  </x:numFmts>
  <x:fonts count="8">
    <x:font>
      <x:sz val="11"/>
      <x:color theme="1"/>
      <x:name val="Calibri"/>
    </x:font>
    <x:font>
      <x:b/>
      <x:sz val="11"/>
      <x:name val="Calibri"/>
    </x:font>
    <x:font>
      <x:sz val="10"/>
      <x:name val="Calibri"/>
    </x:font>
    <x:font>
      <x:b/>
      <x:sz val="11"/>
      <x:color rgb="FFFFFF"/>
      <x:name val="Calibri"/>
    </x:font>
    <x:font>
      <x:b/>
      <x:sz val="16"/>
      <x:color rgb="FFFFFF"/>
      <x:name val="Calibri"/>
    </x:font>
    <x:font>
      <x:b/>
      <x:sz val="11"/>
      <x:color rgb="581C87"/>
      <x:name val="Calibri"/>
    </x:font>
    <x:font>
      <x:b/>
      <x:sz val="11"/>
      <x:color rgb="111827"/>
      <x:name val="Calibri"/>
    </x:font>
    <x:font>
      <x:b/>
      <x:sz val="11"/>
      <x:color theme="1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111827"/>
      </x:patternFill>
    </x:fill>
    <x:fill>
      <x:patternFill patternType="solid">
        <x:fgColor rgb="374151"/>
      </x:patternFill>
    </x:fill>
    <x:fill>
      <x:patternFill patternType="solid">
        <x:fgColor rgb="111827"/>
      </x:patternFill>
    </x:fill>
    <x:fill>
      <x:patternFill patternType="solid">
        <x:fgColor rgb="111827"/>
      </x:patternFill>
    </x:fill>
    <x:fill>
      <x:patternFill patternType="solid">
        <x:fgColor rgb="F3E8FF"/>
      </x:patternFill>
    </x:fill>
    <x:fill>
      <x:patternFill patternType="solid">
        <x:fgColor rgb="111827"/>
      </x:patternFill>
    </x:fill>
    <x:fill>
      <x:patternFill patternType="solid">
        <x:fgColor rgb="F3F4F6"/>
      </x:patternFill>
    </x:fill>
    <x:fill>
      <x:patternFill patternType="solid">
        <x:fgColor rgb="111827"/>
      </x:patternFill>
    </x:fill>
    <x:fill>
      <x:patternFill patternType="solid">
        <x:fgColor rgb="F3F4F6"/>
      </x:patternFill>
    </x:fill>
  </x:fills>
  <x:borders count="2">
    <x:border/>
    <x:border/>
  </x:borders>
  <x:cellStyleXfs count="1">
    <x:xf numFmtId="0" fontId="0" fillId="0" borderId="0"/>
  </x:cellStyleXfs>
  <x:cellXfs count="95">
    <x:xf numFmtId="0" fontId="0" fillId="0" borderId="0" xfId="0"/>
    <x:xf numFmtId="0" fontId="0" fillId="0" borderId="0" xfId="0" applyAlignment="1">
      <x:alignment horizontal="left" vertical="center"/>
    </x:xf>
    <x:xf numFmtId="0" fontId="1" fillId="0" borderId="0" xfId="0" applyFont="1" applyAlignment="1">
      <x:alignment horizontal="left" vertical="top" wrapText="1"/>
    </x:xf>
    <x:xf numFmtId="0" fontId="2" fillId="0" borderId="0" xfId="0" applyFont="1" applyAlignment="1">
      <x:alignment horizontal="left"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top" wrapText="1"/>
    </x:xf>
    <x:xf numFmtId="0" fontId="2" fillId="0" borderId="1" xfId="0" applyNumberFormat="1" applyFont="1" applyFill="1" applyBorder="1" applyAlignment="1">
      <x:alignment horizontal="left" vertical="top" wrapText="1"/>
    </x:xf>
    <x:xf numFmtId="0" fontId="0" fillId="2" borderId="0" xfId="0" applyNumberFormat="1" applyFont="1" applyFill="1" applyBorder="1" applyAlignment="1">
      <x:alignment horizontal="left"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wrapText="1"/>
    </x:xf>
    <x:xf numFmtId="0" fontId="0" fillId="2" borderId="1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left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left" vertical="center"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horizontal="left" vertical="center"/>
    </x:xf>
    <x:xf numFmtId="200" fontId="0" fillId="0" borderId="1" xfId="0" applyNumberFormat="1" applyFont="1" applyFill="1" applyBorder="1" applyAlignment="1">
      <x:alignment horizontal="left" vertical="center"/>
    </x:xf>
    <x:xf numFmtId="201" fontId="0" fillId="0" borderId="0" xfId="0" applyNumberFormat="1" applyFont="1" applyFill="1" applyBorder="1" applyAlignment="1">
      <x:alignment horizontal="left" vertical="center"/>
    </x:xf>
    <x:xf numFmtId="201" fontId="0" fillId="0" borderId="1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left"/>
    </x:xf>
    <x:xf numFmtId="0" fontId="4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horizontal="left"/>
    </x:xf>
    <x:xf numFmtId="0" fontId="7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205" fontId="0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</x:cellXfs>
  <x:cellStyles count="1">
    <x:cellStyle name="Normal" xfId="0"/>
  </x:cellStyles>
  <x:dxfs count="7">
    <x:dxf>
      <x:font>
        <x:b/>
        <x:color rgb="991B1B"/>
      </x:font>
      <x:fill>
        <x:patternFill>
          <x:bgColor rgb="FEE2E2"/>
        </x:patternFill>
      </x:fill>
    </x:dxf>
    <x:dxf>
      <x:font>
        <x:b/>
        <x:color rgb="166534"/>
      </x:font>
      <x:fill>
        <x:patternFill>
          <x:bgColor rgb="DCFCE7"/>
        </x:patternFill>
      </x:fill>
    </x:dxf>
    <x:dxf>
      <x:font>
        <x:color rgb="92400E"/>
      </x:font>
      <x:fill>
        <x:patternFill>
          <x:bgColor rgb="FEF3C7"/>
        </x:patternFill>
      </x:fill>
    </x:dxf>
    <x:dxf>
      <x:fill>
        <x:patternFill>
          <x:bgColor rgb="FEE2E2"/>
        </x:patternFill>
      </x:fill>
    </x:dxf>
    <x:dxf>
      <x:fill>
        <x:patternFill>
          <x:bgColor rgb="FEF3C7"/>
        </x:patternFill>
      </x:fill>
    </x:dxf>
    <x:dxf>
      <x:fill>
        <x:patternFill>
          <x:bgColor rgb="DCFCE7"/>
        </x:patternFill>
      </x:fill>
    </x:dxf>
    <x:dxf>
      <x:font>
        <x:color rgb="16653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4ae0eeb2ef4034" /><Relationship Type="http://schemas.openxmlformats.org/officeDocument/2006/relationships/theme" Target="/xl/theme/theme1.xml" Id="Rc4624aa324024a97" /><Relationship Type="http://schemas.openxmlformats.org/officeDocument/2006/relationships/sharedStrings" Target="/xl/sharedStrings.xml" Id="Raa156c14e0214bd0" /><Relationship Type="http://schemas.openxmlformats.org/officeDocument/2006/relationships/worksheet" Target="/xl/worksheets/sheet1.xml" Id="R733531faac304a35" /><Relationship Type="http://schemas.openxmlformats.org/officeDocument/2006/relationships/worksheet" Target="/xl/worksheets/sheet2.xml" Id="Rb1b988f64d6f45d2" /><Relationship Type="http://schemas.openxmlformats.org/officeDocument/2006/relationships/worksheet" Target="/xl/worksheets/sheet3.xml" Id="R8bef2c82a42c444b" /><Relationship Type="http://schemas.openxmlformats.org/officeDocument/2006/relationships/worksheet" Target="/xl/worksheets/sheet4.xml" Id="R0a77c2a006d5465d" /><Relationship Type="http://schemas.openxmlformats.org/officeDocument/2006/relationships/worksheet" Target="/xl/worksheets/sheet5.xml" Id="R9fa82aef23274f1d" /><Relationship Type="http://schemas.openxmlformats.org/officeDocument/2006/relationships/worksheet" Target="/xl/worksheets/sheet6.xml" Id="Rd4e8ceafdfdc421d" /><Relationship Type="http://schemas.openxmlformats.org/officeDocument/2006/relationships/worksheet" Target="/xl/worksheets/sheet7.xml" Id="R4429ef404be94793" /><Relationship Type="http://schemas.openxmlformats.org/officeDocument/2006/relationships/worksheet" Target="/xl/worksheets/sheet8.xml" Id="R61f0b0cfdc954330" /><Relationship Type="http://schemas.openxmlformats.org/officeDocument/2006/relationships/worksheet" Target="/xl/worksheets/sheet9.xml" Id="R2392adcbe1744cc9" /><Relationship Type="http://schemas.openxmlformats.org/officeDocument/2006/relationships/worksheet" Target="/xl/worksheets/sheet10.xml" Id="R5d7689d6510343ca" /></Relationships>
</file>

<file path=xl/tables/table1.xml><?xml version="1.0" encoding="utf-8"?>
<x:table xmlns:x="http://schemas.openxmlformats.org/spreadsheetml/2006/main" id="1" name="DadosCompset" displayName="DadosCompset" ref="A1:AB173" headerRowCount="1">
  <x:tableColumns count="28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Sem Varanda/Terraço"/>
    <x:tableColumn id="12" name="Com Varanda/Terraço"/>
    <x:tableColumn id="13" name="Status"/>
    <x:tableColumn id="14" name="Fonte"/>
    <x:tableColumn id="15" name="URL"/>
    <x:tableColumn id="16" name="Data de atualização"/>
    <x:tableColumn id="17" name="Segmento"/>
    <x:tableColumn id="18" name="Condição"/>
    <x:tableColumn id="19" name="Ano de entrega"/>
    <x:tableColumn id="20" name="Garagem"/>
    <x:tableColumn id="21" name="Piscina"/>
    <x:tableColumn id="22" name="Distância ao The View"/>
    <x:tableColumn id="23" name="Peso comparável"/>
    <x:tableColumn id="24" name="Camada compset"/>
    <x:tableColumn id="25" name="Qualidade dados"/>
    <x:tableColumn id="26" name="Observações comerciais"/>
    <x:tableColumn id="27" name="Ação recomendada"/>
    <x:tableColumn id="28" name="Prioridade atualização"/>
  </x:tableColumns>
  <x:tableStyleInfo name="TableStyleMedium2" showRowStripes="1"/>
</x:table>
</file>

<file path=xl/tables/table2.xml><?xml version="1.0" encoding="utf-8"?>
<x:table xmlns:x="http://schemas.openxmlformats.org/spreadsheetml/2006/main" id="2" name="CandidatosEstruturaTable" displayName="CandidatosEstruturaTable" ref="A1:AB9" headerRowCount="1">
  <x:tableColumns count="28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Sem Varanda/Terraço"/>
    <x:tableColumn id="12" name="Com Varanda/Terraço"/>
    <x:tableColumn id="13" name="Status"/>
    <x:tableColumn id="14" name="Fonte"/>
    <x:tableColumn id="15" name="URL"/>
    <x:tableColumn id="16" name="Data de atualização"/>
    <x:tableColumn id="17" name="Segmento"/>
    <x:tableColumn id="18" name="Condição"/>
    <x:tableColumn id="19" name="Ano de entrega"/>
    <x:tableColumn id="20" name="Garagem"/>
    <x:tableColumn id="21" name="Piscina"/>
    <x:tableColumn id="22" name="Distância ao The View"/>
    <x:tableColumn id="23" name="Peso comparável"/>
    <x:tableColumn id="24" name="Camada compset"/>
    <x:tableColumn id="25" name="Qualidade dados"/>
    <x:tableColumn id="26" name="Observações comerciais"/>
    <x:tableColumn id="27" name="Ação recomendada"/>
    <x:tableColumn id="28" name="Prioridade atualização"/>
  </x:tableColumns>
  <x:tableStyleInfo name="TableStyleMedium2" showRowStripes="1"/>
</x:table>
</file>

<file path=xl/tables/table3.xml><?xml version="1.0" encoding="utf-8"?>
<x:table xmlns:x="http://schemas.openxmlformats.org/spreadsheetml/2006/main" id="3" name="BenchmarkMercadoTable" displayName="BenchmarkMercadoTable" ref="A1:L7" headerRowCount="1">
  <x:tableColumns count="12">
    <x:tableColumn id="1" name="Data"/>
    <x:tableColumn id="2" name="Fonte"/>
    <x:tableColumn id="3" name="Tipo de dado"/>
    <x:tableColumn id="4" name="Localização"/>
    <x:tableColumn id="5" name="Segmento"/>
    <x:tableColumn id="6" name="€/m²"/>
    <x:tableColumn id="7" name="Variação mensal"/>
    <x:tableColumn id="8" name="Variação trimestral"/>
    <x:tableColumn id="9" name="Variação anual"/>
    <x:tableColumn id="10" name="Uso recomendado"/>
    <x:tableColumn id="11" name="Observação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Saramago2024ConvertidoTable" displayName="Saramago2024ConvertidoTable" ref="A1:N26" headerRowCount="1">
  <x:tableColumns count="14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€/m² sem varanda"/>
    <x:tableColumn id="12" name="€/m² com varanda/terraço"/>
    <x:tableColumn id="13" name="Peso comparável"/>
    <x:tableColumn id="14" name="Observação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f847c77baeb43c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0206f726b42b422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7378df16081c4fe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4.xml" Id="Rda46f72d562a435c" /></Relationships>
</file>

<file path=xl/worksheets/sheet1.xml><?xml version="1.0" encoding="utf-8"?>
<x:worksheet xmlns:x="http://schemas.openxmlformats.org/spreadsheetml/2006/main">
  <x:sheetFormatPr defaultRowHeight="14.399999618530273"/>
  <x:cols>
    <x:col min="1" max="1" width="20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6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8" hidden="0" customWidth="1"/>
    <x:col min="13" max="13" width="14" hidden="0" customWidth="1"/>
    <x:col min="14" max="14" width="18" hidden="0" customWidth="1"/>
    <x:col min="15" max="15" width="32" hidden="0" customWidth="1"/>
    <x:col min="16" max="16" width="18" hidden="0" customWidth="1"/>
    <x:col min="17" max="17" width="24" hidden="0" customWidth="1"/>
    <x:col min="18" max="18" width="18" hidden="0" customWidth="1"/>
    <x:col min="19" max="19" width="14" hidden="0" customWidth="1"/>
    <x:col min="20" max="20" width="12" hidden="0" customWidth="1"/>
    <x:col min="21" max="21" width="12" hidden="0" customWidth="1"/>
    <x:col min="22" max="22" width="18" hidden="0" customWidth="1"/>
    <x:col min="23" max="23" width="14" hidden="0" customWidth="1"/>
    <x:col min="24" max="24" width="24" hidden="0" customWidth="1"/>
    <x:col min="25" max="25" width="16" hidden="0" customWidth="1"/>
    <x:col min="26" max="26" width="32" hidden="0" customWidth="1"/>
    <x:col min="27" max="27" width="24" hidden="0" customWidth="1"/>
    <x:col min="28" max="28" width="18" hidden="0" customWidth="1"/>
  </x:cols>
  <x:sheetData>
    <x:row r="1">
      <x:c r="A1" s="14" t="s">
        <x:v>0</x:v>
      </x:c>
      <x:c r="B1" s="14" t="s">
        <x:v>1</x:v>
      </x:c>
      <x:c r="C1" s="14" t="s">
        <x:v>2</x:v>
      </x:c>
      <x:c r="D1" s="14" t="s">
        <x:v>3</x:v>
      </x:c>
      <x:c r="E1" s="14" t="s">
        <x:v>4</x:v>
      </x:c>
      <x:c r="F1" s="14" t="s">
        <x:v>5</x:v>
      </x:c>
      <x:c r="G1" s="14" t="s">
        <x:v>6</x:v>
      </x:c>
      <x:c r="H1" s="14" t="s">
        <x:v>7</x:v>
      </x:c>
      <x:c r="I1" s="14" t="s">
        <x:v>8</x:v>
      </x:c>
      <x:c r="J1" s="14" t="s">
        <x:v>9</x:v>
      </x:c>
      <x:c r="K1" s="14" t="s">
        <x:v>10</x:v>
      </x:c>
      <x:c r="L1" s="14" t="s">
        <x:v>11</x:v>
      </x:c>
      <x:c r="M1" s="14" t="str">
        <x:v>Status</x:v>
      </x:c>
      <x:c r="N1" s="14" t="str">
        <x:v>Fonte</x:v>
      </x:c>
      <x:c r="O1" s="14" t="str">
        <x:v>URL</x:v>
      </x:c>
      <x:c r="P1" s="14" t="str">
        <x:v>Data de atualização</x:v>
      </x:c>
      <x:c r="Q1" s="14" t="str">
        <x:v>Segmento</x:v>
      </x:c>
      <x:c r="R1" s="14" t="str">
        <x:v>Condição</x:v>
      </x:c>
      <x:c r="S1" s="14" t="str">
        <x:v>Ano de entrega</x:v>
      </x:c>
      <x:c r="T1" s="14" t="str">
        <x:v>Garagem</x:v>
      </x:c>
      <x:c r="U1" s="14" t="str">
        <x:v>Piscina</x:v>
      </x:c>
      <x:c r="V1" s="14" t="str">
        <x:v>Distância ao The View</x:v>
      </x:c>
      <x:c r="W1" s="14" t="str">
        <x:v>Peso comparável</x:v>
      </x:c>
      <x:c r="X1" s="14" t="str">
        <x:v>Camada compset</x:v>
      </x:c>
      <x:c r="Y1" s="14" t="str">
        <x:v>Qualidade dados</x:v>
      </x:c>
      <x:c r="Z1" s="14" t="str">
        <x:v>Observações comerciais</x:v>
      </x:c>
      <x:c r="AA1" s="14" t="str">
        <x:v>Ação recomendada</x:v>
      </x:c>
      <x:c r="AB1" s="14" t="str">
        <x:v>Prioridade atualização</x:v>
      </x:c>
    </x:row>
    <x:row r="2">
      <x:c r="A2" s="1" t="s">
        <x:v>12</x:v>
      </x:c>
      <x:c r="B2" s="1" t="s">
        <x:v>13</x:v>
      </x:c>
      <x:c r="C2" s="1" t="s">
        <x:v>14</x:v>
      </x:c>
      <x:c r="D2" s="1" t="s">
        <x:v>15</x:v>
      </x:c>
      <x:c r="E2" s="1">
        <x:v>1</x:v>
      </x:c>
      <x:c r="F2" s="24">
        <x:v>117.75</x:v>
      </x:c>
      <x:c r="G2" s="24">
        <x:v>31.94</x:v>
      </x:c>
      <x:c r="H2" s="24">
        <x:v>149.69</x:v>
      </x:c>
      <x:c r="I2" s="26">
        <x:v>1290000</x:v>
      </x:c>
      <x:c r="J2" s="1">
        <x:v>2026</x:v>
      </x:c>
      <x:c r="K2" s="26">
        <x:v>10955.414012738849</x:v>
      </x:c>
      <x:c r="L2" s="26">
        <x:v>8617.8101409579795</x:v>
      </x:c>
      <x:c r="M2" t="str">
        <x:f>IF(A2="The View","Projeto",IF(J2&gt;=2026,"Ativo",IF(J2=2025,"Rever","Histórico")))</x:f>
        <x:v>Ativo</x:v>
      </x:c>
      <x:c r="N2" t="str"/>
      <x:c r="O2" t="str"/>
      <x:c r="P2" s="30" t="str"/>
      <x:c r="Q2" t="str">
        <x:f>IF(A2="The View","Projeto",IF(A2="Le Parc","Benchmark local",IF(OR(A2="Del Mar Waterfront",A2="Aura Living"),"Premium waterfront/marina","A classificar")))</x:f>
        <x:v>Premium waterfront/marina</x:v>
      </x:c>
      <x:c r="R2" t="str">
        <x:v>Nova construção</x:v>
      </x:c>
      <x:c r="S2" t="str"/>
      <x:c r="T2" t="str"/>
      <x:c r="U2" t="str"/>
      <x:c r="V2" t="str"/>
      <x:c r="W2" s="28" t="n">
        <x:f>IF(A2="The View",1,MAX(0.25,MIN(1,IF(J2&gt;=2026,1,IF(J2=2025,0.8,IF(J2=2024,0.45,0.3)))*IF(Q2="Premium waterfront/marina",1,IF(Q2="Benchmark local",0.7,0.6))*IF(M2="Vendido",0.65,IF(M2="Reservado",0.8,IF(M2="Histórico",0.55,1))))))</x:f>
        <x:v>1</x:v>
      </x:c>
      <x:c r="X2" t="str">
        <x:f>IF(A2="The View","Projeto",IF(W2&gt;=0.85,"A · Premium ativo",IF(W2&gt;=0.55,"B · Benchmark local","C · Histórico/secundário")))</x:f>
        <x:v>A · Premium ativo</x:v>
      </x:c>
      <x:c r="Y2" t="str">
        <x:f>IF(A2="The View","N/A",IF(AND(N2&lt;&gt;"",O2&lt;&gt;"",P2&lt;&gt;""),"Alta",IF(OR(N2&lt;&gt;"",O2&lt;&gt;"",P2&lt;&gt;""),"Média","Baixa")))</x:f>
        <x:v>Baixa</x:v>
      </x:c>
      <x:c r="Z2" t="str"/>
      <x:c r="AA2" t="str">
        <x:f>IF(A2="The View","Manter",IF(J2&lt;2026,"Atualizar preço/status",IF(Y2="Baixa","Adicionar fonte/URL/data",IF(W2&lt;0.55,"Rever comparabilidade","OK"))))</x:f>
        <x:v>Adicionar fonte/URL/data</x:v>
      </x:c>
      <x:c r="AB2" t="str">
        <x:f>IF(A2="The View","",IF(OR(J2&lt;2026,Y2="Baixa"),"Alta",IF(W2&lt;0.55,"Média","Baixa")))</x:f>
        <x:v>Alta</x:v>
      </x:c>
    </x:row>
    <x:row r="3">
      <x:c r="A3" s="1" t="s">
        <x:v>12</x:v>
      </x:c>
      <x:c r="B3" s="1" t="s">
        <x:v>16</x:v>
      </x:c>
      <x:c r="C3" s="1" t="s">
        <x:v>14</x:v>
      </x:c>
      <x:c r="D3" s="1" t="s">
        <x:v>15</x:v>
      </x:c>
      <x:c r="E3" s="1">
        <x:v>2</x:v>
      </x:c>
      <x:c r="F3" s="24">
        <x:v>117.75</x:v>
      </x:c>
      <x:c r="G3" s="24">
        <x:v>32.64</x:v>
      </x:c>
      <x:c r="H3" s="24">
        <x:v>150.38999999999999</x:v>
      </x:c>
      <x:c r="I3" s="26">
        <x:v>1290000</x:v>
      </x:c>
      <x:c r="J3" s="1">
        <x:v>2026</x:v>
      </x:c>
      <x:c r="K3" s="26">
        <x:v>10955.414012738849</x:v>
      </x:c>
      <x:c r="L3" s="26">
        <x:v>8577.6979852383811</x:v>
      </x:c>
      <x:c r="M3" t="str">
        <x:f>IF(A3="The View","Projeto",IF(J3&gt;=2026,"Ativo",IF(J3=2025,"Rever","Histórico")))</x:f>
        <x:v>Ativo</x:v>
      </x:c>
      <x:c r="N3" t="str"/>
      <x:c r="O3" t="str"/>
      <x:c r="P3" s="30" t="str"/>
      <x:c r="Q3" t="str">
        <x:f>IF(A3="The View","Projeto",IF(A3="Le Parc","Benchmark local",IF(OR(A3="Del Mar Waterfront",A3="Aura Living"),"Premium waterfront/marina","A classificar")))</x:f>
        <x:v>Premium waterfront/marina</x:v>
      </x:c>
      <x:c r="R3" t="str">
        <x:v>Nova construção</x:v>
      </x:c>
      <x:c r="S3" t="str"/>
      <x:c r="T3" t="str"/>
      <x:c r="U3" t="str"/>
      <x:c r="V3" t="str"/>
      <x:c r="W3" s="28" t="n">
        <x:f>IF(A3="The View",1,MAX(0.25,MIN(1,IF(J3&gt;=2026,1,IF(J3=2025,0.8,IF(J3=2024,0.45,0.3)))*IF(Q3="Premium waterfront/marina",1,IF(Q3="Benchmark local",0.7,0.6))*IF(M3="Vendido",0.65,IF(M3="Reservado",0.8,IF(M3="Histórico",0.55,1))))))</x:f>
        <x:v>1</x:v>
      </x:c>
      <x:c r="X3" t="str">
        <x:f>IF(A3="The View","Projeto",IF(W3&gt;=0.85,"A · Premium ativo",IF(W3&gt;=0.55,"B · Benchmark local","C · Histórico/secundário")))</x:f>
        <x:v>A · Premium ativo</x:v>
      </x:c>
      <x:c r="Y3" t="str">
        <x:f>IF(A3="The View","N/A",IF(AND(N3&lt;&gt;"",O3&lt;&gt;"",P3&lt;&gt;""),"Alta",IF(OR(N3&lt;&gt;"",O3&lt;&gt;"",P3&lt;&gt;""),"Média","Baixa")))</x:f>
        <x:v>Baixa</x:v>
      </x:c>
      <x:c r="Z3" t="str"/>
      <x:c r="AA3" t="str">
        <x:f>IF(A3="The View","Manter",IF(J3&lt;2026,"Atualizar preço/status",IF(Y3="Baixa","Adicionar fonte/URL/data",IF(W3&lt;0.55,"Rever comparabilidade","OK"))))</x:f>
        <x:v>Adicionar fonte/URL/data</x:v>
      </x:c>
      <x:c r="AB3" t="str">
        <x:f>IF(A3="The View","",IF(OR(J3&lt;2026,Y3="Baixa"),"Alta",IF(W3&lt;0.55,"Média","Baixa")))</x:f>
        <x:v>Alta</x:v>
      </x:c>
    </x:row>
    <x:row r="4">
      <x:c r="A4" s="1" t="s">
        <x:v>12</x:v>
      </x:c>
      <x:c r="B4" s="1" t="s">
        <x:v>17</x:v>
      </x:c>
      <x:c r="C4" s="1" t="s">
        <x:v>14</x:v>
      </x:c>
      <x:c r="D4" s="1" t="s">
        <x:v>15</x:v>
      </x:c>
      <x:c r="E4" s="1">
        <x:v>2</x:v>
      </x:c>
      <x:c r="F4" s="24">
        <x:v>120.72</x:v>
      </x:c>
      <x:c r="G4" s="24">
        <x:v>22.83</x:v>
      </x:c>
      <x:c r="H4" s="24">
        <x:v>143.55000000000001</x:v>
      </x:c>
      <x:c r="I4" s="26">
        <x:v>660000</x:v>
      </x:c>
      <x:c r="J4" s="1">
        <x:v>2024</x:v>
      </x:c>
      <x:c r="K4" s="26">
        <x:v>5467.1968190854868</x:v>
      </x:c>
      <x:c r="L4" s="26">
        <x:v>4597.7011494252874</x:v>
      </x:c>
      <x:c r="M4" t="str">
        <x:f>IF(A4="The View","Projeto",IF(J4&gt;=2026,"Ativo",IF(J4=2025,"Rever","Histórico")))</x:f>
        <x:v>Histórico</x:v>
      </x:c>
      <x:c r="N4" t="str"/>
      <x:c r="O4" t="str"/>
      <x:c r="P4" s="30" t="str"/>
      <x:c r="Q4" t="str">
        <x:f>IF(A4="The View","Projeto",IF(A4="Le Parc","Benchmark local",IF(OR(A4="Del Mar Waterfront",A4="Aura Living"),"Premium waterfront/marina","A classificar")))</x:f>
        <x:v>Premium waterfront/marina</x:v>
      </x:c>
      <x:c r="R4" t="str">
        <x:v>Nova construção</x:v>
      </x:c>
      <x:c r="S4" t="str"/>
      <x:c r="T4" t="str"/>
      <x:c r="U4" t="str"/>
      <x:c r="V4" t="str"/>
      <x:c r="W4" s="28" t="n">
        <x:f>IF(A4="The View",1,MAX(0.25,MIN(1,IF(J4&gt;=2026,1,IF(J4=2025,0.8,IF(J4=2024,0.45,0.3)))*IF(Q4="Premium waterfront/marina",1,IF(Q4="Benchmark local",0.7,0.6))*IF(M4="Vendido",0.65,IF(M4="Reservado",0.8,IF(M4="Histórico",0.55,1))))))</x:f>
        <x:v>0.25</x:v>
      </x:c>
      <x:c r="X4" t="str">
        <x:f>IF(A4="The View","Projeto",IF(W4&gt;=0.85,"A · Premium ativo",IF(W4&gt;=0.55,"B · Benchmark local","C · Histórico/secundário")))</x:f>
        <x:v>C · Histórico/secundário</x:v>
      </x:c>
      <x:c r="Y4" t="str">
        <x:f>IF(A4="The View","N/A",IF(AND(N4&lt;&gt;"",O4&lt;&gt;"",P4&lt;&gt;""),"Alta",IF(OR(N4&lt;&gt;"",O4&lt;&gt;"",P4&lt;&gt;""),"Média","Baixa")))</x:f>
        <x:v>Baixa</x:v>
      </x:c>
      <x:c r="Z4" t="str"/>
      <x:c r="AA4" t="str">
        <x:f>IF(A4="The View","Manter",IF(J4&lt;2026,"Atualizar preço/status",IF(Y4="Baixa","Adicionar fonte/URL/data",IF(W4&lt;0.55,"Rever comparabilidade","OK"))))</x:f>
        <x:v>Atualizar preço/status</x:v>
      </x:c>
      <x:c r="AB4" t="str">
        <x:f>IF(A4="The View","",IF(OR(J4&lt;2026,Y4="Baixa"),"Alta",IF(W4&lt;0.55,"Média","Baixa")))</x:f>
        <x:v>Alta</x:v>
      </x:c>
    </x:row>
    <x:row r="5">
      <x:c r="A5" s="1" t="s">
        <x:v>12</x:v>
      </x:c>
      <x:c r="B5" s="1" t="s">
        <x:v>18</x:v>
      </x:c>
      <x:c r="C5" s="1" t="s">
        <x:v>14</x:v>
      </x:c>
      <x:c r="D5" s="1" t="s">
        <x:v>15</x:v>
      </x:c>
      <x:c r="E5" s="1">
        <x:v>4</x:v>
      </x:c>
      <x:c r="F5" s="24">
        <x:v>120.72</x:v>
      </x:c>
      <x:c r="G5" s="24">
        <x:v>23.91</x:v>
      </x:c>
      <x:c r="H5" s="24">
        <x:v>144.63</x:v>
      </x:c>
      <x:c r="I5" s="26">
        <x:v>660000</x:v>
      </x:c>
      <x:c r="J5" s="1">
        <x:v>2024</x:v>
      </x:c>
      <x:c r="K5" s="26">
        <x:v>5467.1968190854868</x:v>
      </x:c>
      <x:c r="L5" s="26">
        <x:v>4563.3685957270282</x:v>
      </x:c>
      <x:c r="M5" t="str">
        <x:f>IF(A5="The View","Projeto",IF(J5&gt;=2026,"Ativo",IF(J5=2025,"Rever","Histórico")))</x:f>
        <x:v>Histórico</x:v>
      </x:c>
      <x:c r="N5" t="str"/>
      <x:c r="O5" t="str"/>
      <x:c r="P5" s="30" t="str"/>
      <x:c r="Q5" t="str">
        <x:f>IF(A5="The View","Projeto",IF(A5="Le Parc","Benchmark local",IF(OR(A5="Del Mar Waterfront",A5="Aura Living"),"Premium waterfront/marina","A classificar")))</x:f>
        <x:v>Premium waterfront/marina</x:v>
      </x:c>
      <x:c r="R5" t="str">
        <x:v>Nova construção</x:v>
      </x:c>
      <x:c r="S5" t="str"/>
      <x:c r="T5" t="str"/>
      <x:c r="U5" t="str"/>
      <x:c r="V5" t="str"/>
      <x:c r="W5" s="28" t="n">
        <x:f>IF(A5="The View",1,MAX(0.25,MIN(1,IF(J5&gt;=2026,1,IF(J5=2025,0.8,IF(J5=2024,0.45,0.3)))*IF(Q5="Premium waterfront/marina",1,IF(Q5="Benchmark local",0.7,0.6))*IF(M5="Vendido",0.65,IF(M5="Reservado",0.8,IF(M5="Histórico",0.55,1))))))</x:f>
        <x:v>0.25</x:v>
      </x:c>
      <x:c r="X5" t="str">
        <x:f>IF(A5="The View","Projeto",IF(W5&gt;=0.85,"A · Premium ativo",IF(W5&gt;=0.55,"B · Benchmark local","C · Histórico/secundário")))</x:f>
        <x:v>C · Histórico/secundário</x:v>
      </x:c>
      <x:c r="Y5" t="str">
        <x:f>IF(A5="The View","N/A",IF(AND(N5&lt;&gt;"",O5&lt;&gt;"",P5&lt;&gt;""),"Alta",IF(OR(N5&lt;&gt;"",O5&lt;&gt;"",P5&lt;&gt;""),"Média","Baixa")))</x:f>
        <x:v>Baixa</x:v>
      </x:c>
      <x:c r="Z5" t="str"/>
      <x:c r="AA5" t="str">
        <x:f>IF(A5="The View","Manter",IF(J5&lt;2026,"Atualizar preço/status",IF(Y5="Baixa","Adicionar fonte/URL/data",IF(W5&lt;0.55,"Rever comparabilidade","OK"))))</x:f>
        <x:v>Atualizar preço/status</x:v>
      </x:c>
      <x:c r="AB5" t="str">
        <x:f>IF(A5="The View","",IF(OR(J5&lt;2026,Y5="Baixa"),"Alta",IF(W5&lt;0.55,"Média","Baixa")))</x:f>
        <x:v>Alta</x:v>
      </x:c>
    </x:row>
    <x:row r="6">
      <x:c r="A6" s="1" t="s">
        <x:v>12</x:v>
      </x:c>
      <x:c r="B6" s="1" t="s">
        <x:v>19</x:v>
      </x:c>
      <x:c r="C6" s="1" t="s">
        <x:v>14</x:v>
      </x:c>
      <x:c r="D6" s="1" t="s">
        <x:v>15</x:v>
      </x:c>
      <x:c r="E6" s="1">
        <x:v>3</x:v>
      </x:c>
      <x:c r="F6" s="24">
        <x:v>116.71</x:v>
      </x:c>
      <x:c r="G6" s="24">
        <x:v>10.75</x:v>
      </x:c>
      <x:c r="H6" s="24">
        <x:v>127.46</x:v>
      </x:c>
      <x:c r="I6" s="26">
        <x:v>575000</x:v>
      </x:c>
      <x:c r="J6" s="1">
        <x:v>2024</x:v>
      </x:c>
      <x:c r="K6" s="26">
        <x:v>4926.7414960157657</x:v>
      </x:c>
      <x:c r="L6" s="26">
        <x:v>4511.2192060254201</x:v>
      </x:c>
      <x:c r="M6" t="str">
        <x:f>IF(A6="The View","Projeto",IF(J6&gt;=2026,"Ativo",IF(J6=2025,"Rever","Histórico")))</x:f>
        <x:v>Histórico</x:v>
      </x:c>
      <x:c r="N6" t="str"/>
      <x:c r="O6" t="str"/>
      <x:c r="P6" s="30" t="str"/>
      <x:c r="Q6" t="str">
        <x:f>IF(A6="The View","Projeto",IF(A6="Le Parc","Benchmark local",IF(OR(A6="Del Mar Waterfront",A6="Aura Living"),"Premium waterfront/marina","A classificar")))</x:f>
        <x:v>Premium waterfront/marina</x:v>
      </x:c>
      <x:c r="R6" t="str">
        <x:v>Nova construção</x:v>
      </x:c>
      <x:c r="S6" t="str"/>
      <x:c r="T6" t="str"/>
      <x:c r="U6" t="str"/>
      <x:c r="V6" t="str"/>
      <x:c r="W6" s="28" t="n">
        <x:f>IF(A6="The View",1,MAX(0.25,MIN(1,IF(J6&gt;=2026,1,IF(J6=2025,0.8,IF(J6=2024,0.45,0.3)))*IF(Q6="Premium waterfront/marina",1,IF(Q6="Benchmark local",0.7,0.6))*IF(M6="Vendido",0.65,IF(M6="Reservado",0.8,IF(M6="Histórico",0.55,1))))))</x:f>
        <x:v>0.25</x:v>
      </x:c>
      <x:c r="X6" t="str">
        <x:f>IF(A6="The View","Projeto",IF(W6&gt;=0.85,"A · Premium ativo",IF(W6&gt;=0.55,"B · Benchmark local","C · Histórico/secundário")))</x:f>
        <x:v>C · Histórico/secundário</x:v>
      </x:c>
      <x:c r="Y6" t="str">
        <x:f>IF(A6="The View","N/A",IF(AND(N6&lt;&gt;"",O6&lt;&gt;"",P6&lt;&gt;""),"Alta",IF(OR(N6&lt;&gt;"",O6&lt;&gt;"",P6&lt;&gt;""),"Média","Baixa")))</x:f>
        <x:v>Baixa</x:v>
      </x:c>
      <x:c r="Z6" t="str"/>
      <x:c r="AA6" t="str">
        <x:f>IF(A6="The View","Manter",IF(J6&lt;2026,"Atualizar preço/status",IF(Y6="Baixa","Adicionar fonte/URL/data",IF(W6&lt;0.55,"Rever comparabilidade","OK"))))</x:f>
        <x:v>Atualizar preço/status</x:v>
      </x:c>
      <x:c r="AB6" t="str">
        <x:f>IF(A6="The View","",IF(OR(J6&lt;2026,Y6="Baixa"),"Alta",IF(W6&lt;0.55,"Média","Baixa")))</x:f>
        <x:v>Alta</x:v>
      </x:c>
    </x:row>
    <x:row r="7">
      <x:c r="A7" s="1" t="s">
        <x:v>12</x:v>
      </x:c>
      <x:c r="B7" s="1" t="s">
        <x:v>20</x:v>
      </x:c>
      <x:c r="C7" s="1">
        <x:v>1</x:v>
      </x:c>
      <x:c r="D7" s="1" t="s">
        <x:v>15</x:v>
      </x:c>
      <x:c r="E7" s="1">
        <x:v>1</x:v>
      </x:c>
      <x:c r="F7" s="24">
        <x:v>131.76</x:v>
      </x:c>
      <x:c r="G7" s="24">
        <x:v>28.86</x:v>
      </x:c>
      <x:c r="H7" s="24">
        <x:v>160.62</x:v>
      </x:c>
      <x:c r="I7" s="26">
        <x:v>1310000</x:v>
      </x:c>
      <x:c r="J7" s="1">
        <x:v>2026</x:v>
      </x:c>
      <x:c r="K7" s="26">
        <x:v>9942.3193685488768</x:v>
      </x:c>
      <x:c r="L7" s="26">
        <x:v>8155.8959033744241</x:v>
      </x:c>
      <x:c r="M7" t="str">
        <x:f>IF(A7="The View","Projeto",IF(J7&gt;=2026,"Ativo",IF(J7=2025,"Rever","Histórico")))</x:f>
        <x:v>Ativo</x:v>
      </x:c>
      <x:c r="N7" t="str"/>
      <x:c r="O7" t="str"/>
      <x:c r="P7" s="30" t="str"/>
      <x:c r="Q7" t="str">
        <x:f>IF(A7="The View","Projeto",IF(A7="Le Parc","Benchmark local",IF(OR(A7="Del Mar Waterfront",A7="Aura Living"),"Premium waterfront/marina","A classificar")))</x:f>
        <x:v>Premium waterfront/marina</x:v>
      </x:c>
      <x:c r="R7" t="str">
        <x:v>Nova construção</x:v>
      </x:c>
      <x:c r="S7" t="str"/>
      <x:c r="T7" t="str"/>
      <x:c r="U7" t="str"/>
      <x:c r="V7" t="str"/>
      <x:c r="W7" s="28" t="n">
        <x:f>IF(A7="The View",1,MAX(0.25,MIN(1,IF(J7&gt;=2026,1,IF(J7=2025,0.8,IF(J7=2024,0.45,0.3)))*IF(Q7="Premium waterfront/marina",1,IF(Q7="Benchmark local",0.7,0.6))*IF(M7="Vendido",0.65,IF(M7="Reservado",0.8,IF(M7="Histórico",0.55,1))))))</x:f>
        <x:v>1</x:v>
      </x:c>
      <x:c r="X7" t="str">
        <x:f>IF(A7="The View","Projeto",IF(W7&gt;=0.85,"A · Premium ativo",IF(W7&gt;=0.55,"B · Benchmark local","C · Histórico/secundário")))</x:f>
        <x:v>A · Premium ativo</x:v>
      </x:c>
      <x:c r="Y7" t="str">
        <x:f>IF(A7="The View","N/A",IF(AND(N7&lt;&gt;"",O7&lt;&gt;"",P7&lt;&gt;""),"Alta",IF(OR(N7&lt;&gt;"",O7&lt;&gt;"",P7&lt;&gt;""),"Média","Baixa")))</x:f>
        <x:v>Baixa</x:v>
      </x:c>
      <x:c r="Z7" t="str"/>
      <x:c r="AA7" t="str">
        <x:f>IF(A7="The View","Manter",IF(J7&lt;2026,"Atualizar preço/status",IF(Y7="Baixa","Adicionar fonte/URL/data",IF(W7&lt;0.55,"Rever comparabilidade","OK"))))</x:f>
        <x:v>Adicionar fonte/URL/data</x:v>
      </x:c>
      <x:c r="AB7" t="str">
        <x:f>IF(A7="The View","",IF(OR(J7&lt;2026,Y7="Baixa"),"Alta",IF(W7&lt;0.55,"Média","Baixa")))</x:f>
        <x:v>Alta</x:v>
      </x:c>
    </x:row>
    <x:row r="8">
      <x:c r="A8" s="1" t="s">
        <x:v>12</x:v>
      </x:c>
      <x:c r="B8" s="1" t="s">
        <x:v>21</x:v>
      </x:c>
      <x:c r="C8" s="1">
        <x:v>1</x:v>
      </x:c>
      <x:c r="D8" s="1" t="s">
        <x:v>15</x:v>
      </x:c>
      <x:c r="E8" s="1">
        <x:v>2</x:v>
      </x:c>
      <x:c r="F8" s="24">
        <x:v>131.76</x:v>
      </x:c>
      <x:c r="G8" s="24">
        <x:v>28.86</x:v>
      </x:c>
      <x:c r="H8" s="24">
        <x:v>160.62</x:v>
      </x:c>
      <x:c r="I8" s="26">
        <x:v>1310000</x:v>
      </x:c>
      <x:c r="J8" s="1">
        <x:v>2026</x:v>
      </x:c>
      <x:c r="K8" s="26">
        <x:v>9942.3193685488768</x:v>
      </x:c>
      <x:c r="L8" s="26">
        <x:v>8155.8959033744241</x:v>
      </x:c>
      <x:c r="M8" t="str">
        <x:f>IF(A8="The View","Projeto",IF(J8&gt;=2026,"Ativo",IF(J8=2025,"Rever","Histórico")))</x:f>
        <x:v>Ativo</x:v>
      </x:c>
      <x:c r="N8" t="str"/>
      <x:c r="O8" t="str"/>
      <x:c r="P8" s="30" t="str"/>
      <x:c r="Q8" t="str">
        <x:f>IF(A8="The View","Projeto",IF(A8="Le Parc","Benchmark local",IF(OR(A8="Del Mar Waterfront",A8="Aura Living"),"Premium waterfront/marina","A classificar")))</x:f>
        <x:v>Premium waterfront/marina</x:v>
      </x:c>
      <x:c r="R8" t="str">
        <x:v>Nova construção</x:v>
      </x:c>
      <x:c r="S8" t="str"/>
      <x:c r="T8" t="str"/>
      <x:c r="U8" t="str"/>
      <x:c r="V8" t="str"/>
      <x:c r="W8" s="28" t="n">
        <x:f>IF(A8="The View",1,MAX(0.25,MIN(1,IF(J8&gt;=2026,1,IF(J8=2025,0.8,IF(J8=2024,0.45,0.3)))*IF(Q8="Premium waterfront/marina",1,IF(Q8="Benchmark local",0.7,0.6))*IF(M8="Vendido",0.65,IF(M8="Reservado",0.8,IF(M8="Histórico",0.55,1))))))</x:f>
        <x:v>1</x:v>
      </x:c>
      <x:c r="X8" t="str">
        <x:f>IF(A8="The View","Projeto",IF(W8&gt;=0.85,"A · Premium ativo",IF(W8&gt;=0.55,"B · Benchmark local","C · Histórico/secundário")))</x:f>
        <x:v>A · Premium ativo</x:v>
      </x:c>
      <x:c r="Y8" t="str">
        <x:f>IF(A8="The View","N/A",IF(AND(N8&lt;&gt;"",O8&lt;&gt;"",P8&lt;&gt;""),"Alta",IF(OR(N8&lt;&gt;"",O8&lt;&gt;"",P8&lt;&gt;""),"Média","Baixa")))</x:f>
        <x:v>Baixa</x:v>
      </x:c>
      <x:c r="Z8" t="str"/>
      <x:c r="AA8" t="str">
        <x:f>IF(A8="The View","Manter",IF(J8&lt;2026,"Atualizar preço/status",IF(Y8="Baixa","Adicionar fonte/URL/data",IF(W8&lt;0.55,"Rever comparabilidade","OK"))))</x:f>
        <x:v>Adicionar fonte/URL/data</x:v>
      </x:c>
      <x:c r="AB8" t="str">
        <x:f>IF(A8="The View","",IF(OR(J8&lt;2026,Y8="Baixa"),"Alta",IF(W8&lt;0.55,"Média","Baixa")))</x:f>
        <x:v>Alta</x:v>
      </x:c>
    </x:row>
    <x:row r="9">
      <x:c r="A9" s="1" t="s">
        <x:v>12</x:v>
      </x:c>
      <x:c r="B9" s="1" t="s">
        <x:v>22</x:v>
      </x:c>
      <x:c r="C9" s="1">
        <x:v>1</x:v>
      </x:c>
      <x:c r="D9" s="1" t="s">
        <x:v>15</x:v>
      </x:c>
      <x:c r="E9" s="1">
        <x:v>2</x:v>
      </x:c>
      <x:c r="F9" s="24">
        <x:v>127.19</x:v>
      </x:c>
      <x:c r="G9" s="24">
        <x:v>16.07</x:v>
      </x:c>
      <x:c r="H9" s="24">
        <x:v>143.26</x:v>
      </x:c>
      <x:c r="I9" s="26">
        <x:v>725000</x:v>
      </x:c>
      <x:c r="J9" s="1">
        <x:v>2024</x:v>
      </x:c>
      <x:c r="K9" s="26">
        <x:v>5700.1336583064704</x:v>
      </x:c>
      <x:c r="L9" s="26">
        <x:v>5060.7287449392716</x:v>
      </x:c>
      <x:c r="M9" t="str">
        <x:f>IF(A9="The View","Projeto",IF(J9&gt;=2026,"Ativo",IF(J9=2025,"Rever","Histórico")))</x:f>
        <x:v>Histórico</x:v>
      </x:c>
      <x:c r="N9" t="str"/>
      <x:c r="O9" t="str"/>
      <x:c r="P9" s="30" t="str"/>
      <x:c r="Q9" t="str">
        <x:f>IF(A9="The View","Projeto",IF(A9="Le Parc","Benchmark local",IF(OR(A9="Del Mar Waterfront",A9="Aura Living"),"Premium waterfront/marina","A classificar")))</x:f>
        <x:v>Premium waterfront/marina</x:v>
      </x:c>
      <x:c r="R9" t="str">
        <x:v>Nova construção</x:v>
      </x:c>
      <x:c r="S9" t="str"/>
      <x:c r="T9" t="str"/>
      <x:c r="U9" t="str"/>
      <x:c r="V9" t="str"/>
      <x:c r="W9" s="28" t="n">
        <x:f>IF(A9="The View",1,MAX(0.25,MIN(1,IF(J9&gt;=2026,1,IF(J9=2025,0.8,IF(J9=2024,0.45,0.3)))*IF(Q9="Premium waterfront/marina",1,IF(Q9="Benchmark local",0.7,0.6))*IF(M9="Vendido",0.65,IF(M9="Reservado",0.8,IF(M9="Histórico",0.55,1))))))</x:f>
        <x:v>0.25</x:v>
      </x:c>
      <x:c r="X9" t="str">
        <x:f>IF(A9="The View","Projeto",IF(W9&gt;=0.85,"A · Premium ativo",IF(W9&gt;=0.55,"B · Benchmark local","C · Histórico/secundário")))</x:f>
        <x:v>C · Histórico/secundário</x:v>
      </x:c>
      <x:c r="Y9" t="str">
        <x:f>IF(A9="The View","N/A",IF(AND(N9&lt;&gt;"",O9&lt;&gt;"",P9&lt;&gt;""),"Alta",IF(OR(N9&lt;&gt;"",O9&lt;&gt;"",P9&lt;&gt;""),"Média","Baixa")))</x:f>
        <x:v>Baixa</x:v>
      </x:c>
      <x:c r="Z9" t="str"/>
      <x:c r="AA9" t="str">
        <x:f>IF(A9="The View","Manter",IF(J9&lt;2026,"Atualizar preço/status",IF(Y9="Baixa","Adicionar fonte/URL/data",IF(W9&lt;0.55,"Rever comparabilidade","OK"))))</x:f>
        <x:v>Atualizar preço/status</x:v>
      </x:c>
      <x:c r="AB9" t="str">
        <x:f>IF(A9="The View","",IF(OR(J9&lt;2026,Y9="Baixa"),"Alta",IF(W9&lt;0.55,"Média","Baixa")))</x:f>
        <x:v>Alta</x:v>
      </x:c>
    </x:row>
    <x:row r="10">
      <x:c r="A10" s="1" t="s">
        <x:v>12</x:v>
      </x:c>
      <x:c r="B10" s="1" t="s">
        <x:v>23</x:v>
      </x:c>
      <x:c r="C10" s="1">
        <x:v>1</x:v>
      </x:c>
      <x:c r="D10" s="1" t="s">
        <x:v>15</x:v>
      </x:c>
      <x:c r="E10" s="1">
        <x:v>3</x:v>
      </x:c>
      <x:c r="F10" s="24">
        <x:v>91.72</x:v>
      </x:c>
      <x:c r="G10" s="24">
        <x:v>14.85</x:v>
      </x:c>
      <x:c r="H10" s="24">
        <x:v>106.57</x:v>
      </x:c>
      <x:c r="I10" s="26">
        <x:v>690000</x:v>
      </x:c>
      <x:c r="J10" s="1">
        <x:v>2026</x:v>
      </x:c>
      <x:c r="K10" s="26">
        <x:v>7522.8957697339729</x:v>
      </x:c>
      <x:c r="L10" s="26">
        <x:v>6474.6176222201366</x:v>
      </x:c>
      <x:c r="M10" t="str">
        <x:f>IF(A10="The View","Projeto",IF(J10&gt;=2026,"Ativo",IF(J10=2025,"Rever","Histórico")))</x:f>
        <x:v>Ativo</x:v>
      </x:c>
      <x:c r="N10" t="str"/>
      <x:c r="O10" t="str"/>
      <x:c r="P10" s="30" t="str"/>
      <x:c r="Q10" t="str">
        <x:f>IF(A10="The View","Projeto",IF(A10="Le Parc","Benchmark local",IF(OR(A10="Del Mar Waterfront",A10="Aura Living"),"Premium waterfront/marina","A classificar")))</x:f>
        <x:v>Premium waterfront/marina</x:v>
      </x:c>
      <x:c r="R10" t="str">
        <x:v>Nova construção</x:v>
      </x:c>
      <x:c r="S10" t="str"/>
      <x:c r="T10" t="str"/>
      <x:c r="U10" t="str"/>
      <x:c r="V10" t="str"/>
      <x:c r="W10" s="28" t="n">
        <x:f>IF(A10="The View",1,MAX(0.25,MIN(1,IF(J10&gt;=2026,1,IF(J10=2025,0.8,IF(J10=2024,0.45,0.3)))*IF(Q10="Premium waterfront/marina",1,IF(Q10="Benchmark local",0.7,0.6))*IF(M10="Vendido",0.65,IF(M10="Reservado",0.8,IF(M10="Histórico",0.55,1))))))</x:f>
        <x:v>1</x:v>
      </x:c>
      <x:c r="X10" t="str">
        <x:f>IF(A10="The View","Projeto",IF(W10&gt;=0.85,"A · Premium ativo",IF(W10&gt;=0.55,"B · Benchmark local","C · Histórico/secundário")))</x:f>
        <x:v>A · Premium ativo</x:v>
      </x:c>
      <x:c r="Y10" t="str">
        <x:f>IF(A10="The View","N/A",IF(AND(N10&lt;&gt;"",O10&lt;&gt;"",P10&lt;&gt;""),"Alta",IF(OR(N10&lt;&gt;"",O10&lt;&gt;"",P10&lt;&gt;""),"Média","Baixa")))</x:f>
        <x:v>Baixa</x:v>
      </x:c>
      <x:c r="Z10" t="str"/>
      <x:c r="AA10" t="str">
        <x:f>IF(A10="The View","Manter",IF(J10&lt;2026,"Atualizar preço/status",IF(Y10="Baixa","Adicionar fonte/URL/data",IF(W10&lt;0.55,"Rever comparabilidade","OK"))))</x:f>
        <x:v>Adicionar fonte/URL/data</x:v>
      </x:c>
      <x:c r="AB10" t="str">
        <x:f>IF(A10="The View","",IF(OR(J10&lt;2026,Y10="Baixa"),"Alta",IF(W10&lt;0.55,"Média","Baixa")))</x:f>
        <x:v>Alta</x:v>
      </x:c>
    </x:row>
    <x:row r="11">
      <x:c r="A11" s="1" t="s">
        <x:v>12</x:v>
      </x:c>
      <x:c r="B11" s="1" t="s">
        <x:v>24</x:v>
      </x:c>
      <x:c r="C11" s="1">
        <x:v>1</x:v>
      </x:c>
      <x:c r="D11" s="1" t="s">
        <x:v>25</x:v>
      </x:c>
      <x:c r="E11" s="1">
        <x:v>3</x:v>
      </x:c>
      <x:c r="F11" s="24">
        <x:v>70.58</x:v>
      </x:c>
      <x:c r="G11" s="24">
        <x:v>3.6</x:v>
      </x:c>
      <x:c r="H11" s="24">
        <x:v>74.179999999999993</x:v>
      </x:c>
      <x:c r="I11" s="26">
        <x:v>365000</x:v>
      </x:c>
      <x:c r="J11" s="1">
        <x:v>2024</x:v>
      </x:c>
      <x:c r="K11" s="26">
        <x:v>5171.4366676112213</x:v>
      </x:c>
      <x:c r="L11" s="26">
        <x:v>4920.4637368562962</x:v>
      </x:c>
      <x:c r="M11" t="str">
        <x:f>IF(A11="The View","Projeto",IF(J11&gt;=2026,"Ativo",IF(J11=2025,"Rever","Histórico")))</x:f>
        <x:v>Histórico</x:v>
      </x:c>
      <x:c r="N11" t="str"/>
      <x:c r="O11" t="str"/>
      <x:c r="P11" s="30" t="str"/>
      <x:c r="Q11" t="str">
        <x:f>IF(A11="The View","Projeto",IF(A11="Le Parc","Benchmark local",IF(OR(A11="Del Mar Waterfront",A11="Aura Living"),"Premium waterfront/marina","A classificar")))</x:f>
        <x:v>Premium waterfront/marina</x:v>
      </x:c>
      <x:c r="R11" t="str">
        <x:v>Nova construção</x:v>
      </x:c>
      <x:c r="S11" t="str"/>
      <x:c r="T11" t="str"/>
      <x:c r="U11" t="str"/>
      <x:c r="V11" t="str"/>
      <x:c r="W11" s="28" t="n">
        <x:f>IF(A11="The View",1,MAX(0.25,MIN(1,IF(J11&gt;=2026,1,IF(J11=2025,0.8,IF(J11=2024,0.45,0.3)))*IF(Q11="Premium waterfront/marina",1,IF(Q11="Benchmark local",0.7,0.6))*IF(M11="Vendido",0.65,IF(M11="Reservado",0.8,IF(M11="Histórico",0.55,1))))))</x:f>
        <x:v>0.25</x:v>
      </x:c>
      <x:c r="X11" t="str">
        <x:f>IF(A11="The View","Projeto",IF(W11&gt;=0.85,"A · Premium ativo",IF(W11&gt;=0.55,"B · Benchmark local","C · Histórico/secundário")))</x:f>
        <x:v>C · Histórico/secundário</x:v>
      </x:c>
      <x:c r="Y11" t="str">
        <x:f>IF(A11="The View","N/A",IF(AND(N11&lt;&gt;"",O11&lt;&gt;"",P11&lt;&gt;""),"Alta",IF(OR(N11&lt;&gt;"",O11&lt;&gt;"",P11&lt;&gt;""),"Média","Baixa")))</x:f>
        <x:v>Baixa</x:v>
      </x:c>
      <x:c r="Z11" t="str"/>
      <x:c r="AA11" t="str">
        <x:f>IF(A11="The View","Manter",IF(J11&lt;2026,"Atualizar preço/status",IF(Y11="Baixa","Adicionar fonte/URL/data",IF(W11&lt;0.55,"Rever comparabilidade","OK"))))</x:f>
        <x:v>Atualizar preço/status</x:v>
      </x:c>
      <x:c r="AB11" t="str">
        <x:f>IF(A11="The View","",IF(OR(J11&lt;2026,Y11="Baixa"),"Alta",IF(W11&lt;0.55,"Média","Baixa")))</x:f>
        <x:v>Alta</x:v>
      </x:c>
    </x:row>
    <x:row r="12">
      <x:c r="A12" s="1" t="s">
        <x:v>12</x:v>
      </x:c>
      <x:c r="B12" s="1" t="s">
        <x:v>26</x:v>
      </x:c>
      <x:c r="C12" s="1">
        <x:v>1</x:v>
      </x:c>
      <x:c r="D12" s="1" t="s">
        <x:v>15</x:v>
      </x:c>
      <x:c r="E12" s="1">
        <x:v>4</x:v>
      </x:c>
      <x:c r="F12" s="24">
        <x:v>83.01</x:v>
      </x:c>
      <x:c r="G12" s="24">
        <x:v>38.79</x:v>
      </x:c>
      <x:c r="H12" s="24">
        <x:v>121.8</x:v>
      </x:c>
      <x:c r="I12" s="26">
        <x:v>635000</x:v>
      </x:c>
      <x:c r="J12" s="1">
        <x:v>2024</x:v>
      </x:c>
      <x:c r="K12" s="26">
        <x:v>7649.6807613540532</x:v>
      </x:c>
      <x:c r="L12" s="26">
        <x:v>5213.4646962233164</x:v>
      </x:c>
      <x:c r="M12" t="str">
        <x:f>IF(A12="The View","Projeto",IF(J12&gt;=2026,"Ativo",IF(J12=2025,"Rever","Histórico")))</x:f>
        <x:v>Histórico</x:v>
      </x:c>
      <x:c r="N12" t="str"/>
      <x:c r="O12" t="str"/>
      <x:c r="P12" s="30" t="str"/>
      <x:c r="Q12" t="str">
        <x:f>IF(A12="The View","Projeto",IF(A12="Le Parc","Benchmark local",IF(OR(A12="Del Mar Waterfront",A12="Aura Living"),"Premium waterfront/marina","A classificar")))</x:f>
        <x:v>Premium waterfront/marina</x:v>
      </x:c>
      <x:c r="R12" t="str">
        <x:v>Nova construção</x:v>
      </x:c>
      <x:c r="S12" t="str"/>
      <x:c r="T12" t="str"/>
      <x:c r="U12" t="str"/>
      <x:c r="V12" t="str"/>
      <x:c r="W12" s="28" t="n">
        <x:f>IF(A12="The View",1,MAX(0.25,MIN(1,IF(J12&gt;=2026,1,IF(J12=2025,0.8,IF(J12=2024,0.45,0.3)))*IF(Q12="Premium waterfront/marina",1,IF(Q12="Benchmark local",0.7,0.6))*IF(M12="Vendido",0.65,IF(M12="Reservado",0.8,IF(M12="Histórico",0.55,1))))))</x:f>
        <x:v>0.25</x:v>
      </x:c>
      <x:c r="X12" t="str">
        <x:f>IF(A12="The View","Projeto",IF(W12&gt;=0.85,"A · Premium ativo",IF(W12&gt;=0.55,"B · Benchmark local","C · Histórico/secundário")))</x:f>
        <x:v>C · Histórico/secundário</x:v>
      </x:c>
      <x:c r="Y12" t="str">
        <x:f>IF(A12="The View","N/A",IF(AND(N12&lt;&gt;"",O12&lt;&gt;"",P12&lt;&gt;""),"Alta",IF(OR(N12&lt;&gt;"",O12&lt;&gt;"",P12&lt;&gt;""),"Média","Baixa")))</x:f>
        <x:v>Baixa</x:v>
      </x:c>
      <x:c r="Z12" t="str"/>
      <x:c r="AA12" t="str">
        <x:f>IF(A12="The View","Manter",IF(J12&lt;2026,"Atualizar preço/status",IF(Y12="Baixa","Adicionar fonte/URL/data",IF(W12&lt;0.55,"Rever comparabilidade","OK"))))</x:f>
        <x:v>Atualizar preço/status</x:v>
      </x:c>
      <x:c r="AB12" t="str">
        <x:f>IF(A12="The View","",IF(OR(J12&lt;2026,Y12="Baixa"),"Alta",IF(W12&lt;0.55,"Média","Baixa")))</x:f>
        <x:v>Alta</x:v>
      </x:c>
    </x:row>
    <x:row r="13">
      <x:c r="A13" s="1" t="s">
        <x:v>12</x:v>
      </x:c>
      <x:c r="B13" s="1" t="s">
        <x:v>27</x:v>
      </x:c>
      <x:c r="C13" s="1">
        <x:v>2</x:v>
      </x:c>
      <x:c r="D13" s="1" t="s">
        <x:v>15</x:v>
      </x:c>
      <x:c r="E13" s="1">
        <x:v>1</x:v>
      </x:c>
      <x:c r="F13" s="24">
        <x:v>131.76</x:v>
      </x:c>
      <x:c r="G13" s="24">
        <x:v>28.86</x:v>
      </x:c>
      <x:c r="H13" s="24">
        <x:v>160.62</x:v>
      </x:c>
      <x:c r="I13" s="26">
        <x:v>1280000</x:v>
      </x:c>
      <x:c r="J13" s="1">
        <x:v>2024</x:v>
      </x:c>
      <x:c r="K13" s="26">
        <x:v>9714.6326654523382</x:v>
      </x:c>
      <x:c r="L13" s="26">
        <x:v>7969.1196613124139</x:v>
      </x:c>
      <x:c r="M13" t="str">
        <x:f>IF(A13="The View","Projeto",IF(J13&gt;=2026,"Ativo",IF(J13=2025,"Rever","Histórico")))</x:f>
        <x:v>Histórico</x:v>
      </x:c>
      <x:c r="N13" t="str"/>
      <x:c r="O13" t="str"/>
      <x:c r="P13" s="30" t="str"/>
      <x:c r="Q13" t="str">
        <x:f>IF(A13="The View","Projeto",IF(A13="Le Parc","Benchmark local",IF(OR(A13="Del Mar Waterfront",A13="Aura Living"),"Premium waterfront/marina","A classificar")))</x:f>
        <x:v>Premium waterfront/marina</x:v>
      </x:c>
      <x:c r="R13" t="str">
        <x:v>Nova construção</x:v>
      </x:c>
      <x:c r="S13" t="str"/>
      <x:c r="T13" t="str"/>
      <x:c r="U13" t="str"/>
      <x:c r="V13" t="str"/>
      <x:c r="W13" s="28" t="n">
        <x:f>IF(A13="The View",1,MAX(0.25,MIN(1,IF(J13&gt;=2026,1,IF(J13=2025,0.8,IF(J13=2024,0.45,0.3)))*IF(Q13="Premium waterfront/marina",1,IF(Q13="Benchmark local",0.7,0.6))*IF(M13="Vendido",0.65,IF(M13="Reservado",0.8,IF(M13="Histórico",0.55,1))))))</x:f>
        <x:v>0.25</x:v>
      </x:c>
      <x:c r="X13" t="str">
        <x:f>IF(A13="The View","Projeto",IF(W13&gt;=0.85,"A · Premium ativo",IF(W13&gt;=0.55,"B · Benchmark local","C · Histórico/secundário")))</x:f>
        <x:v>C · Histórico/secundário</x:v>
      </x:c>
      <x:c r="Y13" t="str">
        <x:f>IF(A13="The View","N/A",IF(AND(N13&lt;&gt;"",O13&lt;&gt;"",P13&lt;&gt;""),"Alta",IF(OR(N13&lt;&gt;"",O13&lt;&gt;"",P13&lt;&gt;""),"Média","Baixa")))</x:f>
        <x:v>Baixa</x:v>
      </x:c>
      <x:c r="Z13" t="str"/>
      <x:c r="AA13" t="str">
        <x:f>IF(A13="The View","Manter",IF(J13&lt;2026,"Atualizar preço/status",IF(Y13="Baixa","Adicionar fonte/URL/data",IF(W13&lt;0.55,"Rever comparabilidade","OK"))))</x:f>
        <x:v>Atualizar preço/status</x:v>
      </x:c>
      <x:c r="AB13" t="str">
        <x:f>IF(A13="The View","",IF(OR(J13&lt;2026,Y13="Baixa"),"Alta",IF(W13&lt;0.55,"Média","Baixa")))</x:f>
        <x:v>Alta</x:v>
      </x:c>
    </x:row>
    <x:row r="14">
      <x:c r="A14" s="1" t="s">
        <x:v>12</x:v>
      </x:c>
      <x:c r="B14" s="1" t="s">
        <x:v>28</x:v>
      </x:c>
      <x:c r="C14" s="1">
        <x:v>2</x:v>
      </x:c>
      <x:c r="D14" s="1" t="s">
        <x:v>15</x:v>
      </x:c>
      <x:c r="E14" s="1">
        <x:v>2</x:v>
      </x:c>
      <x:c r="F14" s="24">
        <x:v>131.76</x:v>
      </x:c>
      <x:c r="G14" s="24">
        <x:v>28.86</x:v>
      </x:c>
      <x:c r="H14" s="24">
        <x:v>160.62</x:v>
      </x:c>
      <x:c r="I14" s="26">
        <x:v>1280000</x:v>
      </x:c>
      <x:c r="J14" s="1">
        <x:v>2024</x:v>
      </x:c>
      <x:c r="K14" s="26">
        <x:v>9714.6326654523382</x:v>
      </x:c>
      <x:c r="L14" s="26">
        <x:v>7969.1196613124139</x:v>
      </x:c>
      <x:c r="M14" t="str">
        <x:f>IF(A14="The View","Projeto",IF(J14&gt;=2026,"Ativo",IF(J14=2025,"Rever","Histórico")))</x:f>
        <x:v>Histórico</x:v>
      </x:c>
      <x:c r="N14" t="str"/>
      <x:c r="O14" t="str"/>
      <x:c r="P14" s="30" t="str"/>
      <x:c r="Q14" t="str">
        <x:f>IF(A14="The View","Projeto",IF(A14="Le Parc","Benchmark local",IF(OR(A14="Del Mar Waterfront",A14="Aura Living"),"Premium waterfront/marina","A classificar")))</x:f>
        <x:v>Premium waterfront/marina</x:v>
      </x:c>
      <x:c r="R14" t="str">
        <x:v>Nova construção</x:v>
      </x:c>
      <x:c r="S14" t="str"/>
      <x:c r="T14" t="str"/>
      <x:c r="U14" t="str"/>
      <x:c r="V14" t="str"/>
      <x:c r="W14" s="28" t="n">
        <x:f>IF(A14="The View",1,MAX(0.25,MIN(1,IF(J14&gt;=2026,1,IF(J14=2025,0.8,IF(J14=2024,0.45,0.3)))*IF(Q14="Premium waterfront/marina",1,IF(Q14="Benchmark local",0.7,0.6))*IF(M14="Vendido",0.65,IF(M14="Reservado",0.8,IF(M14="Histórico",0.55,1))))))</x:f>
        <x:v>0.25</x:v>
      </x:c>
      <x:c r="X14" t="str">
        <x:f>IF(A14="The View","Projeto",IF(W14&gt;=0.85,"A · Premium ativo",IF(W14&gt;=0.55,"B · Benchmark local","C · Histórico/secundário")))</x:f>
        <x:v>C · Histórico/secundário</x:v>
      </x:c>
      <x:c r="Y14" t="str">
        <x:f>IF(A14="The View","N/A",IF(AND(N14&lt;&gt;"",O14&lt;&gt;"",P14&lt;&gt;""),"Alta",IF(OR(N14&lt;&gt;"",O14&lt;&gt;"",P14&lt;&gt;""),"Média","Baixa")))</x:f>
        <x:v>Baixa</x:v>
      </x:c>
      <x:c r="Z14" t="str"/>
      <x:c r="AA14" t="str">
        <x:f>IF(A14="The View","Manter",IF(J14&lt;2026,"Atualizar preço/status",IF(Y14="Baixa","Adicionar fonte/URL/data",IF(W14&lt;0.55,"Rever comparabilidade","OK"))))</x:f>
        <x:v>Atualizar preço/status</x:v>
      </x:c>
      <x:c r="AB14" t="str">
        <x:f>IF(A14="The View","",IF(OR(J14&lt;2026,Y14="Baixa"),"Alta",IF(W14&lt;0.55,"Média","Baixa")))</x:f>
        <x:v>Alta</x:v>
      </x:c>
    </x:row>
    <x:row r="15">
      <x:c r="A15" s="1" t="s">
        <x:v>12</x:v>
      </x:c>
      <x:c r="B15" s="1" t="s">
        <x:v>29</x:v>
      </x:c>
      <x:c r="C15" s="1">
        <x:v>2</x:v>
      </x:c>
      <x:c r="D15" s="1" t="s">
        <x:v>15</x:v>
      </x:c>
      <x:c r="E15" s="1">
        <x:v>2</x:v>
      </x:c>
      <x:c r="F15" s="24">
        <x:v>127.19</x:v>
      </x:c>
      <x:c r="G15" s="24">
        <x:v>16.07</x:v>
      </x:c>
      <x:c r="H15" s="24">
        <x:v>143.26</x:v>
      </x:c>
      <x:c r="I15" s="26">
        <x:v>735000</x:v>
      </x:c>
      <x:c r="J15" s="1">
        <x:v>2024</x:v>
      </x:c>
      <x:c r="K15" s="26">
        <x:v>5778.7561915244914</x:v>
      </x:c>
      <x:c r="L15" s="26">
        <x:v>5130.5319000418822</x:v>
      </x:c>
      <x:c r="M15" t="str">
        <x:f>IF(A15="The View","Projeto",IF(J15&gt;=2026,"Ativo",IF(J15=2025,"Rever","Histórico")))</x:f>
        <x:v>Histórico</x:v>
      </x:c>
      <x:c r="N15" t="str"/>
      <x:c r="O15" t="str"/>
      <x:c r="P15" s="30" t="str"/>
      <x:c r="Q15" t="str">
        <x:f>IF(A15="The View","Projeto",IF(A15="Le Parc","Benchmark local",IF(OR(A15="Del Mar Waterfront",A15="Aura Living"),"Premium waterfront/marina","A classificar")))</x:f>
        <x:v>Premium waterfront/marina</x:v>
      </x:c>
      <x:c r="R15" t="str">
        <x:v>Nova construção</x:v>
      </x:c>
      <x:c r="S15" t="str"/>
      <x:c r="T15" t="str"/>
      <x:c r="U15" t="str"/>
      <x:c r="V15" t="str"/>
      <x:c r="W15" s="28" t="n">
        <x:f>IF(A15="The View",1,MAX(0.25,MIN(1,IF(J15&gt;=2026,1,IF(J15=2025,0.8,IF(J15=2024,0.45,0.3)))*IF(Q15="Premium waterfront/marina",1,IF(Q15="Benchmark local",0.7,0.6))*IF(M15="Vendido",0.65,IF(M15="Reservado",0.8,IF(M15="Histórico",0.55,1))))))</x:f>
        <x:v>0.25</x:v>
      </x:c>
      <x:c r="X15" t="str">
        <x:f>IF(A15="The View","Projeto",IF(W15&gt;=0.85,"A · Premium ativo",IF(W15&gt;=0.55,"B · Benchmark local","C · Histórico/secundário")))</x:f>
        <x:v>C · Histórico/secundário</x:v>
      </x:c>
      <x:c r="Y15" t="str">
        <x:f>IF(A15="The View","N/A",IF(AND(N15&lt;&gt;"",O15&lt;&gt;"",P15&lt;&gt;""),"Alta",IF(OR(N15&lt;&gt;"",O15&lt;&gt;"",P15&lt;&gt;""),"Média","Baixa")))</x:f>
        <x:v>Baixa</x:v>
      </x:c>
      <x:c r="Z15" t="str"/>
      <x:c r="AA15" t="str">
        <x:f>IF(A15="The View","Manter",IF(J15&lt;2026,"Atualizar preço/status",IF(Y15="Baixa","Adicionar fonte/URL/data",IF(W15&lt;0.55,"Rever comparabilidade","OK"))))</x:f>
        <x:v>Atualizar preço/status</x:v>
      </x:c>
      <x:c r="AB15" t="str">
        <x:f>IF(A15="The View","",IF(OR(J15&lt;2026,Y15="Baixa"),"Alta",IF(W15&lt;0.55,"Média","Baixa")))</x:f>
        <x:v>Alta</x:v>
      </x:c>
    </x:row>
    <x:row r="16">
      <x:c r="A16" s="1" t="s">
        <x:v>12</x:v>
      </x:c>
      <x:c r="B16" s="1" t="s">
        <x:v>30</x:v>
      </x:c>
      <x:c r="C16" s="1">
        <x:v>2</x:v>
      </x:c>
      <x:c r="D16" s="1" t="s">
        <x:v>15</x:v>
      </x:c>
      <x:c r="E16" s="1">
        <x:v>3</x:v>
      </x:c>
      <x:c r="F16" s="24">
        <x:v>91.72</x:v>
      </x:c>
      <x:c r="G16" s="24">
        <x:v>14.85</x:v>
      </x:c>
      <x:c r="H16" s="24">
        <x:v>106.57</x:v>
      </x:c>
      <x:c r="I16" s="26">
        <x:v>700000</x:v>
      </x:c>
      <x:c r="J16" s="1">
        <x:v>2026</x:v>
      </x:c>
      <x:c r="K16" s="26">
        <x:v>7631.9232446576534</x:v>
      </x:c>
      <x:c r="L16" s="26">
        <x:v>6568.4526602233282</x:v>
      </x:c>
      <x:c r="M16" t="str">
        <x:f>IF(A16="The View","Projeto",IF(J16&gt;=2026,"Ativo",IF(J16=2025,"Rever","Histórico")))</x:f>
        <x:v>Ativo</x:v>
      </x:c>
      <x:c r="N16" t="str"/>
      <x:c r="O16" t="str"/>
      <x:c r="P16" s="30" t="str"/>
      <x:c r="Q16" t="str">
        <x:f>IF(A16="The View","Projeto",IF(A16="Le Parc","Benchmark local",IF(OR(A16="Del Mar Waterfront",A16="Aura Living"),"Premium waterfront/marina","A classificar")))</x:f>
        <x:v>Premium waterfront/marina</x:v>
      </x:c>
      <x:c r="R16" t="str">
        <x:v>Nova construção</x:v>
      </x:c>
      <x:c r="S16" t="str"/>
      <x:c r="T16" t="str"/>
      <x:c r="U16" t="str"/>
      <x:c r="V16" t="str"/>
      <x:c r="W16" s="28" t="n">
        <x:f>IF(A16="The View",1,MAX(0.25,MIN(1,IF(J16&gt;=2026,1,IF(J16=2025,0.8,IF(J16=2024,0.45,0.3)))*IF(Q16="Premium waterfront/marina",1,IF(Q16="Benchmark local",0.7,0.6))*IF(M16="Vendido",0.65,IF(M16="Reservado",0.8,IF(M16="Histórico",0.55,1))))))</x:f>
        <x:v>1</x:v>
      </x:c>
      <x:c r="X16" t="str">
        <x:f>IF(A16="The View","Projeto",IF(W16&gt;=0.85,"A · Premium ativo",IF(W16&gt;=0.55,"B · Benchmark local","C · Histórico/secundário")))</x:f>
        <x:v>A · Premium ativo</x:v>
      </x:c>
      <x:c r="Y16" t="str">
        <x:f>IF(A16="The View","N/A",IF(AND(N16&lt;&gt;"",O16&lt;&gt;"",P16&lt;&gt;""),"Alta",IF(OR(N16&lt;&gt;"",O16&lt;&gt;"",P16&lt;&gt;""),"Média","Baixa")))</x:f>
        <x:v>Baixa</x:v>
      </x:c>
      <x:c r="Z16" t="str"/>
      <x:c r="AA16" t="str">
        <x:f>IF(A16="The View","Manter",IF(J16&lt;2026,"Atualizar preço/status",IF(Y16="Baixa","Adicionar fonte/URL/data",IF(W16&lt;0.55,"Rever comparabilidade","OK"))))</x:f>
        <x:v>Adicionar fonte/URL/data</x:v>
      </x:c>
      <x:c r="AB16" t="str">
        <x:f>IF(A16="The View","",IF(OR(J16&lt;2026,Y16="Baixa"),"Alta",IF(W16&lt;0.55,"Média","Baixa")))</x:f>
        <x:v>Alta</x:v>
      </x:c>
    </x:row>
    <x:row r="17">
      <x:c r="A17" s="1" t="s">
        <x:v>12</x:v>
      </x:c>
      <x:c r="B17" s="1" t="s">
        <x:v>31</x:v>
      </x:c>
      <x:c r="C17" s="1">
        <x:v>2</x:v>
      </x:c>
      <x:c r="D17" s="1" t="s">
        <x:v>25</x:v>
      </x:c>
      <x:c r="E17" s="1">
        <x:v>3</x:v>
      </x:c>
      <x:c r="F17" s="24">
        <x:v>70.58</x:v>
      </x:c>
      <x:c r="G17" s="24">
        <x:v>3.6</x:v>
      </x:c>
      <x:c r="H17" s="24">
        <x:v>74.179999999999993</x:v>
      </x:c>
      <x:c r="I17" s="26">
        <x:v>375000</x:v>
      </x:c>
      <x:c r="J17" s="1">
        <x:v>2024</x:v>
      </x:c>
      <x:c r="K17" s="26">
        <x:v>5313.1198639841314</x:v>
      </x:c>
      <x:c r="L17" s="26">
        <x:v>5055.2709625235921</x:v>
      </x:c>
      <x:c r="M17" t="str">
        <x:f>IF(A17="The View","Projeto",IF(J17&gt;=2026,"Ativo",IF(J17=2025,"Rever","Histórico")))</x:f>
        <x:v>Histórico</x:v>
      </x:c>
      <x:c r="N17" t="str"/>
      <x:c r="O17" t="str"/>
      <x:c r="P17" s="30" t="str"/>
      <x:c r="Q17" t="str">
        <x:f>IF(A17="The View","Projeto",IF(A17="Le Parc","Benchmark local",IF(OR(A17="Del Mar Waterfront",A17="Aura Living"),"Premium waterfront/marina","A classificar")))</x:f>
        <x:v>Premium waterfront/marina</x:v>
      </x:c>
      <x:c r="R17" t="str">
        <x:v>Nova construção</x:v>
      </x:c>
      <x:c r="S17" t="str"/>
      <x:c r="T17" t="str"/>
      <x:c r="U17" t="str"/>
      <x:c r="V17" t="str"/>
      <x:c r="W17" s="28" t="n">
        <x:f>IF(A17="The View",1,MAX(0.25,MIN(1,IF(J17&gt;=2026,1,IF(J17=2025,0.8,IF(J17=2024,0.45,0.3)))*IF(Q17="Premium waterfront/marina",1,IF(Q17="Benchmark local",0.7,0.6))*IF(M17="Vendido",0.65,IF(M17="Reservado",0.8,IF(M17="Histórico",0.55,1))))))</x:f>
        <x:v>0.25</x:v>
      </x:c>
      <x:c r="X17" t="str">
        <x:f>IF(A17="The View","Projeto",IF(W17&gt;=0.85,"A · Premium ativo",IF(W17&gt;=0.55,"B · Benchmark local","C · Histórico/secundário")))</x:f>
        <x:v>C · Histórico/secundário</x:v>
      </x:c>
      <x:c r="Y17" t="str">
        <x:f>IF(A17="The View","N/A",IF(AND(N17&lt;&gt;"",O17&lt;&gt;"",P17&lt;&gt;""),"Alta",IF(OR(N17&lt;&gt;"",O17&lt;&gt;"",P17&lt;&gt;""),"Média","Baixa")))</x:f>
        <x:v>Baixa</x:v>
      </x:c>
      <x:c r="Z17" t="str"/>
      <x:c r="AA17" t="str">
        <x:f>IF(A17="The View","Manter",IF(J17&lt;2026,"Atualizar preço/status",IF(Y17="Baixa","Adicionar fonte/URL/data",IF(W17&lt;0.55,"Rever comparabilidade","OK"))))</x:f>
        <x:v>Atualizar preço/status</x:v>
      </x:c>
      <x:c r="AB17" t="str">
        <x:f>IF(A17="The View","",IF(OR(J17&lt;2026,Y17="Baixa"),"Alta",IF(W17&lt;0.55,"Média","Baixa")))</x:f>
        <x:v>Alta</x:v>
      </x:c>
    </x:row>
    <x:row r="18">
      <x:c r="A18" s="1" t="s">
        <x:v>12</x:v>
      </x:c>
      <x:c r="B18" s="1" t="s">
        <x:v>32</x:v>
      </x:c>
      <x:c r="C18" s="1">
        <x:v>2</x:v>
      </x:c>
      <x:c r="D18" s="1" t="s">
        <x:v>15</x:v>
      </x:c>
      <x:c r="E18" s="1">
        <x:v>4</x:v>
      </x:c>
      <x:c r="F18" s="24">
        <x:v>83.01</x:v>
      </x:c>
      <x:c r="G18" s="24">
        <x:v>38.79</x:v>
      </x:c>
      <x:c r="H18" s="24">
        <x:v>121.8</x:v>
      </x:c>
      <x:c r="I18" s="26">
        <x:v>675000</x:v>
      </x:c>
      <x:c r="J18" s="1">
        <x:v>2024</x:v>
      </x:c>
      <x:c r="K18" s="26">
        <x:v>8131.5504156125762</x:v>
      </x:c>
      <x:c r="L18" s="26">
        <x:v>5541.8719211822654</x:v>
      </x:c>
      <x:c r="M18" t="str">
        <x:f>IF(A18="The View","Projeto",IF(J18&gt;=2026,"Ativo",IF(J18=2025,"Rever","Histórico")))</x:f>
        <x:v>Histórico</x:v>
      </x:c>
      <x:c r="N18" t="str"/>
      <x:c r="O18" t="str"/>
      <x:c r="P18" s="30" t="str"/>
      <x:c r="Q18" t="str">
        <x:f>IF(A18="The View","Projeto",IF(A18="Le Parc","Benchmark local",IF(OR(A18="Del Mar Waterfront",A18="Aura Living"),"Premium waterfront/marina","A classificar")))</x:f>
        <x:v>Premium waterfront/marina</x:v>
      </x:c>
      <x:c r="R18" t="str">
        <x:v>Nova construção</x:v>
      </x:c>
      <x:c r="S18" t="str"/>
      <x:c r="T18" t="str"/>
      <x:c r="U18" t="str"/>
      <x:c r="V18" t="str"/>
      <x:c r="W18" s="28" t="n">
        <x:f>IF(A18="The View",1,MAX(0.25,MIN(1,IF(J18&gt;=2026,1,IF(J18=2025,0.8,IF(J18=2024,0.45,0.3)))*IF(Q18="Premium waterfront/marina",1,IF(Q18="Benchmark local",0.7,0.6))*IF(M18="Vendido",0.65,IF(M18="Reservado",0.8,IF(M18="Histórico",0.55,1))))))</x:f>
        <x:v>0.25</x:v>
      </x:c>
      <x:c r="X18" t="str">
        <x:f>IF(A18="The View","Projeto",IF(W18&gt;=0.85,"A · Premium ativo",IF(W18&gt;=0.55,"B · Benchmark local","C · Histórico/secundário")))</x:f>
        <x:v>C · Histórico/secundário</x:v>
      </x:c>
      <x:c r="Y18" t="str">
        <x:f>IF(A18="The View","N/A",IF(AND(N18&lt;&gt;"",O18&lt;&gt;"",P18&lt;&gt;""),"Alta",IF(OR(N18&lt;&gt;"",O18&lt;&gt;"",P18&lt;&gt;""),"Média","Baixa")))</x:f>
        <x:v>Baixa</x:v>
      </x:c>
      <x:c r="Z18" t="str"/>
      <x:c r="AA18" t="str">
        <x:f>IF(A18="The View","Manter",IF(J18&lt;2026,"Atualizar preço/status",IF(Y18="Baixa","Adicionar fonte/URL/data",IF(W18&lt;0.55,"Rever comparabilidade","OK"))))</x:f>
        <x:v>Atualizar preço/status</x:v>
      </x:c>
      <x:c r="AB18" t="str">
        <x:f>IF(A18="The View","",IF(OR(J18&lt;2026,Y18="Baixa"),"Alta",IF(W18&lt;0.55,"Média","Baixa")))</x:f>
        <x:v>Alta</x:v>
      </x:c>
    </x:row>
    <x:row r="19">
      <x:c r="A19" s="1" t="s">
        <x:v>12</x:v>
      </x:c>
      <x:c r="B19" s="1" t="s">
        <x:v>33</x:v>
      </x:c>
      <x:c r="C19" s="1">
        <x:v>3</x:v>
      </x:c>
      <x:c r="D19" s="1" t="s">
        <x:v>15</x:v>
      </x:c>
      <x:c r="E19" s="1">
        <x:v>4</x:v>
      </x:c>
      <x:c r="F19" s="24">
        <x:v>127.19</x:v>
      </x:c>
      <x:c r="G19" s="24">
        <x:v>16.07</x:v>
      </x:c>
      <x:c r="H19" s="24">
        <x:v>143.26</x:v>
      </x:c>
      <x:c r="I19" s="26">
        <x:v>700000</x:v>
      </x:c>
      <x:c r="J19" s="1">
        <x:v>2024</x:v>
      </x:c>
      <x:c r="K19" s="26">
        <x:v>5503.5773252614199</x:v>
      </x:c>
      <x:c r="L19" s="26">
        <x:v>4886.220857182745</x:v>
      </x:c>
      <x:c r="M19" t="str">
        <x:f>IF(A19="The View","Projeto",IF(J19&gt;=2026,"Ativo",IF(J19=2025,"Rever","Histórico")))</x:f>
        <x:v>Histórico</x:v>
      </x:c>
      <x:c r="N19" t="str"/>
      <x:c r="O19" t="str"/>
      <x:c r="P19" s="30" t="str"/>
      <x:c r="Q19" t="str">
        <x:f>IF(A19="The View","Projeto",IF(A19="Le Parc","Benchmark local",IF(OR(A19="Del Mar Waterfront",A19="Aura Living"),"Premium waterfront/marina","A classificar")))</x:f>
        <x:v>Premium waterfront/marina</x:v>
      </x:c>
      <x:c r="R19" t="str">
        <x:v>Nova construção</x:v>
      </x:c>
      <x:c r="S19" t="str"/>
      <x:c r="T19" t="str"/>
      <x:c r="U19" t="str"/>
      <x:c r="V19" t="str"/>
      <x:c r="W19" s="28" t="n">
        <x:f>IF(A19="The View",1,MAX(0.25,MIN(1,IF(J19&gt;=2026,1,IF(J19=2025,0.8,IF(J19=2024,0.45,0.3)))*IF(Q19="Premium waterfront/marina",1,IF(Q19="Benchmark local",0.7,0.6))*IF(M19="Vendido",0.65,IF(M19="Reservado",0.8,IF(M19="Histórico",0.55,1))))))</x:f>
        <x:v>0.25</x:v>
      </x:c>
      <x:c r="X19" t="str">
        <x:f>IF(A19="The View","Projeto",IF(W19&gt;=0.85,"A · Premium ativo",IF(W19&gt;=0.55,"B · Benchmark local","C · Histórico/secundário")))</x:f>
        <x:v>C · Histórico/secundário</x:v>
      </x:c>
      <x:c r="Y19" t="str">
        <x:f>IF(A19="The View","N/A",IF(AND(N19&lt;&gt;"",O19&lt;&gt;"",P19&lt;&gt;""),"Alta",IF(OR(N19&lt;&gt;"",O19&lt;&gt;"",P19&lt;&gt;""),"Média","Baixa")))</x:f>
        <x:v>Baixa</x:v>
      </x:c>
      <x:c r="Z19" t="str"/>
      <x:c r="AA19" t="str">
        <x:f>IF(A19="The View","Manter",IF(J19&lt;2026,"Atualizar preço/status",IF(Y19="Baixa","Adicionar fonte/URL/data",IF(W19&lt;0.55,"Rever comparabilidade","OK"))))</x:f>
        <x:v>Atualizar preço/status</x:v>
      </x:c>
      <x:c r="AB19" t="str">
        <x:f>IF(A19="The View","",IF(OR(J19&lt;2026,Y19="Baixa"),"Alta",IF(W19&lt;0.55,"Média","Baixa")))</x:f>
        <x:v>Alta</x:v>
      </x:c>
    </x:row>
    <x:row r="20">
      <x:c r="A20" s="1" t="s">
        <x:v>12</x:v>
      </x:c>
      <x:c r="B20" s="1" t="s">
        <x:v>34</x:v>
      </x:c>
      <x:c r="C20" s="1">
        <x:v>3</x:v>
      </x:c>
      <x:c r="D20" s="1" t="s">
        <x:v>15</x:v>
      </x:c>
      <x:c r="E20" s="1">
        <x:v>3</x:v>
      </x:c>
      <x:c r="F20" s="24">
        <x:v>91.72</x:v>
      </x:c>
      <x:c r="G20" s="24">
        <x:v>14.85</x:v>
      </x:c>
      <x:c r="H20" s="24">
        <x:v>106.57</x:v>
      </x:c>
      <x:c r="I20" s="26">
        <x:v>670000</x:v>
      </x:c>
      <x:c r="J20" s="1">
        <x:v>2024</x:v>
      </x:c>
      <x:c r="K20" s="26">
        <x:v>7304.8408198866118</x:v>
      </x:c>
      <x:c r="L20" s="26">
        <x:v>6286.9475462137571</x:v>
      </x:c>
      <x:c r="M20" t="str">
        <x:f>IF(A20="The View","Projeto",IF(J20&gt;=2026,"Ativo",IF(J20=2025,"Rever","Histórico")))</x:f>
        <x:v>Histórico</x:v>
      </x:c>
      <x:c r="N20" t="str"/>
      <x:c r="O20" t="str"/>
      <x:c r="P20" s="30" t="str"/>
      <x:c r="Q20" t="str">
        <x:f>IF(A20="The View","Projeto",IF(A20="Le Parc","Benchmark local",IF(OR(A20="Del Mar Waterfront",A20="Aura Living"),"Premium waterfront/marina","A classificar")))</x:f>
        <x:v>Premium waterfront/marina</x:v>
      </x:c>
      <x:c r="R20" t="str">
        <x:v>Nova construção</x:v>
      </x:c>
      <x:c r="S20" t="str"/>
      <x:c r="T20" t="str"/>
      <x:c r="U20" t="str"/>
      <x:c r="V20" t="str"/>
      <x:c r="W20" s="28" t="n">
        <x:f>IF(A20="The View",1,MAX(0.25,MIN(1,IF(J20&gt;=2026,1,IF(J20=2025,0.8,IF(J20=2024,0.45,0.3)))*IF(Q20="Premium waterfront/marina",1,IF(Q20="Benchmark local",0.7,0.6))*IF(M20="Vendido",0.65,IF(M20="Reservado",0.8,IF(M20="Histórico",0.55,1))))))</x:f>
        <x:v>0.25</x:v>
      </x:c>
      <x:c r="X20" t="str">
        <x:f>IF(A20="The View","Projeto",IF(W20&gt;=0.85,"A · Premium ativo",IF(W20&gt;=0.55,"B · Benchmark local","C · Histórico/secundário")))</x:f>
        <x:v>C · Histórico/secundário</x:v>
      </x:c>
      <x:c r="Y20" t="str">
        <x:f>IF(A20="The View","N/A",IF(AND(N20&lt;&gt;"",O20&lt;&gt;"",P20&lt;&gt;""),"Alta",IF(OR(N20&lt;&gt;"",O20&lt;&gt;"",P20&lt;&gt;""),"Média","Baixa")))</x:f>
        <x:v>Baixa</x:v>
      </x:c>
      <x:c r="Z20" t="str"/>
      <x:c r="AA20" t="str">
        <x:f>IF(A20="The View","Manter",IF(J20&lt;2026,"Atualizar preço/status",IF(Y20="Baixa","Adicionar fonte/URL/data",IF(W20&lt;0.55,"Rever comparabilidade","OK"))))</x:f>
        <x:v>Atualizar preço/status</x:v>
      </x:c>
      <x:c r="AB20" t="str">
        <x:f>IF(A20="The View","",IF(OR(J20&lt;2026,Y20="Baixa"),"Alta",IF(W20&lt;0.55,"Média","Baixa")))</x:f>
        <x:v>Alta</x:v>
      </x:c>
    </x:row>
    <x:row r="21">
      <x:c r="A21" s="1" t="s">
        <x:v>12</x:v>
      </x:c>
      <x:c r="B21" s="1" t="s">
        <x:v>35</x:v>
      </x:c>
      <x:c r="C21" s="1">
        <x:v>3</x:v>
      </x:c>
      <x:c r="D21" s="1" t="s">
        <x:v>25</x:v>
      </x:c>
      <x:c r="E21" s="1">
        <x:v>3</x:v>
      </x:c>
      <x:c r="F21" s="24">
        <x:v>60.77</x:v>
      </x:c>
      <x:c r="G21" s="24">
        <x:v>3.6</x:v>
      </x:c>
      <x:c r="H21" s="24">
        <x:v>64.37</x:v>
      </x:c>
      <x:c r="I21" s="26">
        <x:v>385000</x:v>
      </x:c>
      <x:c r="J21" s="1">
        <x:v>2024</x:v>
      </x:c>
      <x:c r="K21" s="26">
        <x:v>6335.3628435083101</x:v>
      </x:c>
      <x:c r="L21" s="26">
        <x:v>5981.0470716172122</x:v>
      </x:c>
      <x:c r="M21" t="str">
        <x:f>IF(A21="The View","Projeto",IF(J21&gt;=2026,"Ativo",IF(J21=2025,"Rever","Histórico")))</x:f>
        <x:v>Histórico</x:v>
      </x:c>
      <x:c r="N21" t="str"/>
      <x:c r="O21" t="str"/>
      <x:c r="P21" s="30" t="str"/>
      <x:c r="Q21" t="str">
        <x:f>IF(A21="The View","Projeto",IF(A21="Le Parc","Benchmark local",IF(OR(A21="Del Mar Waterfront",A21="Aura Living"),"Premium waterfront/marina","A classificar")))</x:f>
        <x:v>Premium waterfront/marina</x:v>
      </x:c>
      <x:c r="R21" t="str">
        <x:v>Nova construção</x:v>
      </x:c>
      <x:c r="S21" t="str"/>
      <x:c r="T21" t="str"/>
      <x:c r="U21" t="str"/>
      <x:c r="V21" t="str"/>
      <x:c r="W21" s="28" t="n">
        <x:f>IF(A21="The View",1,MAX(0.25,MIN(1,IF(J21&gt;=2026,1,IF(J21=2025,0.8,IF(J21=2024,0.45,0.3)))*IF(Q21="Premium waterfront/marina",1,IF(Q21="Benchmark local",0.7,0.6))*IF(M21="Vendido",0.65,IF(M21="Reservado",0.8,IF(M21="Histórico",0.55,1))))))</x:f>
        <x:v>0.25</x:v>
      </x:c>
      <x:c r="X21" t="str">
        <x:f>IF(A21="The View","Projeto",IF(W21&gt;=0.85,"A · Premium ativo",IF(W21&gt;=0.55,"B · Benchmark local","C · Histórico/secundário")))</x:f>
        <x:v>C · Histórico/secundário</x:v>
      </x:c>
      <x:c r="Y21" t="str">
        <x:f>IF(A21="The View","N/A",IF(AND(N21&lt;&gt;"",O21&lt;&gt;"",P21&lt;&gt;""),"Alta",IF(OR(N21&lt;&gt;"",O21&lt;&gt;"",P21&lt;&gt;""),"Média","Baixa")))</x:f>
        <x:v>Baixa</x:v>
      </x:c>
      <x:c r="Z21" t="str"/>
      <x:c r="AA21" t="str">
        <x:f>IF(A21="The View","Manter",IF(J21&lt;2026,"Atualizar preço/status",IF(Y21="Baixa","Adicionar fonte/URL/data",IF(W21&lt;0.55,"Rever comparabilidade","OK"))))</x:f>
        <x:v>Atualizar preço/status</x:v>
      </x:c>
      <x:c r="AB21" t="str">
        <x:f>IF(A21="The View","",IF(OR(J21&lt;2026,Y21="Baixa"),"Alta",IF(W21&lt;0.55,"Média","Baixa")))</x:f>
        <x:v>Alta</x:v>
      </x:c>
    </x:row>
    <x:row r="22">
      <x:c r="A22" s="1" t="s">
        <x:v>12</x:v>
      </x:c>
      <x:c r="B22" s="1" t="s">
        <x:v>36</x:v>
      </x:c>
      <x:c r="C22" s="1">
        <x:v>4</x:v>
      </x:c>
      <x:c r="D22" s="1" t="s">
        <x:v>15</x:v>
      </x:c>
      <x:c r="E22" s="1">
        <x:v>3</x:v>
      </x:c>
      <x:c r="F22" s="24">
        <x:v>91.72</x:v>
      </x:c>
      <x:c r="G22" s="24">
        <x:v>14.85</x:v>
      </x:c>
      <x:c r="H22" s="24">
        <x:v>106.57</x:v>
      </x:c>
      <x:c r="I22" s="26">
        <x:v>685000</x:v>
      </x:c>
      <x:c r="J22" s="1">
        <x:v>2024</x:v>
      </x:c>
      <x:c r="K22" s="26">
        <x:v>7468.3820322721331</x:v>
      </x:c>
      <x:c r="L22" s="26">
        <x:v>6427.7001032185426</x:v>
      </x:c>
      <x:c r="M22" t="str">
        <x:f>IF(A22="The View","Projeto",IF(J22&gt;=2026,"Ativo",IF(J22=2025,"Rever","Histórico")))</x:f>
        <x:v>Histórico</x:v>
      </x:c>
      <x:c r="N22" t="str"/>
      <x:c r="O22" t="str"/>
      <x:c r="P22" s="30" t="str"/>
      <x:c r="Q22" t="str">
        <x:f>IF(A22="The View","Projeto",IF(A22="Le Parc","Benchmark local",IF(OR(A22="Del Mar Waterfront",A22="Aura Living"),"Premium waterfront/marina","A classificar")))</x:f>
        <x:v>Premium waterfront/marina</x:v>
      </x:c>
      <x:c r="R22" t="str">
        <x:v>Nova construção</x:v>
      </x:c>
      <x:c r="S22" t="str"/>
      <x:c r="T22" t="str"/>
      <x:c r="U22" t="str"/>
      <x:c r="V22" t="str"/>
      <x:c r="W22" s="28" t="n">
        <x:f>IF(A22="The View",1,MAX(0.25,MIN(1,IF(J22&gt;=2026,1,IF(J22=2025,0.8,IF(J22=2024,0.45,0.3)))*IF(Q22="Premium waterfront/marina",1,IF(Q22="Benchmark local",0.7,0.6))*IF(M22="Vendido",0.65,IF(M22="Reservado",0.8,IF(M22="Histórico",0.55,1))))))</x:f>
        <x:v>0.25</x:v>
      </x:c>
      <x:c r="X22" t="str">
        <x:f>IF(A22="The View","Projeto",IF(W22&gt;=0.85,"A · Premium ativo",IF(W22&gt;=0.55,"B · Benchmark local","C · Histórico/secundário")))</x:f>
        <x:v>C · Histórico/secundário</x:v>
      </x:c>
      <x:c r="Y22" t="str">
        <x:f>IF(A22="The View","N/A",IF(AND(N22&lt;&gt;"",O22&lt;&gt;"",P22&lt;&gt;""),"Alta",IF(OR(N22&lt;&gt;"",O22&lt;&gt;"",P22&lt;&gt;""),"Média","Baixa")))</x:f>
        <x:v>Baixa</x:v>
      </x:c>
      <x:c r="Z22" t="str"/>
      <x:c r="AA22" t="str">
        <x:f>IF(A22="The View","Manter",IF(J22&lt;2026,"Atualizar preço/status",IF(Y22="Baixa","Adicionar fonte/URL/data",IF(W22&lt;0.55,"Rever comparabilidade","OK"))))</x:f>
        <x:v>Atualizar preço/status</x:v>
      </x:c>
      <x:c r="AB22" t="str">
        <x:f>IF(A22="The View","",IF(OR(J22&lt;2026,Y22="Baixa"),"Alta",IF(W22&lt;0.55,"Média","Baixa")))</x:f>
        <x:v>Alta</x:v>
      </x:c>
    </x:row>
    <x:row r="23">
      <x:c r="A23" s="1" t="s">
        <x:v>12</x:v>
      </x:c>
      <x:c r="B23" s="1" t="s">
        <x:v>37</x:v>
      </x:c>
      <x:c r="C23" s="1">
        <x:v>4</x:v>
      </x:c>
      <x:c r="D23" s="1" t="s">
        <x:v>25</x:v>
      </x:c>
      <x:c r="E23" s="1">
        <x:v>3</x:v>
      </x:c>
      <x:c r="F23" s="24">
        <x:v>60.77</x:v>
      </x:c>
      <x:c r="G23" s="24">
        <x:v>3.6</x:v>
      </x:c>
      <x:c r="H23" s="24">
        <x:v>64.37</x:v>
      </x:c>
      <x:c r="I23" s="26">
        <x:v>395000</x:v>
      </x:c>
      <x:c r="J23" s="1">
        <x:v>2024</x:v>
      </x:c>
      <x:c r="K23" s="26">
        <x:v>6499.9177225604744</x:v>
      </x:c>
      <x:c r="L23" s="26">
        <x:v>6136.3989436072698</x:v>
      </x:c>
      <x:c r="M23" t="str">
        <x:f>IF(A23="The View","Projeto",IF(J23&gt;=2026,"Ativo",IF(J23=2025,"Rever","Histórico")))</x:f>
        <x:v>Histórico</x:v>
      </x:c>
      <x:c r="N23" t="str"/>
      <x:c r="O23" t="str"/>
      <x:c r="P23" s="30" t="str"/>
      <x:c r="Q23" t="str">
        <x:f>IF(A23="The View","Projeto",IF(A23="Le Parc","Benchmark local",IF(OR(A23="Del Mar Waterfront",A23="Aura Living"),"Premium waterfront/marina","A classificar")))</x:f>
        <x:v>Premium waterfront/marina</x:v>
      </x:c>
      <x:c r="R23" t="str">
        <x:v>Nova construção</x:v>
      </x:c>
      <x:c r="S23" t="str"/>
      <x:c r="T23" t="str"/>
      <x:c r="U23" t="str"/>
      <x:c r="V23" t="str"/>
      <x:c r="W23" s="28" t="n">
        <x:f>IF(A23="The View",1,MAX(0.25,MIN(1,IF(J23&gt;=2026,1,IF(J23=2025,0.8,IF(J23=2024,0.45,0.3)))*IF(Q23="Premium waterfront/marina",1,IF(Q23="Benchmark local",0.7,0.6))*IF(M23="Vendido",0.65,IF(M23="Reservado",0.8,IF(M23="Histórico",0.55,1))))))</x:f>
        <x:v>0.25</x:v>
      </x:c>
      <x:c r="X23" t="str">
        <x:f>IF(A23="The View","Projeto",IF(W23&gt;=0.85,"A · Premium ativo",IF(W23&gt;=0.55,"B · Benchmark local","C · Histórico/secundário")))</x:f>
        <x:v>C · Histórico/secundário</x:v>
      </x:c>
      <x:c r="Y23" t="str">
        <x:f>IF(A23="The View","N/A",IF(AND(N23&lt;&gt;"",O23&lt;&gt;"",P23&lt;&gt;""),"Alta",IF(OR(N23&lt;&gt;"",O23&lt;&gt;"",P23&lt;&gt;""),"Média","Baixa")))</x:f>
        <x:v>Baixa</x:v>
      </x:c>
      <x:c r="Z23" t="str"/>
      <x:c r="AA23" t="str">
        <x:f>IF(A23="The View","Manter",IF(J23&lt;2026,"Atualizar preço/status",IF(Y23="Baixa","Adicionar fonte/URL/data",IF(W23&lt;0.55,"Rever comparabilidade","OK"))))</x:f>
        <x:v>Atualizar preço/status</x:v>
      </x:c>
      <x:c r="AB23" t="str">
        <x:f>IF(A23="The View","",IF(OR(J23&lt;2026,Y23="Baixa"),"Alta",IF(W23&lt;0.55,"Média","Baixa")))</x:f>
        <x:v>Alta</x:v>
      </x:c>
    </x:row>
    <x:row r="24">
      <x:c r="A24" s="1" t="s">
        <x:v>12</x:v>
      </x:c>
      <x:c r="B24" s="1" t="s">
        <x:v>38</x:v>
      </x:c>
      <x:c r="C24" s="1" t="s">
        <x:v>14</x:v>
      </x:c>
      <x:c r="D24" s="1" t="s">
        <x:v>15</x:v>
      </x:c>
      <x:c r="E24" s="1">
        <x:v>2</x:v>
      </x:c>
      <x:c r="F24" s="24">
        <x:v>123.63</x:v>
      </x:c>
      <x:c r="G24" s="24">
        <x:v>32.869999999999997</x:v>
      </x:c>
      <x:c r="H24" s="24">
        <x:v>156.5</x:v>
      </x:c>
      <x:c r="I24" s="26">
        <x:v>1310000</x:v>
      </x:c>
      <x:c r="J24" s="1">
        <x:v>2026</x:v>
      </x:c>
      <x:c r="K24" s="26">
        <x:v>10596.133624524789</x:v>
      </x:c>
      <x:c r="L24" s="26">
        <x:v>8370.6070287539933</x:v>
      </x:c>
      <x:c r="M24" t="str">
        <x:f>IF(A24="The View","Projeto",IF(J24&gt;=2026,"Ativo",IF(J24=2025,"Rever","Histórico")))</x:f>
        <x:v>Ativo</x:v>
      </x:c>
      <x:c r="N24" t="str"/>
      <x:c r="O24" t="str"/>
      <x:c r="P24" s="30" t="str"/>
      <x:c r="Q24" t="str">
        <x:f>IF(A24="The View","Projeto",IF(A24="Le Parc","Benchmark local",IF(OR(A24="Del Mar Waterfront",A24="Aura Living"),"Premium waterfront/marina","A classificar")))</x:f>
        <x:v>Premium waterfront/marina</x:v>
      </x:c>
      <x:c r="R24" t="str">
        <x:v>Nova construção</x:v>
      </x:c>
      <x:c r="S24" t="str"/>
      <x:c r="T24" t="str"/>
      <x:c r="U24" t="str"/>
      <x:c r="V24" t="str"/>
      <x:c r="W24" s="28" t="n">
        <x:f>IF(A24="The View",1,MAX(0.25,MIN(1,IF(J24&gt;=2026,1,IF(J24=2025,0.8,IF(J24=2024,0.45,0.3)))*IF(Q24="Premium waterfront/marina",1,IF(Q24="Benchmark local",0.7,0.6))*IF(M24="Vendido",0.65,IF(M24="Reservado",0.8,IF(M24="Histórico",0.55,1))))))</x:f>
        <x:v>1</x:v>
      </x:c>
      <x:c r="X24" t="str">
        <x:f>IF(A24="The View","Projeto",IF(W24&gt;=0.85,"A · Premium ativo",IF(W24&gt;=0.55,"B · Benchmark local","C · Histórico/secundário")))</x:f>
        <x:v>A · Premium ativo</x:v>
      </x:c>
      <x:c r="Y24" t="str">
        <x:f>IF(A24="The View","N/A",IF(AND(N24&lt;&gt;"",O24&lt;&gt;"",P24&lt;&gt;""),"Alta",IF(OR(N24&lt;&gt;"",O24&lt;&gt;"",P24&lt;&gt;""),"Média","Baixa")))</x:f>
        <x:v>Baixa</x:v>
      </x:c>
      <x:c r="Z24" t="str"/>
      <x:c r="AA24" t="str">
        <x:f>IF(A24="The View","Manter",IF(J24&lt;2026,"Atualizar preço/status",IF(Y24="Baixa","Adicionar fonte/URL/data",IF(W24&lt;0.55,"Rever comparabilidade","OK"))))</x:f>
        <x:v>Adicionar fonte/URL/data</x:v>
      </x:c>
      <x:c r="AB24" t="str">
        <x:f>IF(A24="The View","",IF(OR(J24&lt;2026,Y24="Baixa"),"Alta",IF(W24&lt;0.55,"Média","Baixa")))</x:f>
        <x:v>Alta</x:v>
      </x:c>
    </x:row>
    <x:row r="25">
      <x:c r="A25" s="1" t="s">
        <x:v>12</x:v>
      </x:c>
      <x:c r="B25" s="1" t="s">
        <x:v>39</x:v>
      </x:c>
      <x:c r="C25" s="1" t="s">
        <x:v>14</x:v>
      </x:c>
      <x:c r="D25" s="1" t="s">
        <x:v>15</x:v>
      </x:c>
      <x:c r="E25" s="1">
        <x:v>1</x:v>
      </x:c>
      <x:c r="F25" s="24">
        <x:v>135.72999999999999</x:v>
      </x:c>
      <x:c r="G25" s="24">
        <x:v>32.15</x:v>
      </x:c>
      <x:c r="H25" s="24">
        <x:v>167.88</x:v>
      </x:c>
      <x:c r="I25" s="26">
        <x:v>1310000</x:v>
      </x:c>
      <x:c r="J25" s="1">
        <x:v>2026</x:v>
      </x:c>
      <x:c r="K25" s="26">
        <x:v>9651.5140352169765</x:v>
      </x:c>
      <x:c r="L25" s="26">
        <x:v>7803.1927567309986</x:v>
      </x:c>
      <x:c r="M25" t="str">
        <x:f>IF(A25="The View","Projeto",IF(J25&gt;=2026,"Ativo",IF(J25=2025,"Rever","Histórico")))</x:f>
        <x:v>Ativo</x:v>
      </x:c>
      <x:c r="N25" t="str"/>
      <x:c r="O25" t="str"/>
      <x:c r="P25" s="30" t="str"/>
      <x:c r="Q25" t="str">
        <x:f>IF(A25="The View","Projeto",IF(A25="Le Parc","Benchmark local",IF(OR(A25="Del Mar Waterfront",A25="Aura Living"),"Premium waterfront/marina","A classificar")))</x:f>
        <x:v>Premium waterfront/marina</x:v>
      </x:c>
      <x:c r="R25" t="str">
        <x:v>Nova construção</x:v>
      </x:c>
      <x:c r="S25" t="str"/>
      <x:c r="T25" t="str"/>
      <x:c r="U25" t="str"/>
      <x:c r="V25" t="str"/>
      <x:c r="W25" s="28" t="n">
        <x:f>IF(A25="The View",1,MAX(0.25,MIN(1,IF(J25&gt;=2026,1,IF(J25=2025,0.8,IF(J25=2024,0.45,0.3)))*IF(Q25="Premium waterfront/marina",1,IF(Q25="Benchmark local",0.7,0.6))*IF(M25="Vendido",0.65,IF(M25="Reservado",0.8,IF(M25="Histórico",0.55,1))))))</x:f>
        <x:v>1</x:v>
      </x:c>
      <x:c r="X25" t="str">
        <x:f>IF(A25="The View","Projeto",IF(W25&gt;=0.85,"A · Premium ativo",IF(W25&gt;=0.55,"B · Benchmark local","C · Histórico/secundário")))</x:f>
        <x:v>A · Premium ativo</x:v>
      </x:c>
      <x:c r="Y25" t="str">
        <x:f>IF(A25="The View","N/A",IF(AND(N25&lt;&gt;"",O25&lt;&gt;"",P25&lt;&gt;""),"Alta",IF(OR(N25&lt;&gt;"",O25&lt;&gt;"",P25&lt;&gt;""),"Média","Baixa")))</x:f>
        <x:v>Baixa</x:v>
      </x:c>
      <x:c r="Z25" t="str"/>
      <x:c r="AA25" t="str">
        <x:f>IF(A25="The View","Manter",IF(J25&lt;2026,"Atualizar preço/status",IF(Y25="Baixa","Adicionar fonte/URL/data",IF(W25&lt;0.55,"Rever comparabilidade","OK"))))</x:f>
        <x:v>Adicionar fonte/URL/data</x:v>
      </x:c>
      <x:c r="AB25" t="str">
        <x:f>IF(A25="The View","",IF(OR(J25&lt;2026,Y25="Baixa"),"Alta",IF(W25&lt;0.55,"Média","Baixa")))</x:f>
        <x:v>Alta</x:v>
      </x:c>
    </x:row>
    <x:row r="26">
      <x:c r="A26" s="1" t="s">
        <x:v>12</x:v>
      </x:c>
      <x:c r="B26" s="1" t="s">
        <x:v>40</x:v>
      </x:c>
      <x:c r="C26" s="1" t="s">
        <x:v>14</x:v>
      </x:c>
      <x:c r="D26" s="1" t="s">
        <x:v>25</x:v>
      </x:c>
      <x:c r="E26" s="1">
        <x:v>2</x:v>
      </x:c>
      <x:c r="F26" s="24">
        <x:v>72.150000000000006</x:v>
      </x:c>
      <x:c r="G26" s="24">
        <x:v>15.6</x:v>
      </x:c>
      <x:c r="H26" s="24">
        <x:v>87.75</x:v>
      </x:c>
      <x:c r="I26" s="26">
        <x:v>375000</x:v>
      </x:c>
      <x:c r="J26" s="1">
        <x:v>2024</x:v>
      </x:c>
      <x:c r="K26" s="26">
        <x:v>5197.5051975051974</x:v>
      </x:c>
      <x:c r="L26" s="26">
        <x:v>4273.5042735042734</x:v>
      </x:c>
      <x:c r="M26" t="str">
        <x:f>IF(A26="The View","Projeto",IF(J26&gt;=2026,"Ativo",IF(J26=2025,"Rever","Histórico")))</x:f>
        <x:v>Histórico</x:v>
      </x:c>
      <x:c r="N26" t="str"/>
      <x:c r="O26" t="str"/>
      <x:c r="P26" s="30" t="str"/>
      <x:c r="Q26" t="str">
        <x:f>IF(A26="The View","Projeto",IF(A26="Le Parc","Benchmark local",IF(OR(A26="Del Mar Waterfront",A26="Aura Living"),"Premium waterfront/marina","A classificar")))</x:f>
        <x:v>Premium waterfront/marina</x:v>
      </x:c>
      <x:c r="R26" t="str">
        <x:v>Nova construção</x:v>
      </x:c>
      <x:c r="S26" t="str"/>
      <x:c r="T26" t="str"/>
      <x:c r="U26" t="str"/>
      <x:c r="V26" t="str"/>
      <x:c r="W26" s="28" t="n">
        <x:f>IF(A26="The View",1,MAX(0.25,MIN(1,IF(J26&gt;=2026,1,IF(J26=2025,0.8,IF(J26=2024,0.45,0.3)))*IF(Q26="Premium waterfront/marina",1,IF(Q26="Benchmark local",0.7,0.6))*IF(M26="Vendido",0.65,IF(M26="Reservado",0.8,IF(M26="Histórico",0.55,1))))))</x:f>
        <x:v>0.25</x:v>
      </x:c>
      <x:c r="X26" t="str">
        <x:f>IF(A26="The View","Projeto",IF(W26&gt;=0.85,"A · Premium ativo",IF(W26&gt;=0.55,"B · Benchmark local","C · Histórico/secundário")))</x:f>
        <x:v>C · Histórico/secundário</x:v>
      </x:c>
      <x:c r="Y26" t="str">
        <x:f>IF(A26="The View","N/A",IF(AND(N26&lt;&gt;"",O26&lt;&gt;"",P26&lt;&gt;""),"Alta",IF(OR(N26&lt;&gt;"",O26&lt;&gt;"",P26&lt;&gt;""),"Média","Baixa")))</x:f>
        <x:v>Baixa</x:v>
      </x:c>
      <x:c r="Z26" t="str"/>
      <x:c r="AA26" t="str">
        <x:f>IF(A26="The View","Manter",IF(J26&lt;2026,"Atualizar preço/status",IF(Y26="Baixa","Adicionar fonte/URL/data",IF(W26&lt;0.55,"Rever comparabilidade","OK"))))</x:f>
        <x:v>Atualizar preço/status</x:v>
      </x:c>
      <x:c r="AB26" t="str">
        <x:f>IF(A26="The View","",IF(OR(J26&lt;2026,Y26="Baixa"),"Alta",IF(W26&lt;0.55,"Média","Baixa")))</x:f>
        <x:v>Alta</x:v>
      </x:c>
    </x:row>
    <x:row r="27">
      <x:c r="A27" s="1" t="s">
        <x:v>12</x:v>
      </x:c>
      <x:c r="B27" s="1" t="s">
        <x:v>41</x:v>
      </x:c>
      <x:c r="C27" s="1" t="s">
        <x:v>14</x:v>
      </x:c>
      <x:c r="D27" s="1" t="s">
        <x:v>25</x:v>
      </x:c>
      <x:c r="E27" s="1">
        <x:v>2</x:v>
      </x:c>
      <x:c r="F27" s="24">
        <x:v>89.39</x:v>
      </x:c>
      <x:c r="G27" s="24">
        <x:v>16.61</x:v>
      </x:c>
      <x:c r="H27" s="24">
        <x:v>106</x:v>
      </x:c>
      <x:c r="I27" s="26">
        <x:v>395000</x:v>
      </x:c>
      <x:c r="J27" s="1">
        <x:v>2024</x:v>
      </x:c>
      <x:c r="K27" s="26">
        <x:v>4418.8387962859379</x:v>
      </x:c>
      <x:c r="L27" s="26">
        <x:v>3726.415094339623</x:v>
      </x:c>
      <x:c r="M27" t="str">
        <x:f>IF(A27="The View","Projeto",IF(J27&gt;=2026,"Ativo",IF(J27=2025,"Rever","Histórico")))</x:f>
        <x:v>Histórico</x:v>
      </x:c>
      <x:c r="N27" t="str"/>
      <x:c r="O27" t="str"/>
      <x:c r="P27" s="30" t="str"/>
      <x:c r="Q27" t="str">
        <x:f>IF(A27="The View","Projeto",IF(A27="Le Parc","Benchmark local",IF(OR(A27="Del Mar Waterfront",A27="Aura Living"),"Premium waterfront/marina","A classificar")))</x:f>
        <x:v>Premium waterfront/marina</x:v>
      </x:c>
      <x:c r="R27" t="str">
        <x:v>Nova construção</x:v>
      </x:c>
      <x:c r="S27" t="str"/>
      <x:c r="T27" t="str"/>
      <x:c r="U27" t="str"/>
      <x:c r="V27" t="str"/>
      <x:c r="W27" s="28" t="n">
        <x:f>IF(A27="The View",1,MAX(0.25,MIN(1,IF(J27&gt;=2026,1,IF(J27=2025,0.8,IF(J27=2024,0.45,0.3)))*IF(Q27="Premium waterfront/marina",1,IF(Q27="Benchmark local",0.7,0.6))*IF(M27="Vendido",0.65,IF(M27="Reservado",0.8,IF(M27="Histórico",0.55,1))))))</x:f>
        <x:v>0.25</x:v>
      </x:c>
      <x:c r="X27" t="str">
        <x:f>IF(A27="The View","Projeto",IF(W27&gt;=0.85,"A · Premium ativo",IF(W27&gt;=0.55,"B · Benchmark local","C · Histórico/secundário")))</x:f>
        <x:v>C · Histórico/secundário</x:v>
      </x:c>
      <x:c r="Y27" t="str">
        <x:f>IF(A27="The View","N/A",IF(AND(N27&lt;&gt;"",O27&lt;&gt;"",P27&lt;&gt;""),"Alta",IF(OR(N27&lt;&gt;"",O27&lt;&gt;"",P27&lt;&gt;""),"Média","Baixa")))</x:f>
        <x:v>Baixa</x:v>
      </x:c>
      <x:c r="Z27" t="str"/>
      <x:c r="AA27" t="str">
        <x:f>IF(A27="The View","Manter",IF(J27&lt;2026,"Atualizar preço/status",IF(Y27="Baixa","Adicionar fonte/URL/data",IF(W27&lt;0.55,"Rever comparabilidade","OK"))))</x:f>
        <x:v>Atualizar preço/status</x:v>
      </x:c>
      <x:c r="AB27" t="str">
        <x:f>IF(A27="The View","",IF(OR(J27&lt;2026,Y27="Baixa"),"Alta",IF(W27&lt;0.55,"Média","Baixa")))</x:f>
        <x:v>Alta</x:v>
      </x:c>
    </x:row>
    <x:row r="28">
      <x:c r="A28" s="1" t="s">
        <x:v>12</x:v>
      </x:c>
      <x:c r="B28" s="1" t="s">
        <x:v>42</x:v>
      </x:c>
      <x:c r="C28" s="1" t="s">
        <x:v>14</x:v>
      </x:c>
      <x:c r="D28" s="1" t="s">
        <x:v>15</x:v>
      </x:c>
      <x:c r="E28" s="1">
        <x:v>2</x:v>
      </x:c>
      <x:c r="F28" s="24">
        <x:v>120.58</x:v>
      </x:c>
      <x:c r="G28" s="24">
        <x:v>22.83</x:v>
      </x:c>
      <x:c r="H28" s="24">
        <x:v>143.41</x:v>
      </x:c>
      <x:c r="I28" s="26">
        <x:v>660000</x:v>
      </x:c>
      <x:c r="J28" s="1">
        <x:v>2024</x:v>
      </x:c>
      <x:c r="K28" s="26">
        <x:v>5473.5445347487148</x:v>
      </x:c>
      <x:c r="L28" s="26">
        <x:v>4602.1895265323201</x:v>
      </x:c>
      <x:c r="M28" t="str">
        <x:f>IF(A28="The View","Projeto",IF(J28&gt;=2026,"Ativo",IF(J28=2025,"Rever","Histórico")))</x:f>
        <x:v>Histórico</x:v>
      </x:c>
      <x:c r="N28" t="str"/>
      <x:c r="O28" t="str"/>
      <x:c r="P28" s="30" t="str"/>
      <x:c r="Q28" t="str">
        <x:f>IF(A28="The View","Projeto",IF(A28="Le Parc","Benchmark local",IF(OR(A28="Del Mar Waterfront",A28="Aura Living"),"Premium waterfront/marina","A classificar")))</x:f>
        <x:v>Premium waterfront/marina</x:v>
      </x:c>
      <x:c r="R28" t="str">
        <x:v>Nova construção</x:v>
      </x:c>
      <x:c r="S28" t="str"/>
      <x:c r="T28" t="str"/>
      <x:c r="U28" t="str"/>
      <x:c r="V28" t="str"/>
      <x:c r="W28" s="28" t="n">
        <x:f>IF(A28="The View",1,MAX(0.25,MIN(1,IF(J28&gt;=2026,1,IF(J28=2025,0.8,IF(J28=2024,0.45,0.3)))*IF(Q28="Premium waterfront/marina",1,IF(Q28="Benchmark local",0.7,0.6))*IF(M28="Vendido",0.65,IF(M28="Reservado",0.8,IF(M28="Histórico",0.55,1))))))</x:f>
        <x:v>0.25</x:v>
      </x:c>
      <x:c r="X28" t="str">
        <x:f>IF(A28="The View","Projeto",IF(W28&gt;=0.85,"A · Premium ativo",IF(W28&gt;=0.55,"B · Benchmark local","C · Histórico/secundário")))</x:f>
        <x:v>C · Histórico/secundário</x:v>
      </x:c>
      <x:c r="Y28" t="str">
        <x:f>IF(A28="The View","N/A",IF(AND(N28&lt;&gt;"",O28&lt;&gt;"",P28&lt;&gt;""),"Alta",IF(OR(N28&lt;&gt;"",O28&lt;&gt;"",P28&lt;&gt;""),"Média","Baixa")))</x:f>
        <x:v>Baixa</x:v>
      </x:c>
      <x:c r="Z28" t="str"/>
      <x:c r="AA28" t="str">
        <x:f>IF(A28="The View","Manter",IF(J28&lt;2026,"Atualizar preço/status",IF(Y28="Baixa","Adicionar fonte/URL/data",IF(W28&lt;0.55,"Rever comparabilidade","OK"))))</x:f>
        <x:v>Atualizar preço/status</x:v>
      </x:c>
      <x:c r="AB28" t="str">
        <x:f>IF(A28="The View","",IF(OR(J28&lt;2026,Y28="Baixa"),"Alta",IF(W28&lt;0.55,"Média","Baixa")))</x:f>
        <x:v>Alta</x:v>
      </x:c>
    </x:row>
    <x:row r="29">
      <x:c r="A29" s="1" t="s">
        <x:v>12</x:v>
      </x:c>
      <x:c r="B29" s="1" t="s">
        <x:v>43</x:v>
      </x:c>
      <x:c r="C29" s="1" t="s">
        <x:v>14</x:v>
      </x:c>
      <x:c r="D29" s="1" t="s">
        <x:v>25</x:v>
      </x:c>
      <x:c r="E29" s="1">
        <x:v>2</x:v>
      </x:c>
      <x:c r="F29" s="24">
        <x:v>85.19</x:v>
      </x:c>
      <x:c r="G29" s="24">
        <x:v>18.46</x:v>
      </x:c>
      <x:c r="H29" s="24">
        <x:v>103.65</x:v>
      </x:c>
      <x:c r="I29" s="26">
        <x:v>385000</x:v>
      </x:c>
      <x:c r="J29" s="1">
        <x:v>2024</x:v>
      </x:c>
      <x:c r="K29" s="26">
        <x:v>4519.3097781429742</x:v>
      </x:c>
      <x:c r="L29" s="26">
        <x:v>3714.42354076218</x:v>
      </x:c>
      <x:c r="M29" t="str">
        <x:f>IF(A29="The View","Projeto",IF(J29&gt;=2026,"Ativo",IF(J29=2025,"Rever","Histórico")))</x:f>
        <x:v>Histórico</x:v>
      </x:c>
      <x:c r="N29" t="str"/>
      <x:c r="O29" t="str"/>
      <x:c r="P29" s="30" t="str"/>
      <x:c r="Q29" t="str">
        <x:f>IF(A29="The View","Projeto",IF(A29="Le Parc","Benchmark local",IF(OR(A29="Del Mar Waterfront",A29="Aura Living"),"Premium waterfront/marina","A classificar")))</x:f>
        <x:v>Premium waterfront/marina</x:v>
      </x:c>
      <x:c r="R29" t="str">
        <x:v>Nova construção</x:v>
      </x:c>
      <x:c r="S29" t="str"/>
      <x:c r="T29" t="str"/>
      <x:c r="U29" t="str"/>
      <x:c r="V29" t="str"/>
      <x:c r="W29" s="28" t="n">
        <x:f>IF(A29="The View",1,MAX(0.25,MIN(1,IF(J29&gt;=2026,1,IF(J29=2025,0.8,IF(J29=2024,0.45,0.3)))*IF(Q29="Premium waterfront/marina",1,IF(Q29="Benchmark local",0.7,0.6))*IF(M29="Vendido",0.65,IF(M29="Reservado",0.8,IF(M29="Histórico",0.55,1))))))</x:f>
        <x:v>0.25</x:v>
      </x:c>
      <x:c r="X29" t="str">
        <x:f>IF(A29="The View","Projeto",IF(W29&gt;=0.85,"A · Premium ativo",IF(W29&gt;=0.55,"B · Benchmark local","C · Histórico/secundário")))</x:f>
        <x:v>C · Histórico/secundário</x:v>
      </x:c>
      <x:c r="Y29" t="str">
        <x:f>IF(A29="The View","N/A",IF(AND(N29&lt;&gt;"",O29&lt;&gt;"",P29&lt;&gt;""),"Alta",IF(OR(N29&lt;&gt;"",O29&lt;&gt;"",P29&lt;&gt;""),"Média","Baixa")))</x:f>
        <x:v>Baixa</x:v>
      </x:c>
      <x:c r="Z29" t="str"/>
      <x:c r="AA29" t="str">
        <x:f>IF(A29="The View","Manter",IF(J29&lt;2026,"Atualizar preço/status",IF(Y29="Baixa","Adicionar fonte/URL/data",IF(W29&lt;0.55,"Rever comparabilidade","OK"))))</x:f>
        <x:v>Atualizar preço/status</x:v>
      </x:c>
      <x:c r="AB29" t="str">
        <x:f>IF(A29="The View","",IF(OR(J29&lt;2026,Y29="Baixa"),"Alta",IF(W29&lt;0.55,"Média","Baixa")))</x:f>
        <x:v>Alta</x:v>
      </x:c>
    </x:row>
    <x:row r="30">
      <x:c r="A30" s="1" t="s">
        <x:v>12</x:v>
      </x:c>
      <x:c r="B30" s="1" t="s">
        <x:v>44</x:v>
      </x:c>
      <x:c r="C30" s="1" t="s">
        <x:v>14</x:v>
      </x:c>
      <x:c r="D30" s="1" t="s">
        <x:v>15</x:v>
      </x:c>
      <x:c r="E30" s="1">
        <x:v>3</x:v>
      </x:c>
      <x:c r="F30" s="24">
        <x:v>107.95</x:v>
      </x:c>
      <x:c r="G30" s="24">
        <x:v>19.3</x:v>
      </x:c>
      <x:c r="H30" s="24">
        <x:v>127.25</x:v>
      </x:c>
      <x:c r="I30" s="26">
        <x:v>575000</x:v>
      </x:c>
      <x:c r="J30" s="1">
        <x:v>2024</x:v>
      </x:c>
      <x:c r="K30" s="26">
        <x:v>5326.5400648448358</x:v>
      </x:c>
      <x:c r="L30" s="26">
        <x:v>4518.6640471512774</x:v>
      </x:c>
      <x:c r="M30" t="str">
        <x:f>IF(A30="The View","Projeto",IF(J30&gt;=2026,"Ativo",IF(J30=2025,"Rever","Histórico")))</x:f>
        <x:v>Histórico</x:v>
      </x:c>
      <x:c r="N30" t="str"/>
      <x:c r="O30" t="str"/>
      <x:c r="P30" s="30" t="str"/>
      <x:c r="Q30" t="str">
        <x:f>IF(A30="The View","Projeto",IF(A30="Le Parc","Benchmark local",IF(OR(A30="Del Mar Waterfront",A30="Aura Living"),"Premium waterfront/marina","A classificar")))</x:f>
        <x:v>Premium waterfront/marina</x:v>
      </x:c>
      <x:c r="R30" t="str">
        <x:v>Nova construção</x:v>
      </x:c>
      <x:c r="S30" t="str"/>
      <x:c r="T30" t="str"/>
      <x:c r="U30" t="str"/>
      <x:c r="V30" t="str"/>
      <x:c r="W30" s="28" t="n">
        <x:f>IF(A30="The View",1,MAX(0.25,MIN(1,IF(J30&gt;=2026,1,IF(J30=2025,0.8,IF(J30=2024,0.45,0.3)))*IF(Q30="Premium waterfront/marina",1,IF(Q30="Benchmark local",0.7,0.6))*IF(M30="Vendido",0.65,IF(M30="Reservado",0.8,IF(M30="Histórico",0.55,1))))))</x:f>
        <x:v>0.25</x:v>
      </x:c>
      <x:c r="X30" t="str">
        <x:f>IF(A30="The View","Projeto",IF(W30&gt;=0.85,"A · Premium ativo",IF(W30&gt;=0.55,"B · Benchmark local","C · Histórico/secundário")))</x:f>
        <x:v>C · Histórico/secundário</x:v>
      </x:c>
      <x:c r="Y30" t="str">
        <x:f>IF(A30="The View","N/A",IF(AND(N30&lt;&gt;"",O30&lt;&gt;"",P30&lt;&gt;""),"Alta",IF(OR(N30&lt;&gt;"",O30&lt;&gt;"",P30&lt;&gt;""),"Média","Baixa")))</x:f>
        <x:v>Baixa</x:v>
      </x:c>
      <x:c r="Z30" t="str"/>
      <x:c r="AA30" t="str">
        <x:f>IF(A30="The View","Manter",IF(J30&lt;2026,"Atualizar preço/status",IF(Y30="Baixa","Adicionar fonte/URL/data",IF(W30&lt;0.55,"Rever comparabilidade","OK"))))</x:f>
        <x:v>Atualizar preço/status</x:v>
      </x:c>
      <x:c r="AB30" t="str">
        <x:f>IF(A30="The View","",IF(OR(J30&lt;2026,Y30="Baixa"),"Alta",IF(W30&lt;0.55,"Média","Baixa")))</x:f>
        <x:v>Alta</x:v>
      </x:c>
    </x:row>
    <x:row r="31">
      <x:c r="A31" s="1" t="s">
        <x:v>12</x:v>
      </x:c>
      <x:c r="B31" s="1" t="s">
        <x:v>45</x:v>
      </x:c>
      <x:c r="C31" s="1">
        <x:v>1</x:v>
      </x:c>
      <x:c r="D31" s="1" t="s">
        <x:v>15</x:v>
      </x:c>
      <x:c r="E31" s="1">
        <x:v>2</x:v>
      </x:c>
      <x:c r="F31" s="24">
        <x:v>139.13999999999999</x:v>
      </x:c>
      <x:c r="G31" s="24">
        <x:v>26.67</x:v>
      </x:c>
      <x:c r="H31" s="24">
        <x:v>165.81</x:v>
      </x:c>
      <x:c r="I31" s="26">
        <x:v>1290000</x:v>
      </x:c>
      <x:c r="J31" s="1">
        <x:v>2024</x:v>
      </x:c>
      <x:c r="K31" s="26">
        <x:v>9271.2376024148343</x:v>
      </x:c>
      <x:c r="L31" s="26">
        <x:v>7779.989144201194</x:v>
      </x:c>
      <x:c r="M31" t="str">
        <x:f>IF(A31="The View","Projeto",IF(J31&gt;=2026,"Ativo",IF(J31=2025,"Rever","Histórico")))</x:f>
        <x:v>Histórico</x:v>
      </x:c>
      <x:c r="N31" t="str"/>
      <x:c r="O31" t="str"/>
      <x:c r="P31" s="30" t="str"/>
      <x:c r="Q31" t="str">
        <x:f>IF(A31="The View","Projeto",IF(A31="Le Parc","Benchmark local",IF(OR(A31="Del Mar Waterfront",A31="Aura Living"),"Premium waterfront/marina","A classificar")))</x:f>
        <x:v>Premium waterfront/marina</x:v>
      </x:c>
      <x:c r="R31" t="str">
        <x:v>Nova construção</x:v>
      </x:c>
      <x:c r="S31" t="str"/>
      <x:c r="T31" t="str"/>
      <x:c r="U31" t="str"/>
      <x:c r="V31" t="str"/>
      <x:c r="W31" s="28" t="n">
        <x:f>IF(A31="The View",1,MAX(0.25,MIN(1,IF(J31&gt;=2026,1,IF(J31=2025,0.8,IF(J31=2024,0.45,0.3)))*IF(Q31="Premium waterfront/marina",1,IF(Q31="Benchmark local",0.7,0.6))*IF(M31="Vendido",0.65,IF(M31="Reservado",0.8,IF(M31="Histórico",0.55,1))))))</x:f>
        <x:v>0.25</x:v>
      </x:c>
      <x:c r="X31" t="str">
        <x:f>IF(A31="The View","Projeto",IF(W31&gt;=0.85,"A · Premium ativo",IF(W31&gt;=0.55,"B · Benchmark local","C · Histórico/secundário")))</x:f>
        <x:v>C · Histórico/secundário</x:v>
      </x:c>
      <x:c r="Y31" t="str">
        <x:f>IF(A31="The View","N/A",IF(AND(N31&lt;&gt;"",O31&lt;&gt;"",P31&lt;&gt;""),"Alta",IF(OR(N31&lt;&gt;"",O31&lt;&gt;"",P31&lt;&gt;""),"Média","Baixa")))</x:f>
        <x:v>Baixa</x:v>
      </x:c>
      <x:c r="Z31" t="str"/>
      <x:c r="AA31" t="str">
        <x:f>IF(A31="The View","Manter",IF(J31&lt;2026,"Atualizar preço/status",IF(Y31="Baixa","Adicionar fonte/URL/data",IF(W31&lt;0.55,"Rever comparabilidade","OK"))))</x:f>
        <x:v>Atualizar preço/status</x:v>
      </x:c>
      <x:c r="AB31" t="str">
        <x:f>IF(A31="The View","",IF(OR(J31&lt;2026,Y31="Baixa"),"Alta",IF(W31&lt;0.55,"Média","Baixa")))</x:f>
        <x:v>Alta</x:v>
      </x:c>
    </x:row>
    <x:row r="32">
      <x:c r="A32" s="1" t="s">
        <x:v>12</x:v>
      </x:c>
      <x:c r="B32" s="1" t="s">
        <x:v>46</x:v>
      </x:c>
      <x:c r="C32" s="1">
        <x:v>1</x:v>
      </x:c>
      <x:c r="D32" s="1" t="s">
        <x:v>47</x:v>
      </x:c>
      <x:c r="E32" s="1">
        <x:v>1</x:v>
      </x:c>
      <x:c r="F32" s="24">
        <x:v>157.01</x:v>
      </x:c>
      <x:c r="G32" s="24">
        <x:v>27.23</x:v>
      </x:c>
      <x:c r="H32" s="24">
        <x:v>184.24</x:v>
      </x:c>
      <x:c r="I32" s="26">
        <x:v>1360000</x:v>
      </x:c>
      <x:c r="J32" s="1">
        <x:v>2026</x:v>
      </x:c>
      <x:c r="K32" s="26">
        <x:v>8661.8686707853012</x:v>
      </x:c>
      <x:c r="L32" s="26">
        <x:v>7381.6760746851942</x:v>
      </x:c>
      <x:c r="M32" t="str">
        <x:f>IF(A32="The View","Projeto",IF(J32&gt;=2026,"Ativo",IF(J32=2025,"Rever","Histórico")))</x:f>
        <x:v>Ativo</x:v>
      </x:c>
      <x:c r="N32" t="str"/>
      <x:c r="O32" t="str"/>
      <x:c r="P32" s="30" t="str"/>
      <x:c r="Q32" t="str">
        <x:f>IF(A32="The View","Projeto",IF(A32="Le Parc","Benchmark local",IF(OR(A32="Del Mar Waterfront",A32="Aura Living"),"Premium waterfront/marina","A classificar")))</x:f>
        <x:v>Premium waterfront/marina</x:v>
      </x:c>
      <x:c r="R32" t="str">
        <x:v>Nova construção</x:v>
      </x:c>
      <x:c r="S32" t="str"/>
      <x:c r="T32" t="str"/>
      <x:c r="U32" t="str"/>
      <x:c r="V32" t="str"/>
      <x:c r="W32" s="28" t="n">
        <x:f>IF(A32="The View",1,MAX(0.25,MIN(1,IF(J32&gt;=2026,1,IF(J32=2025,0.8,IF(J32=2024,0.45,0.3)))*IF(Q32="Premium waterfront/marina",1,IF(Q32="Benchmark local",0.7,0.6))*IF(M32="Vendido",0.65,IF(M32="Reservado",0.8,IF(M32="Histórico",0.55,1))))))</x:f>
        <x:v>1</x:v>
      </x:c>
      <x:c r="X32" t="str">
        <x:f>IF(A32="The View","Projeto",IF(W32&gt;=0.85,"A · Premium ativo",IF(W32&gt;=0.55,"B · Benchmark local","C · Histórico/secundário")))</x:f>
        <x:v>A · Premium ativo</x:v>
      </x:c>
      <x:c r="Y32" t="str">
        <x:f>IF(A32="The View","N/A",IF(AND(N32&lt;&gt;"",O32&lt;&gt;"",P32&lt;&gt;""),"Alta",IF(OR(N32&lt;&gt;"",O32&lt;&gt;"",P32&lt;&gt;""),"Média","Baixa")))</x:f>
        <x:v>Baixa</x:v>
      </x:c>
      <x:c r="Z32" t="str"/>
      <x:c r="AA32" t="str">
        <x:f>IF(A32="The View","Manter",IF(J32&lt;2026,"Atualizar preço/status",IF(Y32="Baixa","Adicionar fonte/URL/data",IF(W32&lt;0.55,"Rever comparabilidade","OK"))))</x:f>
        <x:v>Adicionar fonte/URL/data</x:v>
      </x:c>
      <x:c r="AB32" t="str">
        <x:f>IF(A32="The View","",IF(OR(J32&lt;2026,Y32="Baixa"),"Alta",IF(W32&lt;0.55,"Média","Baixa")))</x:f>
        <x:v>Alta</x:v>
      </x:c>
    </x:row>
    <x:row r="33">
      <x:c r="A33" s="1" t="s">
        <x:v>12</x:v>
      </x:c>
      <x:c r="B33" s="1" t="s">
        <x:v>48</x:v>
      </x:c>
      <x:c r="C33" s="1">
        <x:v>1</x:v>
      </x:c>
      <x:c r="D33" s="1" t="s">
        <x:v>15</x:v>
      </x:c>
      <x:c r="E33" s="1">
        <x:v>2</x:v>
      </x:c>
      <x:c r="F33" s="24">
        <x:v>127.37</x:v>
      </x:c>
      <x:c r="G33" s="24">
        <x:v>16.07</x:v>
      </x:c>
      <x:c r="H33" s="24">
        <x:v>143.44</x:v>
      </x:c>
      <x:c r="I33" s="26">
        <x:v>790000</x:v>
      </x:c>
      <x:c r="J33" s="1">
        <x:v>2026</x:v>
      </x:c>
      <x:c r="K33" s="26">
        <x:v>6202.4024495564099</x:v>
      </x:c>
      <x:c r="L33" s="26">
        <x:v>5507.5292805354156</x:v>
      </x:c>
      <x:c r="M33" t="str">
        <x:f>IF(A33="The View","Projeto",IF(J33&gt;=2026,"Ativo",IF(J33=2025,"Rever","Histórico")))</x:f>
        <x:v>Ativo</x:v>
      </x:c>
      <x:c r="N33" t="str"/>
      <x:c r="O33" t="str"/>
      <x:c r="P33" s="30" t="str"/>
      <x:c r="Q33" t="str">
        <x:f>IF(A33="The View","Projeto",IF(A33="Le Parc","Benchmark local",IF(OR(A33="Del Mar Waterfront",A33="Aura Living"),"Premium waterfront/marina","A classificar")))</x:f>
        <x:v>Premium waterfront/marina</x:v>
      </x:c>
      <x:c r="R33" t="str">
        <x:v>Nova construção</x:v>
      </x:c>
      <x:c r="S33" t="str"/>
      <x:c r="T33" t="str"/>
      <x:c r="U33" t="str"/>
      <x:c r="V33" t="str"/>
      <x:c r="W33" s="28" t="n">
        <x:f>IF(A33="The View",1,MAX(0.25,MIN(1,IF(J33&gt;=2026,1,IF(J33=2025,0.8,IF(J33=2024,0.45,0.3)))*IF(Q33="Premium waterfront/marina",1,IF(Q33="Benchmark local",0.7,0.6))*IF(M33="Vendido",0.65,IF(M33="Reservado",0.8,IF(M33="Histórico",0.55,1))))))</x:f>
        <x:v>1</x:v>
      </x:c>
      <x:c r="X33" t="str">
        <x:f>IF(A33="The View","Projeto",IF(W33&gt;=0.85,"A · Premium ativo",IF(W33&gt;=0.55,"B · Benchmark local","C · Histórico/secundário")))</x:f>
        <x:v>A · Premium ativo</x:v>
      </x:c>
      <x:c r="Y33" t="str">
        <x:f>IF(A33="The View","N/A",IF(AND(N33&lt;&gt;"",O33&lt;&gt;"",P33&lt;&gt;""),"Alta",IF(OR(N33&lt;&gt;"",O33&lt;&gt;"",P33&lt;&gt;""),"Média","Baixa")))</x:f>
        <x:v>Baixa</x:v>
      </x:c>
      <x:c r="Z33" t="str"/>
      <x:c r="AA33" t="str">
        <x:f>IF(A33="The View","Manter",IF(J33&lt;2026,"Atualizar preço/status",IF(Y33="Baixa","Adicionar fonte/URL/data",IF(W33&lt;0.55,"Rever comparabilidade","OK"))))</x:f>
        <x:v>Adicionar fonte/URL/data</x:v>
      </x:c>
      <x:c r="AB33" t="str">
        <x:f>IF(A33="The View","",IF(OR(J33&lt;2026,Y33="Baixa"),"Alta",IF(W33&lt;0.55,"Média","Baixa")))</x:f>
        <x:v>Alta</x:v>
      </x:c>
    </x:row>
    <x:row r="34">
      <x:c r="A34" s="1" t="s">
        <x:v>12</x:v>
      </x:c>
      <x:c r="B34" s="1" t="s">
        <x:v>49</x:v>
      </x:c>
      <x:c r="C34" s="1">
        <x:v>1</x:v>
      </x:c>
      <x:c r="D34" s="1" t="s">
        <x:v>25</x:v>
      </x:c>
      <x:c r="E34" s="1">
        <x:v>2</x:v>
      </x:c>
      <x:c r="F34" s="24">
        <x:v>94.46</x:v>
      </x:c>
      <x:c r="G34" s="24">
        <x:v>9.15</x:v>
      </x:c>
      <x:c r="H34" s="24">
        <x:v>103.61</x:v>
      </x:c>
      <x:c r="I34" s="26">
        <x:v>425000</x:v>
      </x:c>
      <x:c r="J34" s="1">
        <x:v>2024</x:v>
      </x:c>
      <x:c r="K34" s="26">
        <x:v>4499.2589455854331</x:v>
      </x:c>
      <x:c r="L34" s="26">
        <x:v>4101.9206640285684</x:v>
      </x:c>
      <x:c r="M34" t="str">
        <x:f>IF(A34="The View","Projeto",IF(J34&gt;=2026,"Ativo",IF(J34=2025,"Rever","Histórico")))</x:f>
        <x:v>Histórico</x:v>
      </x:c>
      <x:c r="N34" t="str"/>
      <x:c r="O34" t="str"/>
      <x:c r="P34" s="30" t="str"/>
      <x:c r="Q34" t="str">
        <x:f>IF(A34="The View","Projeto",IF(A34="Le Parc","Benchmark local",IF(OR(A34="Del Mar Waterfront",A34="Aura Living"),"Premium waterfront/marina","A classificar")))</x:f>
        <x:v>Premium waterfront/marina</x:v>
      </x:c>
      <x:c r="R34" t="str">
        <x:v>Nova construção</x:v>
      </x:c>
      <x:c r="S34" t="str"/>
      <x:c r="T34" t="str"/>
      <x:c r="U34" t="str"/>
      <x:c r="V34" t="str"/>
      <x:c r="W34" s="28" t="n">
        <x:f>IF(A34="The View",1,MAX(0.25,MIN(1,IF(J34&gt;=2026,1,IF(J34=2025,0.8,IF(J34=2024,0.45,0.3)))*IF(Q34="Premium waterfront/marina",1,IF(Q34="Benchmark local",0.7,0.6))*IF(M34="Vendido",0.65,IF(M34="Reservado",0.8,IF(M34="Histórico",0.55,1))))))</x:f>
        <x:v>0.25</x:v>
      </x:c>
      <x:c r="X34" t="str">
        <x:f>IF(A34="The View","Projeto",IF(W34&gt;=0.85,"A · Premium ativo",IF(W34&gt;=0.55,"B · Benchmark local","C · Histórico/secundário")))</x:f>
        <x:v>C · Histórico/secundário</x:v>
      </x:c>
      <x:c r="Y34" t="str">
        <x:f>IF(A34="The View","N/A",IF(AND(N34&lt;&gt;"",O34&lt;&gt;"",P34&lt;&gt;""),"Alta",IF(OR(N34&lt;&gt;"",O34&lt;&gt;"",P34&lt;&gt;""),"Média","Baixa")))</x:f>
        <x:v>Baixa</x:v>
      </x:c>
      <x:c r="Z34" t="str"/>
      <x:c r="AA34" t="str">
        <x:f>IF(A34="The View","Manter",IF(J34&lt;2026,"Atualizar preço/status",IF(Y34="Baixa","Adicionar fonte/URL/data",IF(W34&lt;0.55,"Rever comparabilidade","OK"))))</x:f>
        <x:v>Atualizar preço/status</x:v>
      </x:c>
      <x:c r="AB34" t="str">
        <x:f>IF(A34="The View","",IF(OR(J34&lt;2026,Y34="Baixa"),"Alta",IF(W34&lt;0.55,"Média","Baixa")))</x:f>
        <x:v>Alta</x:v>
      </x:c>
    </x:row>
    <x:row r="35">
      <x:c r="A35" s="1" t="s">
        <x:v>12</x:v>
      </x:c>
      <x:c r="B35" s="1" t="s">
        <x:v>50</x:v>
      </x:c>
      <x:c r="C35" s="1">
        <x:v>1</x:v>
      </x:c>
      <x:c r="D35" s="1" t="s">
        <x:v>47</x:v>
      </x:c>
      <x:c r="E35" s="1">
        <x:v>3</x:v>
      </x:c>
      <x:c r="F35" s="24">
        <x:v>163.49</x:v>
      </x:c>
      <x:c r="G35" s="24">
        <x:v>28.52</x:v>
      </x:c>
      <x:c r="H35" s="24">
        <x:v>192.01</x:v>
      </x:c>
      <x:c r="I35" s="26">
        <x:v>990000</x:v>
      </x:c>
      <x:c r="J35" s="1">
        <x:v>2024</x:v>
      </x:c>
      <x:c r="K35" s="26">
        <x:v>6055.4162334087696</x:v>
      </x:c>
      <x:c r="L35" s="26">
        <x:v>5155.9814592989942</x:v>
      </x:c>
      <x:c r="M35" t="str">
        <x:f>IF(A35="The View","Projeto",IF(J35&gt;=2026,"Ativo",IF(J35=2025,"Rever","Histórico")))</x:f>
        <x:v>Histórico</x:v>
      </x:c>
      <x:c r="N35" t="str"/>
      <x:c r="O35" t="str"/>
      <x:c r="P35" s="30" t="str"/>
      <x:c r="Q35" t="str">
        <x:f>IF(A35="The View","Projeto",IF(A35="Le Parc","Benchmark local",IF(OR(A35="Del Mar Waterfront",A35="Aura Living"),"Premium waterfront/marina","A classificar")))</x:f>
        <x:v>Premium waterfront/marina</x:v>
      </x:c>
      <x:c r="R35" t="str">
        <x:v>Nova construção</x:v>
      </x:c>
      <x:c r="S35" t="str"/>
      <x:c r="T35" t="str"/>
      <x:c r="U35" t="str"/>
      <x:c r="V35" t="str"/>
      <x:c r="W35" s="28" t="n">
        <x:f>IF(A35="The View",1,MAX(0.25,MIN(1,IF(J35&gt;=2026,1,IF(J35=2025,0.8,IF(J35=2024,0.45,0.3)))*IF(Q35="Premium waterfront/marina",1,IF(Q35="Benchmark local",0.7,0.6))*IF(M35="Vendido",0.65,IF(M35="Reservado",0.8,IF(M35="Histórico",0.55,1))))))</x:f>
        <x:v>0.25</x:v>
      </x:c>
      <x:c r="X35" t="str">
        <x:f>IF(A35="The View","Projeto",IF(W35&gt;=0.85,"A · Premium ativo",IF(W35&gt;=0.55,"B · Benchmark local","C · Histórico/secundário")))</x:f>
        <x:v>C · Histórico/secundário</x:v>
      </x:c>
      <x:c r="Y35" t="str">
        <x:f>IF(A35="The View","N/A",IF(AND(N35&lt;&gt;"",O35&lt;&gt;"",P35&lt;&gt;""),"Alta",IF(OR(N35&lt;&gt;"",O35&lt;&gt;"",P35&lt;&gt;""),"Média","Baixa")))</x:f>
        <x:v>Baixa</x:v>
      </x:c>
      <x:c r="Z35" t="str"/>
      <x:c r="AA35" t="str">
        <x:f>IF(A35="The View","Manter",IF(J35&lt;2026,"Atualizar preço/status",IF(Y35="Baixa","Adicionar fonte/URL/data",IF(W35&lt;0.55,"Rever comparabilidade","OK"))))</x:f>
        <x:v>Atualizar preço/status</x:v>
      </x:c>
      <x:c r="AB35" t="str">
        <x:f>IF(A35="The View","",IF(OR(J35&lt;2026,Y35="Baixa"),"Alta",IF(W35&lt;0.55,"Média","Baixa")))</x:f>
        <x:v>Alta</x:v>
      </x:c>
    </x:row>
    <x:row r="36">
      <x:c r="A36" s="1" t="s">
        <x:v>12</x:v>
      </x:c>
      <x:c r="B36" s="1" t="s">
        <x:v>51</x:v>
      </x:c>
      <x:c r="C36" s="1">
        <x:v>1</x:v>
      </x:c>
      <x:c r="D36" s="1" t="s">
        <x:v>15</x:v>
      </x:c>
      <x:c r="E36" s="1">
        <x:v>3</x:v>
      </x:c>
      <x:c r="F36" s="24">
        <x:v>132.30000000000001</x:v>
      </x:c>
      <x:c r="G36" s="24">
        <x:v>15.5</x:v>
      </x:c>
      <x:c r="H36" s="24">
        <x:v>147.80000000000001</x:v>
      </x:c>
      <x:c r="I36" s="26">
        <x:v>795000</x:v>
      </x:c>
      <x:c r="J36" s="1">
        <x:v>2026</x:v>
      </x:c>
      <x:c r="K36" s="26">
        <x:v>6009.0702947845803</x:v>
      </x:c>
      <x:c r="L36" s="26">
        <x:v>5378.8903924221913</x:v>
      </x:c>
      <x:c r="M36" t="str">
        <x:f>IF(A36="The View","Projeto",IF(J36&gt;=2026,"Ativo",IF(J36=2025,"Rever","Histórico")))</x:f>
        <x:v>Ativo</x:v>
      </x:c>
      <x:c r="N36" t="str"/>
      <x:c r="O36" t="str"/>
      <x:c r="P36" s="30" t="str"/>
      <x:c r="Q36" t="str">
        <x:f>IF(A36="The View","Projeto",IF(A36="Le Parc","Benchmark local",IF(OR(A36="Del Mar Waterfront",A36="Aura Living"),"Premium waterfront/marina","A classificar")))</x:f>
        <x:v>Premium waterfront/marina</x:v>
      </x:c>
      <x:c r="R36" t="str">
        <x:v>Nova construção</x:v>
      </x:c>
      <x:c r="S36" t="str"/>
      <x:c r="T36" t="str"/>
      <x:c r="U36" t="str"/>
      <x:c r="V36" t="str"/>
      <x:c r="W36" s="28" t="n">
        <x:f>IF(A36="The View",1,MAX(0.25,MIN(1,IF(J36&gt;=2026,1,IF(J36=2025,0.8,IF(J36=2024,0.45,0.3)))*IF(Q36="Premium waterfront/marina",1,IF(Q36="Benchmark local",0.7,0.6))*IF(M36="Vendido",0.65,IF(M36="Reservado",0.8,IF(M36="Histórico",0.55,1))))))</x:f>
        <x:v>1</x:v>
      </x:c>
      <x:c r="X36" t="str">
        <x:f>IF(A36="The View","Projeto",IF(W36&gt;=0.85,"A · Premium ativo",IF(W36&gt;=0.55,"B · Benchmark local","C · Histórico/secundário")))</x:f>
        <x:v>A · Premium ativo</x:v>
      </x:c>
      <x:c r="Y36" t="str">
        <x:f>IF(A36="The View","N/A",IF(AND(N36&lt;&gt;"",O36&lt;&gt;"",P36&lt;&gt;""),"Alta",IF(OR(N36&lt;&gt;"",O36&lt;&gt;"",P36&lt;&gt;""),"Média","Baixa")))</x:f>
        <x:v>Baixa</x:v>
      </x:c>
      <x:c r="Z36" t="str"/>
      <x:c r="AA36" t="str">
        <x:f>IF(A36="The View","Manter",IF(J36&lt;2026,"Atualizar preço/status",IF(Y36="Baixa","Adicionar fonte/URL/data",IF(W36&lt;0.55,"Rever comparabilidade","OK"))))</x:f>
        <x:v>Adicionar fonte/URL/data</x:v>
      </x:c>
      <x:c r="AB36" t="str">
        <x:f>IF(A36="The View","",IF(OR(J36&lt;2026,Y36="Baixa"),"Alta",IF(W36&lt;0.55,"Média","Baixa")))</x:f>
        <x:v>Alta</x:v>
      </x:c>
    </x:row>
    <x:row r="37">
      <x:c r="A37" s="1" t="s">
        <x:v>12</x:v>
      </x:c>
      <x:c r="B37" s="1" t="s">
        <x:v>52</x:v>
      </x:c>
      <x:c r="C37" s="1">
        <x:v>2</x:v>
      </x:c>
      <x:c r="D37" s="1" t="s">
        <x:v>15</x:v>
      </x:c>
      <x:c r="E37" s="1">
        <x:v>2</x:v>
      </x:c>
      <x:c r="F37" s="24">
        <x:v>139.13999999999999</x:v>
      </x:c>
      <x:c r="G37" s="24">
        <x:v>26.67</x:v>
      </x:c>
      <x:c r="H37" s="24">
        <x:v>165.81</x:v>
      </x:c>
      <x:c r="I37" s="26">
        <x:v>1320000</x:v>
      </x:c>
      <x:c r="J37" s="1">
        <x:v>2024</x:v>
      </x:c>
      <x:c r="K37" s="26">
        <x:v>9486.8477792151807</x:v>
      </x:c>
      <x:c r="L37" s="26">
        <x:v>7960.9191242988963</x:v>
      </x:c>
      <x:c r="M37" t="str">
        <x:f>IF(A37="The View","Projeto",IF(J37&gt;=2026,"Ativo",IF(J37=2025,"Rever","Histórico")))</x:f>
        <x:v>Histórico</x:v>
      </x:c>
      <x:c r="N37" t="str"/>
      <x:c r="O37" t="str"/>
      <x:c r="P37" s="30" t="str"/>
      <x:c r="Q37" t="str">
        <x:f>IF(A37="The View","Projeto",IF(A37="Le Parc","Benchmark local",IF(OR(A37="Del Mar Waterfront",A37="Aura Living"),"Premium waterfront/marina","A classificar")))</x:f>
        <x:v>Premium waterfront/marina</x:v>
      </x:c>
      <x:c r="R37" t="str">
        <x:v>Nova construção</x:v>
      </x:c>
      <x:c r="S37" t="str"/>
      <x:c r="T37" t="str"/>
      <x:c r="U37" t="str"/>
      <x:c r="V37" t="str"/>
      <x:c r="W37" s="28" t="n">
        <x:f>IF(A37="The View",1,MAX(0.25,MIN(1,IF(J37&gt;=2026,1,IF(J37=2025,0.8,IF(J37=2024,0.45,0.3)))*IF(Q37="Premium waterfront/marina",1,IF(Q37="Benchmark local",0.7,0.6))*IF(M37="Vendido",0.65,IF(M37="Reservado",0.8,IF(M37="Histórico",0.55,1))))))</x:f>
        <x:v>0.25</x:v>
      </x:c>
      <x:c r="X37" t="str">
        <x:f>IF(A37="The View","Projeto",IF(W37&gt;=0.85,"A · Premium ativo",IF(W37&gt;=0.55,"B · Benchmark local","C · Histórico/secundário")))</x:f>
        <x:v>C · Histórico/secundário</x:v>
      </x:c>
      <x:c r="Y37" t="str">
        <x:f>IF(A37="The View","N/A",IF(AND(N37&lt;&gt;"",O37&lt;&gt;"",P37&lt;&gt;""),"Alta",IF(OR(N37&lt;&gt;"",O37&lt;&gt;"",P37&lt;&gt;""),"Média","Baixa")))</x:f>
        <x:v>Baixa</x:v>
      </x:c>
      <x:c r="Z37" t="str"/>
      <x:c r="AA37" t="str">
        <x:f>IF(A37="The View","Manter",IF(J37&lt;2026,"Atualizar preço/status",IF(Y37="Baixa","Adicionar fonte/URL/data",IF(W37&lt;0.55,"Rever comparabilidade","OK"))))</x:f>
        <x:v>Atualizar preço/status</x:v>
      </x:c>
      <x:c r="AB37" t="str">
        <x:f>IF(A37="The View","",IF(OR(J37&lt;2026,Y37="Baixa"),"Alta",IF(W37&lt;0.55,"Média","Baixa")))</x:f>
        <x:v>Alta</x:v>
      </x:c>
    </x:row>
    <x:row r="38">
      <x:c r="A38" s="1" t="s">
        <x:v>12</x:v>
      </x:c>
      <x:c r="B38" s="1" t="s">
        <x:v>53</x:v>
      </x:c>
      <x:c r="C38" s="1">
        <x:v>2</x:v>
      </x:c>
      <x:c r="D38" s="1" t="s">
        <x:v>47</x:v>
      </x:c>
      <x:c r="E38" s="1">
        <x:v>1</x:v>
      </x:c>
      <x:c r="F38" s="24">
        <x:v>157.01</x:v>
      </x:c>
      <x:c r="G38" s="24">
        <x:v>27.23</x:v>
      </x:c>
      <x:c r="H38" s="24">
        <x:v>184.24</x:v>
      </x:c>
      <x:c r="I38" s="26">
        <x:v>1340000</x:v>
      </x:c>
      <x:c r="J38" s="1">
        <x:v>2024</x:v>
      </x:c>
      <x:c r="K38" s="26">
        <x:v>8534.4882491561057</x:v>
      </x:c>
      <x:c r="L38" s="26">
        <x:v>7273.122014763353</x:v>
      </x:c>
      <x:c r="M38" t="str">
        <x:f>IF(A38="The View","Projeto",IF(J38&gt;=2026,"Ativo",IF(J38=2025,"Rever","Histórico")))</x:f>
        <x:v>Histórico</x:v>
      </x:c>
      <x:c r="N38" t="str"/>
      <x:c r="O38" t="str"/>
      <x:c r="P38" s="30" t="str"/>
      <x:c r="Q38" t="str">
        <x:f>IF(A38="The View","Projeto",IF(A38="Le Parc","Benchmark local",IF(OR(A38="Del Mar Waterfront",A38="Aura Living"),"Premium waterfront/marina","A classificar")))</x:f>
        <x:v>Premium waterfront/marina</x:v>
      </x:c>
      <x:c r="R38" t="str">
        <x:v>Nova construção</x:v>
      </x:c>
      <x:c r="S38" t="str"/>
      <x:c r="T38" t="str"/>
      <x:c r="U38" t="str"/>
      <x:c r="V38" t="str"/>
      <x:c r="W38" s="28" t="n">
        <x:f>IF(A38="The View",1,MAX(0.25,MIN(1,IF(J38&gt;=2026,1,IF(J38=2025,0.8,IF(J38=2024,0.45,0.3)))*IF(Q38="Premium waterfront/marina",1,IF(Q38="Benchmark local",0.7,0.6))*IF(M38="Vendido",0.65,IF(M38="Reservado",0.8,IF(M38="Histórico",0.55,1))))))</x:f>
        <x:v>0.25</x:v>
      </x:c>
      <x:c r="X38" t="str">
        <x:f>IF(A38="The View","Projeto",IF(W38&gt;=0.85,"A · Premium ativo",IF(W38&gt;=0.55,"B · Benchmark local","C · Histórico/secundário")))</x:f>
        <x:v>C · Histórico/secundário</x:v>
      </x:c>
      <x:c r="Y38" t="str">
        <x:f>IF(A38="The View","N/A",IF(AND(N38&lt;&gt;"",O38&lt;&gt;"",P38&lt;&gt;""),"Alta",IF(OR(N38&lt;&gt;"",O38&lt;&gt;"",P38&lt;&gt;""),"Média","Baixa")))</x:f>
        <x:v>Baixa</x:v>
      </x:c>
      <x:c r="Z38" t="str"/>
      <x:c r="AA38" t="str">
        <x:f>IF(A38="The View","Manter",IF(J38&lt;2026,"Atualizar preço/status",IF(Y38="Baixa","Adicionar fonte/URL/data",IF(W38&lt;0.55,"Rever comparabilidade","OK"))))</x:f>
        <x:v>Atualizar preço/status</x:v>
      </x:c>
      <x:c r="AB38" t="str">
        <x:f>IF(A38="The View","",IF(OR(J38&lt;2026,Y38="Baixa"),"Alta",IF(W38&lt;0.55,"Média","Baixa")))</x:f>
        <x:v>Alta</x:v>
      </x:c>
    </x:row>
    <x:row r="39">
      <x:c r="A39" s="1" t="s">
        <x:v>12</x:v>
      </x:c>
      <x:c r="B39" s="1" t="s">
        <x:v>54</x:v>
      </x:c>
      <x:c r="C39" s="1">
        <x:v>2</x:v>
      </x:c>
      <x:c r="D39" s="1" t="s">
        <x:v>25</x:v>
      </x:c>
      <x:c r="E39" s="1">
        <x:v>2</x:v>
      </x:c>
      <x:c r="F39" s="24">
        <x:v>96.21</x:v>
      </x:c>
      <x:c r="G39" s="24">
        <x:v>10.95</x:v>
      </x:c>
      <x:c r="H39" s="24">
        <x:v>107.16</x:v>
      </x:c>
      <x:c r="I39" s="26">
        <x:v>435000</x:v>
      </x:c>
      <x:c r="J39" s="1">
        <x:v>2024</x:v>
      </x:c>
      <x:c r="K39" s="26">
        <x:v>4521.3595260367947</x:v>
      </x:c>
      <x:c r="L39" s="26">
        <x:v>4059.3505039193728</x:v>
      </x:c>
      <x:c r="M39" t="str">
        <x:f>IF(A39="The View","Projeto",IF(J39&gt;=2026,"Ativo",IF(J39=2025,"Rever","Histórico")))</x:f>
        <x:v>Histórico</x:v>
      </x:c>
      <x:c r="N39" t="str"/>
      <x:c r="O39" t="str"/>
      <x:c r="P39" s="30" t="str"/>
      <x:c r="Q39" t="str">
        <x:f>IF(A39="The View","Projeto",IF(A39="Le Parc","Benchmark local",IF(OR(A39="Del Mar Waterfront",A39="Aura Living"),"Premium waterfront/marina","A classificar")))</x:f>
        <x:v>Premium waterfront/marina</x:v>
      </x:c>
      <x:c r="R39" t="str">
        <x:v>Nova construção</x:v>
      </x:c>
      <x:c r="S39" t="str"/>
      <x:c r="T39" t="str"/>
      <x:c r="U39" t="str"/>
      <x:c r="V39" t="str"/>
      <x:c r="W39" s="28" t="n">
        <x:f>IF(A39="The View",1,MAX(0.25,MIN(1,IF(J39&gt;=2026,1,IF(J39=2025,0.8,IF(J39=2024,0.45,0.3)))*IF(Q39="Premium waterfront/marina",1,IF(Q39="Benchmark local",0.7,0.6))*IF(M39="Vendido",0.65,IF(M39="Reservado",0.8,IF(M39="Histórico",0.55,1))))))</x:f>
        <x:v>0.25</x:v>
      </x:c>
      <x:c r="X39" t="str">
        <x:f>IF(A39="The View","Projeto",IF(W39&gt;=0.85,"A · Premium ativo",IF(W39&gt;=0.55,"B · Benchmark local","C · Histórico/secundário")))</x:f>
        <x:v>C · Histórico/secundário</x:v>
      </x:c>
      <x:c r="Y39" t="str">
        <x:f>IF(A39="The View","N/A",IF(AND(N39&lt;&gt;"",O39&lt;&gt;"",P39&lt;&gt;""),"Alta",IF(OR(N39&lt;&gt;"",O39&lt;&gt;"",P39&lt;&gt;""),"Média","Baixa")))</x:f>
        <x:v>Baixa</x:v>
      </x:c>
      <x:c r="Z39" t="str"/>
      <x:c r="AA39" t="str">
        <x:f>IF(A39="The View","Manter",IF(J39&lt;2026,"Atualizar preço/status",IF(Y39="Baixa","Adicionar fonte/URL/data",IF(W39&lt;0.55,"Rever comparabilidade","OK"))))</x:f>
        <x:v>Atualizar preço/status</x:v>
      </x:c>
      <x:c r="AB39" t="str">
        <x:f>IF(A39="The View","",IF(OR(J39&lt;2026,Y39="Baixa"),"Alta",IF(W39&lt;0.55,"Média","Baixa")))</x:f>
        <x:v>Alta</x:v>
      </x:c>
    </x:row>
    <x:row r="40">
      <x:c r="A40" s="1" t="s">
        <x:v>12</x:v>
      </x:c>
      <x:c r="B40" s="1" t="s">
        <x:v>55</x:v>
      </x:c>
      <x:c r="C40" s="1">
        <x:v>2</x:v>
      </x:c>
      <x:c r="D40" s="1" t="s">
        <x:v>15</x:v>
      </x:c>
      <x:c r="E40" s="1">
        <x:v>2</x:v>
      </x:c>
      <x:c r="F40" s="24">
        <x:v>127.37</x:v>
      </x:c>
      <x:c r="G40" s="24">
        <x:v>16.07</x:v>
      </x:c>
      <x:c r="H40" s="24">
        <x:v>143.44</x:v>
      </x:c>
      <x:c r="I40" s="26">
        <x:v>795000</x:v>
      </x:c>
      <x:c r="J40" s="1">
        <x:v>2026</x:v>
      </x:c>
      <x:c r="K40" s="26">
        <x:v>6241.6581612624632</x:v>
      </x:c>
      <x:c r="L40" s="26">
        <x:v>5542.3870607919689</x:v>
      </x:c>
      <x:c r="M40" t="str">
        <x:f>IF(A40="The View","Projeto",IF(J40&gt;=2026,"Ativo",IF(J40=2025,"Rever","Histórico")))</x:f>
        <x:v>Ativo</x:v>
      </x:c>
      <x:c r="N40" t="str"/>
      <x:c r="O40" t="str"/>
      <x:c r="P40" s="30" t="str"/>
      <x:c r="Q40" t="str">
        <x:f>IF(A40="The View","Projeto",IF(A40="Le Parc","Benchmark local",IF(OR(A40="Del Mar Waterfront",A40="Aura Living"),"Premium waterfront/marina","A classificar")))</x:f>
        <x:v>Premium waterfront/marina</x:v>
      </x:c>
      <x:c r="R40" t="str">
        <x:v>Nova construção</x:v>
      </x:c>
      <x:c r="S40" t="str"/>
      <x:c r="T40" t="str"/>
      <x:c r="U40" t="str"/>
      <x:c r="V40" t="str"/>
      <x:c r="W40" s="28" t="n">
        <x:f>IF(A40="The View",1,MAX(0.25,MIN(1,IF(J40&gt;=2026,1,IF(J40=2025,0.8,IF(J40=2024,0.45,0.3)))*IF(Q40="Premium waterfront/marina",1,IF(Q40="Benchmark local",0.7,0.6))*IF(M40="Vendido",0.65,IF(M40="Reservado",0.8,IF(M40="Histórico",0.55,1))))))</x:f>
        <x:v>1</x:v>
      </x:c>
      <x:c r="X40" t="str">
        <x:f>IF(A40="The View","Projeto",IF(W40&gt;=0.85,"A · Premium ativo",IF(W40&gt;=0.55,"B · Benchmark local","C · Histórico/secundário")))</x:f>
        <x:v>A · Premium ativo</x:v>
      </x:c>
      <x:c r="Y40" t="str">
        <x:f>IF(A40="The View","N/A",IF(AND(N40&lt;&gt;"",O40&lt;&gt;"",P40&lt;&gt;""),"Alta",IF(OR(N40&lt;&gt;"",O40&lt;&gt;"",P40&lt;&gt;""),"Média","Baixa")))</x:f>
        <x:v>Baixa</x:v>
      </x:c>
      <x:c r="Z40" t="str"/>
      <x:c r="AA40" t="str">
        <x:f>IF(A40="The View","Manter",IF(J40&lt;2026,"Atualizar preço/status",IF(Y40="Baixa","Adicionar fonte/URL/data",IF(W40&lt;0.55,"Rever comparabilidade","OK"))))</x:f>
        <x:v>Adicionar fonte/URL/data</x:v>
      </x:c>
      <x:c r="AB40" t="str">
        <x:f>IF(A40="The View","",IF(OR(J40&lt;2026,Y40="Baixa"),"Alta",IF(W40&lt;0.55,"Média","Baixa")))</x:f>
        <x:v>Alta</x:v>
      </x:c>
    </x:row>
    <x:row r="41">
      <x:c r="A41" s="1" t="s">
        <x:v>12</x:v>
      </x:c>
      <x:c r="B41" s="1" t="s">
        <x:v>56</x:v>
      </x:c>
      <x:c r="C41" s="1">
        <x:v>2</x:v>
      </x:c>
      <x:c r="D41" s="1" t="s">
        <x:v>25</x:v>
      </x:c>
      <x:c r="E41" s="1">
        <x:v>2</x:v>
      </x:c>
      <x:c r="F41" s="24">
        <x:v>94.46</x:v>
      </x:c>
      <x:c r="G41" s="24">
        <x:v>9.15</x:v>
      </x:c>
      <x:c r="H41" s="24">
        <x:v>103.61</x:v>
      </x:c>
      <x:c r="I41" s="26">
        <x:v>435000</x:v>
      </x:c>
      <x:c r="J41" s="1">
        <x:v>2024</x:v>
      </x:c>
      <x:c r="K41" s="26">
        <x:v>4605.1238619521491</x:v>
      </x:c>
      <x:c r="L41" s="26">
        <x:v>4198.4364443586528</x:v>
      </x:c>
      <x:c r="M41" t="str">
        <x:f>IF(A41="The View","Projeto",IF(J41&gt;=2026,"Ativo",IF(J41=2025,"Rever","Histórico")))</x:f>
        <x:v>Histórico</x:v>
      </x:c>
      <x:c r="N41" t="str"/>
      <x:c r="O41" t="str"/>
      <x:c r="P41" s="30" t="str"/>
      <x:c r="Q41" t="str">
        <x:f>IF(A41="The View","Projeto",IF(A41="Le Parc","Benchmark local",IF(OR(A41="Del Mar Waterfront",A41="Aura Living"),"Premium waterfront/marina","A classificar")))</x:f>
        <x:v>Premium waterfront/marina</x:v>
      </x:c>
      <x:c r="R41" t="str">
        <x:v>Nova construção</x:v>
      </x:c>
      <x:c r="S41" t="str"/>
      <x:c r="T41" t="str"/>
      <x:c r="U41" t="str"/>
      <x:c r="V41" t="str"/>
      <x:c r="W41" s="28" t="n">
        <x:f>IF(A41="The View",1,MAX(0.25,MIN(1,IF(J41&gt;=2026,1,IF(J41=2025,0.8,IF(J41=2024,0.45,0.3)))*IF(Q41="Premium waterfront/marina",1,IF(Q41="Benchmark local",0.7,0.6))*IF(M41="Vendido",0.65,IF(M41="Reservado",0.8,IF(M41="Histórico",0.55,1))))))</x:f>
        <x:v>0.25</x:v>
      </x:c>
      <x:c r="X41" t="str">
        <x:f>IF(A41="The View","Projeto",IF(W41&gt;=0.85,"A · Premium ativo",IF(W41&gt;=0.55,"B · Benchmark local","C · Histórico/secundário")))</x:f>
        <x:v>C · Histórico/secundário</x:v>
      </x:c>
      <x:c r="Y41" t="str">
        <x:f>IF(A41="The View","N/A",IF(AND(N41&lt;&gt;"",O41&lt;&gt;"",P41&lt;&gt;""),"Alta",IF(OR(N41&lt;&gt;"",O41&lt;&gt;"",P41&lt;&gt;""),"Média","Baixa")))</x:f>
        <x:v>Baixa</x:v>
      </x:c>
      <x:c r="Z41" t="str"/>
      <x:c r="AA41" t="str">
        <x:f>IF(A41="The View","Manter",IF(J41&lt;2026,"Atualizar preço/status",IF(Y41="Baixa","Adicionar fonte/URL/data",IF(W41&lt;0.55,"Rever comparabilidade","OK"))))</x:f>
        <x:v>Atualizar preço/status</x:v>
      </x:c>
      <x:c r="AB41" t="str">
        <x:f>IF(A41="The View","",IF(OR(J41&lt;2026,Y41="Baixa"),"Alta",IF(W41&lt;0.55,"Média","Baixa")))</x:f>
        <x:v>Alta</x:v>
      </x:c>
    </x:row>
    <x:row r="42">
      <x:c r="A42" s="1" t="s">
        <x:v>12</x:v>
      </x:c>
      <x:c r="B42" s="1" t="s">
        <x:v>57</x:v>
      </x:c>
      <x:c r="C42" s="1">
        <x:v>2</x:v>
      </x:c>
      <x:c r="D42" s="1" t="s">
        <x:v>15</x:v>
      </x:c>
      <x:c r="E42" s="1">
        <x:v>3</x:v>
      </x:c>
      <x:c r="F42" s="24">
        <x:v>132.30000000000001</x:v>
      </x:c>
      <x:c r="G42" s="24">
        <x:v>9.5399999999999991</x:v>
      </x:c>
      <x:c r="H42" s="24">
        <x:v>141.84</x:v>
      </x:c>
      <x:c r="I42" s="26">
        <x:v>810000</x:v>
      </x:c>
      <x:c r="J42" s="1">
        <x:v>2026</x:v>
      </x:c>
      <x:c r="K42" s="26">
        <x:v>6122.4489795918362</x:v>
      </x:c>
      <x:c r="L42" s="26">
        <x:v>5710.6598984771572</x:v>
      </x:c>
      <x:c r="M42" t="str">
        <x:f>IF(A42="The View","Projeto",IF(J42&gt;=2026,"Ativo",IF(J42=2025,"Rever","Histórico")))</x:f>
        <x:v>Ativo</x:v>
      </x:c>
      <x:c r="N42" t="str"/>
      <x:c r="O42" t="str"/>
      <x:c r="P42" s="30" t="str"/>
      <x:c r="Q42" t="str">
        <x:f>IF(A42="The View","Projeto",IF(A42="Le Parc","Benchmark local",IF(OR(A42="Del Mar Waterfront",A42="Aura Living"),"Premium waterfront/marina","A classificar")))</x:f>
        <x:v>Premium waterfront/marina</x:v>
      </x:c>
      <x:c r="R42" t="str">
        <x:v>Nova construção</x:v>
      </x:c>
      <x:c r="S42" t="str"/>
      <x:c r="T42" t="str"/>
      <x:c r="U42" t="str"/>
      <x:c r="V42" t="str"/>
      <x:c r="W42" s="28" t="n">
        <x:f>IF(A42="The View",1,MAX(0.25,MIN(1,IF(J42&gt;=2026,1,IF(J42=2025,0.8,IF(J42=2024,0.45,0.3)))*IF(Q42="Premium waterfront/marina",1,IF(Q42="Benchmark local",0.7,0.6))*IF(M42="Vendido",0.65,IF(M42="Reservado",0.8,IF(M42="Histórico",0.55,1))))))</x:f>
        <x:v>1</x:v>
      </x:c>
      <x:c r="X42" t="str">
        <x:f>IF(A42="The View","Projeto",IF(W42&gt;=0.85,"A · Premium ativo",IF(W42&gt;=0.55,"B · Benchmark local","C · Histórico/secundário")))</x:f>
        <x:v>A · Premium ativo</x:v>
      </x:c>
      <x:c r="Y42" t="str">
        <x:f>IF(A42="The View","N/A",IF(AND(N42&lt;&gt;"",O42&lt;&gt;"",P42&lt;&gt;""),"Alta",IF(OR(N42&lt;&gt;"",O42&lt;&gt;"",P42&lt;&gt;""),"Média","Baixa")))</x:f>
        <x:v>Baixa</x:v>
      </x:c>
      <x:c r="Z42" t="str"/>
      <x:c r="AA42" t="str">
        <x:f>IF(A42="The View","Manter",IF(J42&lt;2026,"Atualizar preço/status",IF(Y42="Baixa","Adicionar fonte/URL/data",IF(W42&lt;0.55,"Rever comparabilidade","OK"))))</x:f>
        <x:v>Adicionar fonte/URL/data</x:v>
      </x:c>
      <x:c r="AB42" t="str">
        <x:f>IF(A42="The View","",IF(OR(J42&lt;2026,Y42="Baixa"),"Alta",IF(W42&lt;0.55,"Média","Baixa")))</x:f>
        <x:v>Alta</x:v>
      </x:c>
    </x:row>
    <x:row r="43">
      <x:c r="A43" s="1" t="s">
        <x:v>12</x:v>
      </x:c>
      <x:c r="B43" s="1" t="s">
        <x:v>58</x:v>
      </x:c>
      <x:c r="C43" s="1">
        <x:v>3</x:v>
      </x:c>
      <x:c r="D43" s="1" t="s">
        <x:v>25</x:v>
      </x:c>
      <x:c r="E43" s="1">
        <x:v>2</x:v>
      </x:c>
      <x:c r="F43" s="24">
        <x:v>96.21</x:v>
      </x:c>
      <x:c r="G43" s="24">
        <x:v>10.95</x:v>
      </x:c>
      <x:c r="H43" s="24">
        <x:v>107.16</x:v>
      </x:c>
      <x:c r="I43" s="26">
        <x:v>445000</x:v>
      </x:c>
      <x:c r="J43" s="1">
        <x:v>2024</x:v>
      </x:c>
      <x:c r="K43" s="26">
        <x:v>4625.2988254859156</x:v>
      </x:c>
      <x:c r="L43" s="26">
        <x:v>4152.668906308324</x:v>
      </x:c>
      <x:c r="M43" t="str">
        <x:f>IF(A43="The View","Projeto",IF(J43&gt;=2026,"Ativo",IF(J43=2025,"Rever","Histórico")))</x:f>
        <x:v>Histórico</x:v>
      </x:c>
      <x:c r="N43" t="str"/>
      <x:c r="O43" t="str"/>
      <x:c r="P43" s="30" t="str"/>
      <x:c r="Q43" t="str">
        <x:f>IF(A43="The View","Projeto",IF(A43="Le Parc","Benchmark local",IF(OR(A43="Del Mar Waterfront",A43="Aura Living"),"Premium waterfront/marina","A classificar")))</x:f>
        <x:v>Premium waterfront/marina</x:v>
      </x:c>
      <x:c r="R43" t="str">
        <x:v>Nova construção</x:v>
      </x:c>
      <x:c r="S43" t="str"/>
      <x:c r="T43" t="str"/>
      <x:c r="U43" t="str"/>
      <x:c r="V43" t="str"/>
      <x:c r="W43" s="28" t="n">
        <x:f>IF(A43="The View",1,MAX(0.25,MIN(1,IF(J43&gt;=2026,1,IF(J43=2025,0.8,IF(J43=2024,0.45,0.3)))*IF(Q43="Premium waterfront/marina",1,IF(Q43="Benchmark local",0.7,0.6))*IF(M43="Vendido",0.65,IF(M43="Reservado",0.8,IF(M43="Histórico",0.55,1))))))</x:f>
        <x:v>0.25</x:v>
      </x:c>
      <x:c r="X43" t="str">
        <x:f>IF(A43="The View","Projeto",IF(W43&gt;=0.85,"A · Premium ativo",IF(W43&gt;=0.55,"B · Benchmark local","C · Histórico/secundário")))</x:f>
        <x:v>C · Histórico/secundário</x:v>
      </x:c>
      <x:c r="Y43" t="str">
        <x:f>IF(A43="The View","N/A",IF(AND(N43&lt;&gt;"",O43&lt;&gt;"",P43&lt;&gt;""),"Alta",IF(OR(N43&lt;&gt;"",O43&lt;&gt;"",P43&lt;&gt;""),"Média","Baixa")))</x:f>
        <x:v>Baixa</x:v>
      </x:c>
      <x:c r="Z43" t="str"/>
      <x:c r="AA43" t="str">
        <x:f>IF(A43="The View","Manter",IF(J43&lt;2026,"Atualizar preço/status",IF(Y43="Baixa","Adicionar fonte/URL/data",IF(W43&lt;0.55,"Rever comparabilidade","OK"))))</x:f>
        <x:v>Atualizar preço/status</x:v>
      </x:c>
      <x:c r="AB43" t="str">
        <x:f>IF(A43="The View","",IF(OR(J43&lt;2026,Y43="Baixa"),"Alta",IF(W43&lt;0.55,"Média","Baixa")))</x:f>
        <x:v>Alta</x:v>
      </x:c>
    </x:row>
    <x:row r="44">
      <x:c r="A44" s="1" t="s">
        <x:v>12</x:v>
      </x:c>
      <x:c r="B44" s="1" t="s">
        <x:v>59</x:v>
      </x:c>
      <x:c r="C44" s="1">
        <x:v>3</x:v>
      </x:c>
      <x:c r="D44" s="1" t="s">
        <x:v>15</x:v>
      </x:c>
      <x:c r="E44" s="1">
        <x:v>2</x:v>
      </x:c>
      <x:c r="F44" s="24">
        <x:v>127.37</x:v>
      </x:c>
      <x:c r="G44" s="24">
        <x:v>16.07</x:v>
      </x:c>
      <x:c r="H44" s="24">
        <x:v>143.44</x:v>
      </x:c>
      <x:c r="I44" s="26">
        <x:v>745000</x:v>
      </x:c>
      <x:c r="J44" s="1">
        <x:v>2024</x:v>
      </x:c>
      <x:c r="K44" s="26">
        <x:v>5849.1010442019306</x:v>
      </x:c>
      <x:c r="L44" s="26">
        <x:v>5193.8092582264362</x:v>
      </x:c>
      <x:c r="M44" t="str">
        <x:f>IF(A44="The View","Projeto",IF(J44&gt;=2026,"Ativo",IF(J44=2025,"Rever","Histórico")))</x:f>
        <x:v>Histórico</x:v>
      </x:c>
      <x:c r="N44" t="str"/>
      <x:c r="O44" t="str"/>
      <x:c r="P44" s="30" t="str"/>
      <x:c r="Q44" t="str">
        <x:f>IF(A44="The View","Projeto",IF(A44="Le Parc","Benchmark local",IF(OR(A44="Del Mar Waterfront",A44="Aura Living"),"Premium waterfront/marina","A classificar")))</x:f>
        <x:v>Premium waterfront/marina</x:v>
      </x:c>
      <x:c r="R44" t="str">
        <x:v>Nova construção</x:v>
      </x:c>
      <x:c r="S44" t="str"/>
      <x:c r="T44" t="str"/>
      <x:c r="U44" t="str"/>
      <x:c r="V44" t="str"/>
      <x:c r="W44" s="28" t="n">
        <x:f>IF(A44="The View",1,MAX(0.25,MIN(1,IF(J44&gt;=2026,1,IF(J44=2025,0.8,IF(J44=2024,0.45,0.3)))*IF(Q44="Premium waterfront/marina",1,IF(Q44="Benchmark local",0.7,0.6))*IF(M44="Vendido",0.65,IF(M44="Reservado",0.8,IF(M44="Histórico",0.55,1))))))</x:f>
        <x:v>0.25</x:v>
      </x:c>
      <x:c r="X44" t="str">
        <x:f>IF(A44="The View","Projeto",IF(W44&gt;=0.85,"A · Premium ativo",IF(W44&gt;=0.55,"B · Benchmark local","C · Histórico/secundário")))</x:f>
        <x:v>C · Histórico/secundário</x:v>
      </x:c>
      <x:c r="Y44" t="str">
        <x:f>IF(A44="The View","N/A",IF(AND(N44&lt;&gt;"",O44&lt;&gt;"",P44&lt;&gt;""),"Alta",IF(OR(N44&lt;&gt;"",O44&lt;&gt;"",P44&lt;&gt;""),"Média","Baixa")))</x:f>
        <x:v>Baixa</x:v>
      </x:c>
      <x:c r="Z44" t="str"/>
      <x:c r="AA44" t="str">
        <x:f>IF(A44="The View","Manter",IF(J44&lt;2026,"Atualizar preço/status",IF(Y44="Baixa","Adicionar fonte/URL/data",IF(W44&lt;0.55,"Rever comparabilidade","OK"))))</x:f>
        <x:v>Atualizar preço/status</x:v>
      </x:c>
      <x:c r="AB44" t="str">
        <x:f>IF(A44="The View","",IF(OR(J44&lt;2026,Y44="Baixa"),"Alta",IF(W44&lt;0.55,"Média","Baixa")))</x:f>
        <x:v>Alta</x:v>
      </x:c>
    </x:row>
    <x:row r="45">
      <x:c r="A45" s="1" t="s">
        <x:v>12</x:v>
      </x:c>
      <x:c r="B45" s="1" t="s">
        <x:v>60</x:v>
      </x:c>
      <x:c r="C45" s="1">
        <x:v>3</x:v>
      </x:c>
      <x:c r="D45" s="1" t="s">
        <x:v>25</x:v>
      </x:c>
      <x:c r="E45" s="1">
        <x:v>2</x:v>
      </x:c>
      <x:c r="F45" s="24">
        <x:v>94.46</x:v>
      </x:c>
      <x:c r="G45" s="24">
        <x:v>9.15</x:v>
      </x:c>
      <x:c r="H45" s="24">
        <x:v>103.61</x:v>
      </x:c>
      <x:c r="I45" s="26">
        <x:v>445000</x:v>
      </x:c>
      <x:c r="J45" s="1">
        <x:v>2024</x:v>
      </x:c>
      <x:c r="K45" s="26">
        <x:v>4710.9887783188651</x:v>
      </x:c>
      <x:c r="L45" s="26">
        <x:v>4294.9522246887364</x:v>
      </x:c>
      <x:c r="M45" t="str">
        <x:f>IF(A45="The View","Projeto",IF(J45&gt;=2026,"Ativo",IF(J45=2025,"Rever","Histórico")))</x:f>
        <x:v>Histórico</x:v>
      </x:c>
      <x:c r="N45" t="str"/>
      <x:c r="O45" t="str"/>
      <x:c r="P45" s="30" t="str"/>
      <x:c r="Q45" t="str">
        <x:f>IF(A45="The View","Projeto",IF(A45="Le Parc","Benchmark local",IF(OR(A45="Del Mar Waterfront",A45="Aura Living"),"Premium waterfront/marina","A classificar")))</x:f>
        <x:v>Premium waterfront/marina</x:v>
      </x:c>
      <x:c r="R45" t="str">
        <x:v>Nova construção</x:v>
      </x:c>
      <x:c r="S45" t="str"/>
      <x:c r="T45" t="str"/>
      <x:c r="U45" t="str"/>
      <x:c r="V45" t="str"/>
      <x:c r="W45" s="28" t="n">
        <x:f>IF(A45="The View",1,MAX(0.25,MIN(1,IF(J45&gt;=2026,1,IF(J45=2025,0.8,IF(J45=2024,0.45,0.3)))*IF(Q45="Premium waterfront/marina",1,IF(Q45="Benchmark local",0.7,0.6))*IF(M45="Vendido",0.65,IF(M45="Reservado",0.8,IF(M45="Histórico",0.55,1))))))</x:f>
        <x:v>0.25</x:v>
      </x:c>
      <x:c r="X45" t="str">
        <x:f>IF(A45="The View","Projeto",IF(W45&gt;=0.85,"A · Premium ativo",IF(W45&gt;=0.55,"B · Benchmark local","C · Histórico/secundário")))</x:f>
        <x:v>C · Histórico/secundário</x:v>
      </x:c>
      <x:c r="Y45" t="str">
        <x:f>IF(A45="The View","N/A",IF(AND(N45&lt;&gt;"",O45&lt;&gt;"",P45&lt;&gt;""),"Alta",IF(OR(N45&lt;&gt;"",O45&lt;&gt;"",P45&lt;&gt;""),"Média","Baixa")))</x:f>
        <x:v>Baixa</x:v>
      </x:c>
      <x:c r="Z45" t="str"/>
      <x:c r="AA45" t="str">
        <x:f>IF(A45="The View","Manter",IF(J45&lt;2026,"Atualizar preço/status",IF(Y45="Baixa","Adicionar fonte/URL/data",IF(W45&lt;0.55,"Rever comparabilidade","OK"))))</x:f>
        <x:v>Atualizar preço/status</x:v>
      </x:c>
      <x:c r="AB45" t="str">
        <x:f>IF(A45="The View","",IF(OR(J45&lt;2026,Y45="Baixa"),"Alta",IF(W45&lt;0.55,"Média","Baixa")))</x:f>
        <x:v>Alta</x:v>
      </x:c>
    </x:row>
    <x:row r="46">
      <x:c r="A46" s="1" t="s">
        <x:v>12</x:v>
      </x:c>
      <x:c r="B46" s="1" t="s">
        <x:v>61</x:v>
      </x:c>
      <x:c r="C46" s="1">
        <x:v>3</x:v>
      </x:c>
      <x:c r="D46" s="1" t="s">
        <x:v>15</x:v>
      </x:c>
      <x:c r="E46" s="1">
        <x:v>3</x:v>
      </x:c>
      <x:c r="F46" s="24">
        <x:v>132.30000000000001</x:v>
      </x:c>
      <x:c r="G46" s="24">
        <x:v>15.5</x:v>
      </x:c>
      <x:c r="H46" s="24">
        <x:v>147.80000000000001</x:v>
      </x:c>
      <x:c r="I46" s="26">
        <x:v>685000</x:v>
      </x:c>
      <x:c r="J46" s="1">
        <x:v>2024</x:v>
      </x:c>
      <x:c r="K46" s="26">
        <x:v>5177.6266061980341</x:v>
      </x:c>
      <x:c r="L46" s="26">
        <x:v>4634.6414073071719</x:v>
      </x:c>
      <x:c r="M46" t="str">
        <x:f>IF(A46="The View","Projeto",IF(J46&gt;=2026,"Ativo",IF(J46=2025,"Rever","Histórico")))</x:f>
        <x:v>Histórico</x:v>
      </x:c>
      <x:c r="N46" t="str"/>
      <x:c r="O46" t="str"/>
      <x:c r="P46" s="30" t="str"/>
      <x:c r="Q46" t="str">
        <x:f>IF(A46="The View","Projeto",IF(A46="Le Parc","Benchmark local",IF(OR(A46="Del Mar Waterfront",A46="Aura Living"),"Premium waterfront/marina","A classificar")))</x:f>
        <x:v>Premium waterfront/marina</x:v>
      </x:c>
      <x:c r="R46" t="str">
        <x:v>Nova construção</x:v>
      </x:c>
      <x:c r="S46" t="str"/>
      <x:c r="T46" t="str"/>
      <x:c r="U46" t="str"/>
      <x:c r="V46" t="str"/>
      <x:c r="W46" s="28" t="n">
        <x:f>IF(A46="The View",1,MAX(0.25,MIN(1,IF(J46&gt;=2026,1,IF(J46=2025,0.8,IF(J46=2024,0.45,0.3)))*IF(Q46="Premium waterfront/marina",1,IF(Q46="Benchmark local",0.7,0.6))*IF(M46="Vendido",0.65,IF(M46="Reservado",0.8,IF(M46="Histórico",0.55,1))))))</x:f>
        <x:v>0.25</x:v>
      </x:c>
      <x:c r="X46" t="str">
        <x:f>IF(A46="The View","Projeto",IF(W46&gt;=0.85,"A · Premium ativo",IF(W46&gt;=0.55,"B · Benchmark local","C · Histórico/secundário")))</x:f>
        <x:v>C · Histórico/secundário</x:v>
      </x:c>
      <x:c r="Y46" t="str">
        <x:f>IF(A46="The View","N/A",IF(AND(N46&lt;&gt;"",O46&lt;&gt;"",P46&lt;&gt;""),"Alta",IF(OR(N46&lt;&gt;"",O46&lt;&gt;"",P46&lt;&gt;""),"Média","Baixa")))</x:f>
        <x:v>Baixa</x:v>
      </x:c>
      <x:c r="Z46" t="str"/>
      <x:c r="AA46" t="str">
        <x:f>IF(A46="The View","Manter",IF(J46&lt;2026,"Atualizar preço/status",IF(Y46="Baixa","Adicionar fonte/URL/data",IF(W46&lt;0.55,"Rever comparabilidade","OK"))))</x:f>
        <x:v>Atualizar preço/status</x:v>
      </x:c>
      <x:c r="AB46" t="str">
        <x:f>IF(A46="The View","",IF(OR(J46&lt;2026,Y46="Baixa"),"Alta",IF(W46&lt;0.55,"Média","Baixa")))</x:f>
        <x:v>Alta</x:v>
      </x:c>
    </x:row>
    <x:row r="47">
      <x:c r="A47" s="1" t="s">
        <x:v>12</x:v>
      </x:c>
      <x:c r="B47" s="1" t="s">
        <x:v>62</x:v>
      </x:c>
      <x:c r="C47" s="1">
        <x:v>4</x:v>
      </x:c>
      <x:c r="D47" s="1" t="s">
        <x:v>15</x:v>
      </x:c>
      <x:c r="E47" s="1">
        <x:v>2</x:v>
      </x:c>
      <x:c r="F47" s="24">
        <x:v>127.37</x:v>
      </x:c>
      <x:c r="G47" s="24">
        <x:v>16.07</x:v>
      </x:c>
      <x:c r="H47" s="24">
        <x:v>143.44</x:v>
      </x:c>
      <x:c r="I47" s="26">
        <x:v>755000</x:v>
      </x:c>
      <x:c r="J47" s="1">
        <x:v>2024</x:v>
      </x:c>
      <x:c r="K47" s="26">
        <x:v>5927.612467614038</x:v>
      </x:c>
      <x:c r="L47" s="26">
        <x:v>5263.5248187395428</x:v>
      </x:c>
      <x:c r="M47" t="str">
        <x:f>IF(A47="The View","Projeto",IF(J47&gt;=2026,"Ativo",IF(J47=2025,"Rever","Histórico")))</x:f>
        <x:v>Histórico</x:v>
      </x:c>
      <x:c r="N47" t="str"/>
      <x:c r="O47" t="str"/>
      <x:c r="P47" s="30" t="str"/>
      <x:c r="Q47" t="str">
        <x:f>IF(A47="The View","Projeto",IF(A47="Le Parc","Benchmark local",IF(OR(A47="Del Mar Waterfront",A47="Aura Living"),"Premium waterfront/marina","A classificar")))</x:f>
        <x:v>Premium waterfront/marina</x:v>
      </x:c>
      <x:c r="R47" t="str">
        <x:v>Nova construção</x:v>
      </x:c>
      <x:c r="S47" t="str"/>
      <x:c r="T47" t="str"/>
      <x:c r="U47" t="str"/>
      <x:c r="V47" t="str"/>
      <x:c r="W47" s="28" t="n">
        <x:f>IF(A47="The View",1,MAX(0.25,MIN(1,IF(J47&gt;=2026,1,IF(J47=2025,0.8,IF(J47=2024,0.45,0.3)))*IF(Q47="Premium waterfront/marina",1,IF(Q47="Benchmark local",0.7,0.6))*IF(M47="Vendido",0.65,IF(M47="Reservado",0.8,IF(M47="Histórico",0.55,1))))))</x:f>
        <x:v>0.25</x:v>
      </x:c>
      <x:c r="X47" t="str">
        <x:f>IF(A47="The View","Projeto",IF(W47&gt;=0.85,"A · Premium ativo",IF(W47&gt;=0.55,"B · Benchmark local","C · Histórico/secundário")))</x:f>
        <x:v>C · Histórico/secundário</x:v>
      </x:c>
      <x:c r="Y47" t="str">
        <x:f>IF(A47="The View","N/A",IF(AND(N47&lt;&gt;"",O47&lt;&gt;"",P47&lt;&gt;""),"Alta",IF(OR(N47&lt;&gt;"",O47&lt;&gt;"",P47&lt;&gt;""),"Média","Baixa")))</x:f>
        <x:v>Baixa</x:v>
      </x:c>
      <x:c r="Z47" t="str"/>
      <x:c r="AA47" t="str">
        <x:f>IF(A47="The View","Manter",IF(J47&lt;2026,"Atualizar preço/status",IF(Y47="Baixa","Adicionar fonte/URL/data",IF(W47&lt;0.55,"Rever comparabilidade","OK"))))</x:f>
        <x:v>Atualizar preço/status</x:v>
      </x:c>
      <x:c r="AB47" t="str">
        <x:f>IF(A47="The View","",IF(OR(J47&lt;2026,Y47="Baixa"),"Alta",IF(W47&lt;0.55,"Média","Baixa")))</x:f>
        <x:v>Alta</x:v>
      </x:c>
    </x:row>
    <x:row r="48">
      <x:c r="A48" s="1" t="s">
        <x:v>12</x:v>
      </x:c>
      <x:c r="B48" s="1" t="s">
        <x:v>63</x:v>
      </x:c>
      <x:c r="C48" s="1">
        <x:v>4</x:v>
      </x:c>
      <x:c r="D48" s="1" t="s">
        <x:v>15</x:v>
      </x:c>
      <x:c r="E48" s="1">
        <x:v>3</x:v>
      </x:c>
      <x:c r="F48" s="24">
        <x:v>132.30000000000001</x:v>
      </x:c>
      <x:c r="G48" s="24">
        <x:v>15.5</x:v>
      </x:c>
      <x:c r="H48" s="24">
        <x:v>147.80000000000001</x:v>
      </x:c>
      <x:c r="I48" s="26">
        <x:v>725000</x:v>
      </x:c>
      <x:c r="J48" s="1">
        <x:v>2024</x:v>
      </x:c>
      <x:c r="K48" s="26">
        <x:v>5479.9697656840508</x:v>
      </x:c>
      <x:c r="L48" s="26">
        <x:v>4905.2774018944519</x:v>
      </x:c>
      <x:c r="M48" t="str">
        <x:f>IF(A48="The View","Projeto",IF(J48&gt;=2026,"Ativo",IF(J48=2025,"Rever","Histórico")))</x:f>
        <x:v>Histórico</x:v>
      </x:c>
      <x:c r="N48" t="str"/>
      <x:c r="O48" t="str"/>
      <x:c r="P48" s="30" t="str"/>
      <x:c r="Q48" t="str">
        <x:f>IF(A48="The View","Projeto",IF(A48="Le Parc","Benchmark local",IF(OR(A48="Del Mar Waterfront",A48="Aura Living"),"Premium waterfront/marina","A classificar")))</x:f>
        <x:v>Premium waterfront/marina</x:v>
      </x:c>
      <x:c r="R48" t="str">
        <x:v>Nova construção</x:v>
      </x:c>
      <x:c r="S48" t="str"/>
      <x:c r="T48" t="str"/>
      <x:c r="U48" t="str"/>
      <x:c r="V48" t="str"/>
      <x:c r="W48" s="28" t="n">
        <x:f>IF(A48="The View",1,MAX(0.25,MIN(1,IF(J48&gt;=2026,1,IF(J48=2025,0.8,IF(J48=2024,0.45,0.3)))*IF(Q48="Premium waterfront/marina",1,IF(Q48="Benchmark local",0.7,0.6))*IF(M48="Vendido",0.65,IF(M48="Reservado",0.8,IF(M48="Histórico",0.55,1))))))</x:f>
        <x:v>0.25</x:v>
      </x:c>
      <x:c r="X48" t="str">
        <x:f>IF(A48="The View","Projeto",IF(W48&gt;=0.85,"A · Premium ativo",IF(W48&gt;=0.55,"B · Benchmark local","C · Histórico/secundário")))</x:f>
        <x:v>C · Histórico/secundário</x:v>
      </x:c>
      <x:c r="Y48" t="str">
        <x:f>IF(A48="The View","N/A",IF(AND(N48&lt;&gt;"",O48&lt;&gt;"",P48&lt;&gt;""),"Alta",IF(OR(N48&lt;&gt;"",O48&lt;&gt;"",P48&lt;&gt;""),"Média","Baixa")))</x:f>
        <x:v>Baixa</x:v>
      </x:c>
      <x:c r="Z48" t="str"/>
      <x:c r="AA48" t="str">
        <x:f>IF(A48="The View","Manter",IF(J48&lt;2026,"Atualizar preço/status",IF(Y48="Baixa","Adicionar fonte/URL/data",IF(W48&lt;0.55,"Rever comparabilidade","OK"))))</x:f>
        <x:v>Atualizar preço/status</x:v>
      </x:c>
      <x:c r="AB48" t="str">
        <x:f>IF(A48="The View","",IF(OR(J48&lt;2026,Y48="Baixa"),"Alta",IF(W48&lt;0.55,"Média","Baixa")))</x:f>
        <x:v>Alta</x:v>
      </x:c>
    </x:row>
    <x:row r="49">
      <x:c r="A49" s="1" t="s">
        <x:v>64</x:v>
      </x:c>
      <x:c r="B49" s="1" t="s">
        <x:v>65</x:v>
      </x:c>
      <x:c r="C49" s="1">
        <x:v>1</x:v>
      </x:c>
      <x:c r="D49" s="1" t="s">
        <x:v>15</x:v>
      </x:c>
      <x:c r="E49" s="1">
        <x:v>3</x:v>
      </x:c>
      <x:c r="F49" s="24">
        <x:v>107</x:v>
      </x:c>
      <x:c r="G49" s="24">
        <x:v>35</x:v>
      </x:c>
      <x:c r="H49" s="24">
        <x:v>142</x:v>
      </x:c>
      <x:c r="I49" s="26">
        <x:v>537900</x:v>
      </x:c>
      <x:c r="J49" s="1">
        <x:v>2026</x:v>
      </x:c>
      <x:c r="K49" s="26">
        <x:v>5027.1028037383176</x:v>
      </x:c>
      <x:c r="L49" s="26">
        <x:v>3788.0281690140851</x:v>
      </x:c>
      <x:c r="M49" t="str">
        <x:f>IF(A49="The View","Projeto",IF(J49&gt;=2026,"Ativo",IF(J49=2025,"Rever","Histórico")))</x:f>
        <x:v>Ativo</x:v>
      </x:c>
      <x:c r="N49" t="str"/>
      <x:c r="O49" t="str"/>
      <x:c r="P49" s="30" t="str"/>
      <x:c r="Q49" t="str">
        <x:f>IF(A49="The View","Projeto",IF(A49="Le Parc","Benchmark local",IF(OR(A49="Del Mar Waterfront",A49="Aura Living"),"Premium waterfront/marina","A classificar")))</x:f>
        <x:v>Benchmark local</x:v>
      </x:c>
      <x:c r="R49" t="str">
        <x:v>Nova construção</x:v>
      </x:c>
      <x:c r="S49" t="str"/>
      <x:c r="T49" t="str"/>
      <x:c r="U49" t="str"/>
      <x:c r="V49" t="str"/>
      <x:c r="W49" s="28" t="n">
        <x:f>IF(A49="The View",1,MAX(0.25,MIN(1,IF(J49&gt;=2026,1,IF(J49=2025,0.8,IF(J49=2024,0.45,0.3)))*IF(Q49="Premium waterfront/marina",1,IF(Q49="Benchmark local",0.7,0.6))*IF(M49="Vendido",0.65,IF(M49="Reservado",0.8,IF(M49="Histórico",0.55,1))))))</x:f>
        <x:v>0.7</x:v>
      </x:c>
      <x:c r="X49" t="str">
        <x:f>IF(A49="The View","Projeto",IF(W49&gt;=0.85,"A · Premium ativo",IF(W49&gt;=0.55,"B · Benchmark local","C · Histórico/secundário")))</x:f>
        <x:v>B · Benchmark local</x:v>
      </x:c>
      <x:c r="Y49" t="str">
        <x:f>IF(A49="The View","N/A",IF(AND(N49&lt;&gt;"",O49&lt;&gt;"",P49&lt;&gt;""),"Alta",IF(OR(N49&lt;&gt;"",O49&lt;&gt;"",P49&lt;&gt;""),"Média","Baixa")))</x:f>
        <x:v>Baixa</x:v>
      </x:c>
      <x:c r="Z49" t="str"/>
      <x:c r="AA49" t="str">
        <x:f>IF(A49="The View","Manter",IF(J49&lt;2026,"Atualizar preço/status",IF(Y49="Baixa","Adicionar fonte/URL/data",IF(W49&lt;0.55,"Rever comparabilidade","OK"))))</x:f>
        <x:v>Adicionar fonte/URL/data</x:v>
      </x:c>
      <x:c r="AB49" t="str">
        <x:f>IF(A49="The View","",IF(OR(J49&lt;2026,Y49="Baixa"),"Alta",IF(W49&lt;0.55,"Média","Baixa")))</x:f>
        <x:v>Alta</x:v>
      </x:c>
    </x:row>
    <x:row r="50">
      <x:c r="A50" s="1" t="s">
        <x:v>64</x:v>
      </x:c>
      <x:c r="B50" s="1" t="s">
        <x:v>66</x:v>
      </x:c>
      <x:c r="C50" s="1">
        <x:v>1</x:v>
      </x:c>
      <x:c r="D50" s="1" t="s">
        <x:v>15</x:v>
      </x:c>
      <x:c r="E50" s="1">
        <x:v>1</x:v>
      </x:c>
      <x:c r="F50" s="24">
        <x:v>107</x:v>
      </x:c>
      <x:c r="G50" s="24">
        <x:v>35</x:v>
      </x:c>
      <x:c r="H50" s="24">
        <x:v>142</x:v>
      </x:c>
      <x:c r="I50" s="26">
        <x:v>425700</x:v>
      </x:c>
      <x:c r="J50" s="1">
        <x:v>2024</x:v>
      </x:c>
      <x:c r="K50" s="26">
        <x:v>3978.5046728971961</x:v>
      </x:c>
      <x:c r="L50" s="26">
        <x:v>2997.8873239436621</x:v>
      </x:c>
      <x:c r="M50" t="str">
        <x:f>IF(A50="The View","Projeto",IF(J50&gt;=2026,"Ativo",IF(J50=2025,"Rever","Histórico")))</x:f>
        <x:v>Histórico</x:v>
      </x:c>
      <x:c r="N50" t="str"/>
      <x:c r="O50" t="str"/>
      <x:c r="P50" s="30" t="str"/>
      <x:c r="Q50" t="str">
        <x:f>IF(A50="The View","Projeto",IF(A50="Le Parc","Benchmark local",IF(OR(A50="Del Mar Waterfront",A50="Aura Living"),"Premium waterfront/marina","A classificar")))</x:f>
        <x:v>Benchmark local</x:v>
      </x:c>
      <x:c r="R50" t="str">
        <x:v>Nova construção</x:v>
      </x:c>
      <x:c r="S50" t="str"/>
      <x:c r="T50" t="str"/>
      <x:c r="U50" t="str"/>
      <x:c r="V50" t="str"/>
      <x:c r="W50" s="28" t="n">
        <x:f>IF(A50="The View",1,MAX(0.25,MIN(1,IF(J50&gt;=2026,1,IF(J50=2025,0.8,IF(J50=2024,0.45,0.3)))*IF(Q50="Premium waterfront/marina",1,IF(Q50="Benchmark local",0.7,0.6))*IF(M50="Vendido",0.65,IF(M50="Reservado",0.8,IF(M50="Histórico",0.55,1))))))</x:f>
        <x:v>0.25</x:v>
      </x:c>
      <x:c r="X50" t="str">
        <x:f>IF(A50="The View","Projeto",IF(W50&gt;=0.85,"A · Premium ativo",IF(W50&gt;=0.55,"B · Benchmark local","C · Histórico/secundário")))</x:f>
        <x:v>C · Histórico/secundário</x:v>
      </x:c>
      <x:c r="Y50" t="str">
        <x:f>IF(A50="The View","N/A",IF(AND(N50&lt;&gt;"",O50&lt;&gt;"",P50&lt;&gt;""),"Alta",IF(OR(N50&lt;&gt;"",O50&lt;&gt;"",P50&lt;&gt;""),"Média","Baixa")))</x:f>
        <x:v>Baixa</x:v>
      </x:c>
      <x:c r="Z50" t="str"/>
      <x:c r="AA50" t="str">
        <x:f>IF(A50="The View","Manter",IF(J50&lt;2026,"Atualizar preço/status",IF(Y50="Baixa","Adicionar fonte/URL/data",IF(W50&lt;0.55,"Rever comparabilidade","OK"))))</x:f>
        <x:v>Atualizar preço/status</x:v>
      </x:c>
      <x:c r="AB50" t="str">
        <x:f>IF(A50="The View","",IF(OR(J50&lt;2026,Y50="Baixa"),"Alta",IF(W50&lt;0.55,"Média","Baixa")))</x:f>
        <x:v>Alta</x:v>
      </x:c>
    </x:row>
    <x:row r="51">
      <x:c r="A51" s="1" t="s">
        <x:v>64</x:v>
      </x:c>
      <x:c r="B51" s="1" t="s">
        <x:v>67</x:v>
      </x:c>
      <x:c r="C51" s="1">
        <x:v>2</x:v>
      </x:c>
      <x:c r="D51" s="1" t="s">
        <x:v>15</x:v>
      </x:c>
      <x:c r="E51" s="1">
        <x:v>3</x:v>
      </x:c>
      <x:c r="F51" s="24">
        <x:v>107</x:v>
      </x:c>
      <x:c r="G51" s="24">
        <x:v>34</x:v>
      </x:c>
      <x:c r="H51" s="24">
        <x:v>141</x:v>
      </x:c>
      <x:c r="I51" s="26">
        <x:v>482350</x:v>
      </x:c>
      <x:c r="J51" s="1">
        <x:v>2026</x:v>
      </x:c>
      <x:c r="K51" s="26">
        <x:v>4507.9439252336451</x:v>
      </x:c>
      <x:c r="L51" s="26">
        <x:v>3420.921985815603</x:v>
      </x:c>
      <x:c r="M51" t="str">
        <x:f>IF(A51="The View","Projeto",IF(J51&gt;=2026,"Ativo",IF(J51=2025,"Rever","Histórico")))</x:f>
        <x:v>Ativo</x:v>
      </x:c>
      <x:c r="N51" t="str"/>
      <x:c r="O51" t="str"/>
      <x:c r="P51" s="30" t="str"/>
      <x:c r="Q51" t="str">
        <x:f>IF(A51="The View","Projeto",IF(A51="Le Parc","Benchmark local",IF(OR(A51="Del Mar Waterfront",A51="Aura Living"),"Premium waterfront/marina","A classificar")))</x:f>
        <x:v>Benchmark local</x:v>
      </x:c>
      <x:c r="R51" t="str">
        <x:v>Nova construção</x:v>
      </x:c>
      <x:c r="S51" t="str"/>
      <x:c r="T51" t="str"/>
      <x:c r="U51" t="str"/>
      <x:c r="V51" t="str"/>
      <x:c r="W51" s="28" t="n">
        <x:f>IF(A51="The View",1,MAX(0.25,MIN(1,IF(J51&gt;=2026,1,IF(J51=2025,0.8,IF(J51=2024,0.45,0.3)))*IF(Q51="Premium waterfront/marina",1,IF(Q51="Benchmark local",0.7,0.6))*IF(M51="Vendido",0.65,IF(M51="Reservado",0.8,IF(M51="Histórico",0.55,1))))))</x:f>
        <x:v>0.7</x:v>
      </x:c>
      <x:c r="X51" t="str">
        <x:f>IF(A51="The View","Projeto",IF(W51&gt;=0.85,"A · Premium ativo",IF(W51&gt;=0.55,"B · Benchmark local","C · Histórico/secundário")))</x:f>
        <x:v>B · Benchmark local</x:v>
      </x:c>
      <x:c r="Y51" t="str">
        <x:f>IF(A51="The View","N/A",IF(AND(N51&lt;&gt;"",O51&lt;&gt;"",P51&lt;&gt;""),"Alta",IF(OR(N51&lt;&gt;"",O51&lt;&gt;"",P51&lt;&gt;""),"Média","Baixa")))</x:f>
        <x:v>Baixa</x:v>
      </x:c>
      <x:c r="Z51" t="str"/>
      <x:c r="AA51" t="str">
        <x:f>IF(A51="The View","Manter",IF(J51&lt;2026,"Atualizar preço/status",IF(Y51="Baixa","Adicionar fonte/URL/data",IF(W51&lt;0.55,"Rever comparabilidade","OK"))))</x:f>
        <x:v>Adicionar fonte/URL/data</x:v>
      </x:c>
      <x:c r="AB51" t="str">
        <x:f>IF(A51="The View","",IF(OR(J51&lt;2026,Y51="Baixa"),"Alta",IF(W51&lt;0.55,"Média","Baixa")))</x:f>
        <x:v>Alta</x:v>
      </x:c>
    </x:row>
    <x:row r="52">
      <x:c r="A52" s="1" t="s">
        <x:v>64</x:v>
      </x:c>
      <x:c r="B52" s="1" t="s">
        <x:v>68</x:v>
      </x:c>
      <x:c r="C52" s="1">
        <x:v>2</x:v>
      </x:c>
      <x:c r="D52" s="1" t="s">
        <x:v>15</x:v>
      </x:c>
      <x:c r="E52" s="1">
        <x:v>1</x:v>
      </x:c>
      <x:c r="F52" s="24">
        <x:v>107</x:v>
      </x:c>
      <x:c r="G52" s="24">
        <x:v>34</x:v>
      </x:c>
      <x:c r="H52" s="24">
        <x:v>141</x:v>
      </x:c>
      <x:c r="I52" s="26">
        <x:v>408100</x:v>
      </x:c>
      <x:c r="J52" s="1">
        <x:v>2024</x:v>
      </x:c>
      <x:c r="K52" s="26">
        <x:v>3814.0186915887848</x:v>
      </x:c>
      <x:c r="L52" s="26">
        <x:v>2894.3262411347519</x:v>
      </x:c>
      <x:c r="M52" t="str">
        <x:f>IF(A52="The View","Projeto",IF(J52&gt;=2026,"Ativo",IF(J52=2025,"Rever","Histórico")))</x:f>
        <x:v>Histórico</x:v>
      </x:c>
      <x:c r="N52" t="str"/>
      <x:c r="O52" t="str"/>
      <x:c r="P52" s="30" t="str"/>
      <x:c r="Q52" t="str">
        <x:f>IF(A52="The View","Projeto",IF(A52="Le Parc","Benchmark local",IF(OR(A52="Del Mar Waterfront",A52="Aura Living"),"Premium waterfront/marina","A classificar")))</x:f>
        <x:v>Benchmark local</x:v>
      </x:c>
      <x:c r="R52" t="str">
        <x:v>Nova construção</x:v>
      </x:c>
      <x:c r="S52" t="str"/>
      <x:c r="T52" t="str"/>
      <x:c r="U52" t="str"/>
      <x:c r="V52" t="str"/>
      <x:c r="W52" s="28" t="n">
        <x:f>IF(A52="The View",1,MAX(0.25,MIN(1,IF(J52&gt;=2026,1,IF(J52=2025,0.8,IF(J52=2024,0.45,0.3)))*IF(Q52="Premium waterfront/marina",1,IF(Q52="Benchmark local",0.7,0.6))*IF(M52="Vendido",0.65,IF(M52="Reservado",0.8,IF(M52="Histórico",0.55,1))))))</x:f>
        <x:v>0.25</x:v>
      </x:c>
      <x:c r="X52" t="str">
        <x:f>IF(A52="The View","Projeto",IF(W52&gt;=0.85,"A · Premium ativo",IF(W52&gt;=0.55,"B · Benchmark local","C · Histórico/secundário")))</x:f>
        <x:v>C · Histórico/secundário</x:v>
      </x:c>
      <x:c r="Y52" t="str">
        <x:f>IF(A52="The View","N/A",IF(AND(N52&lt;&gt;"",O52&lt;&gt;"",P52&lt;&gt;""),"Alta",IF(OR(N52&lt;&gt;"",O52&lt;&gt;"",P52&lt;&gt;""),"Média","Baixa")))</x:f>
        <x:v>Baixa</x:v>
      </x:c>
      <x:c r="Z52" t="str"/>
      <x:c r="AA52" t="str">
        <x:f>IF(A52="The View","Manter",IF(J52&lt;2026,"Atualizar preço/status",IF(Y52="Baixa","Adicionar fonte/URL/data",IF(W52&lt;0.55,"Rever comparabilidade","OK"))))</x:f>
        <x:v>Atualizar preço/status</x:v>
      </x:c>
      <x:c r="AB52" t="str">
        <x:f>IF(A52="The View","",IF(OR(J52&lt;2026,Y52="Baixa"),"Alta",IF(W52&lt;0.55,"Média","Baixa")))</x:f>
        <x:v>Alta</x:v>
      </x:c>
    </x:row>
    <x:row r="53">
      <x:c r="A53" s="1" t="s">
        <x:v>64</x:v>
      </x:c>
      <x:c r="B53" s="1" t="s">
        <x:v>69</x:v>
      </x:c>
      <x:c r="C53" s="1">
        <x:v>3</x:v>
      </x:c>
      <x:c r="D53" s="1" t="s">
        <x:v>15</x:v>
      </x:c>
      <x:c r="E53" s="1">
        <x:v>3</x:v>
      </x:c>
      <x:c r="F53" s="24">
        <x:v>107</x:v>
      </x:c>
      <x:c r="G53" s="24">
        <x:v>34</x:v>
      </x:c>
      <x:c r="H53" s="24">
        <x:v>141</x:v>
      </x:c>
      <x:c r="I53" s="26">
        <x:v>409750</x:v>
      </x:c>
      <x:c r="J53" s="1">
        <x:v>2024</x:v>
      </x:c>
      <x:c r="K53" s="26">
        <x:v>3829.439252336449</x:v>
      </x:c>
      <x:c r="L53" s="26">
        <x:v>2906.0283687943261</x:v>
      </x:c>
      <x:c r="M53" t="str">
        <x:f>IF(A53="The View","Projeto",IF(J53&gt;=2026,"Ativo",IF(J53=2025,"Rever","Histórico")))</x:f>
        <x:v>Histórico</x:v>
      </x:c>
      <x:c r="N53" t="str"/>
      <x:c r="O53" t="str"/>
      <x:c r="P53" s="30" t="str"/>
      <x:c r="Q53" t="str">
        <x:f>IF(A53="The View","Projeto",IF(A53="Le Parc","Benchmark local",IF(OR(A53="Del Mar Waterfront",A53="Aura Living"),"Premium waterfront/marina","A classificar")))</x:f>
        <x:v>Benchmark local</x:v>
      </x:c>
      <x:c r="R53" t="str">
        <x:v>Nova construção</x:v>
      </x:c>
      <x:c r="S53" t="str"/>
      <x:c r="T53" t="str"/>
      <x:c r="U53" t="str"/>
      <x:c r="V53" t="str"/>
      <x:c r="W53" s="28" t="n">
        <x:f>IF(A53="The View",1,MAX(0.25,MIN(1,IF(J53&gt;=2026,1,IF(J53=2025,0.8,IF(J53=2024,0.45,0.3)))*IF(Q53="Premium waterfront/marina",1,IF(Q53="Benchmark local",0.7,0.6))*IF(M53="Vendido",0.65,IF(M53="Reservado",0.8,IF(M53="Histórico",0.55,1))))))</x:f>
        <x:v>0.25</x:v>
      </x:c>
      <x:c r="X53" t="str">
        <x:f>IF(A53="The View","Projeto",IF(W53&gt;=0.85,"A · Premium ativo",IF(W53&gt;=0.55,"B · Benchmark local","C · Histórico/secundário")))</x:f>
        <x:v>C · Histórico/secundário</x:v>
      </x:c>
      <x:c r="Y53" t="str">
        <x:f>IF(A53="The View","N/A",IF(AND(N53&lt;&gt;"",O53&lt;&gt;"",P53&lt;&gt;""),"Alta",IF(OR(N53&lt;&gt;"",O53&lt;&gt;"",P53&lt;&gt;""),"Média","Baixa")))</x:f>
        <x:v>Baixa</x:v>
      </x:c>
      <x:c r="Z53" t="str"/>
      <x:c r="AA53" t="str">
        <x:f>IF(A53="The View","Manter",IF(J53&lt;2026,"Atualizar preço/status",IF(Y53="Baixa","Adicionar fonte/URL/data",IF(W53&lt;0.55,"Rever comparabilidade","OK"))))</x:f>
        <x:v>Atualizar preço/status</x:v>
      </x:c>
      <x:c r="AB53" t="str">
        <x:f>IF(A53="The View","",IF(OR(J53&lt;2026,Y53="Baixa"),"Alta",IF(W53&lt;0.55,"Média","Baixa")))</x:f>
        <x:v>Alta</x:v>
      </x:c>
    </x:row>
    <x:row r="54">
      <x:c r="A54" s="1" t="s">
        <x:v>64</x:v>
      </x:c>
      <x:c r="B54" s="1" t="s">
        <x:v>70</x:v>
      </x:c>
      <x:c r="C54" s="1">
        <x:v>3</x:v>
      </x:c>
      <x:c r="D54" s="1" t="s">
        <x:v>15</x:v>
      </x:c>
      <x:c r="E54" s="1">
        <x:v>1</x:v>
      </x:c>
      <x:c r="F54" s="24">
        <x:v>107</x:v>
      </x:c>
      <x:c r="G54" s="24">
        <x:v>34</x:v>
      </x:c>
      <x:c r="H54" s="24">
        <x:v>141</x:v>
      </x:c>
      <x:c r="I54" s="26">
        <x:v>409750</x:v>
      </x:c>
      <x:c r="J54" s="1">
        <x:v>2024</x:v>
      </x:c>
      <x:c r="K54" s="26">
        <x:v>3829.439252336449</x:v>
      </x:c>
      <x:c r="L54" s="26">
        <x:v>2906.0283687943261</x:v>
      </x:c>
      <x:c r="M54" t="str">
        <x:f>IF(A54="The View","Projeto",IF(J54&gt;=2026,"Ativo",IF(J54=2025,"Rever","Histórico")))</x:f>
        <x:v>Histórico</x:v>
      </x:c>
      <x:c r="N54" t="str"/>
      <x:c r="O54" t="str"/>
      <x:c r="P54" s="30" t="str"/>
      <x:c r="Q54" t="str">
        <x:f>IF(A54="The View","Projeto",IF(A54="Le Parc","Benchmark local",IF(OR(A54="Del Mar Waterfront",A54="Aura Living"),"Premium waterfront/marina","A classificar")))</x:f>
        <x:v>Benchmark local</x:v>
      </x:c>
      <x:c r="R54" t="str">
        <x:v>Nova construção</x:v>
      </x:c>
      <x:c r="S54" t="str"/>
      <x:c r="T54" t="str"/>
      <x:c r="U54" t="str"/>
      <x:c r="V54" t="str"/>
      <x:c r="W54" s="28" t="n">
        <x:f>IF(A54="The View",1,MAX(0.25,MIN(1,IF(J54&gt;=2026,1,IF(J54=2025,0.8,IF(J54=2024,0.45,0.3)))*IF(Q54="Premium waterfront/marina",1,IF(Q54="Benchmark local",0.7,0.6))*IF(M54="Vendido",0.65,IF(M54="Reservado",0.8,IF(M54="Histórico",0.55,1))))))</x:f>
        <x:v>0.25</x:v>
      </x:c>
      <x:c r="X54" t="str">
        <x:f>IF(A54="The View","Projeto",IF(W54&gt;=0.85,"A · Premium ativo",IF(W54&gt;=0.55,"B · Benchmark local","C · Histórico/secundário")))</x:f>
        <x:v>C · Histórico/secundário</x:v>
      </x:c>
      <x:c r="Y54" t="str">
        <x:f>IF(A54="The View","N/A",IF(AND(N54&lt;&gt;"",O54&lt;&gt;"",P54&lt;&gt;""),"Alta",IF(OR(N54&lt;&gt;"",O54&lt;&gt;"",P54&lt;&gt;""),"Média","Baixa")))</x:f>
        <x:v>Baixa</x:v>
      </x:c>
      <x:c r="Z54" t="str"/>
      <x:c r="AA54" t="str">
        <x:f>IF(A54="The View","Manter",IF(J54&lt;2026,"Atualizar preço/status",IF(Y54="Baixa","Adicionar fonte/URL/data",IF(W54&lt;0.55,"Rever comparabilidade","OK"))))</x:f>
        <x:v>Atualizar preço/status</x:v>
      </x:c>
      <x:c r="AB54" t="str">
        <x:f>IF(A54="The View","",IF(OR(J54&lt;2026,Y54="Baixa"),"Alta",IF(W54&lt;0.55,"Média","Baixa")))</x:f>
        <x:v>Alta</x:v>
      </x:c>
    </x:row>
    <x:row r="55">
      <x:c r="A55" s="1" t="s">
        <x:v>64</x:v>
      </x:c>
      <x:c r="B55" s="1" t="s">
        <x:v>71</x:v>
      </x:c>
      <x:c r="C55" s="1">
        <x:v>4</x:v>
      </x:c>
      <x:c r="D55" s="1" t="s">
        <x:v>15</x:v>
      </x:c>
      <x:c r="E55" s="1">
        <x:v>3</x:v>
      </x:c>
      <x:c r="F55" s="24">
        <x:v>107</x:v>
      </x:c>
      <x:c r="G55" s="24">
        <x:v>34</x:v>
      </x:c>
      <x:c r="H55" s="24">
        <x:v>141</x:v>
      </x:c>
      <x:c r="I55" s="26">
        <x:v>420750</x:v>
      </x:c>
      <x:c r="J55" s="1">
        <x:v>2024</x:v>
      </x:c>
      <x:c r="K55" s="26">
        <x:v>3932.2429906542061</x:v>
      </x:c>
      <x:c r="L55" s="26">
        <x:v>2984.0425531914889</x:v>
      </x:c>
      <x:c r="M55" t="str">
        <x:f>IF(A55="The View","Projeto",IF(J55&gt;=2026,"Ativo",IF(J55=2025,"Rever","Histórico")))</x:f>
        <x:v>Histórico</x:v>
      </x:c>
      <x:c r="N55" t="str"/>
      <x:c r="O55" t="str"/>
      <x:c r="P55" s="30" t="str"/>
      <x:c r="Q55" t="str">
        <x:f>IF(A55="The View","Projeto",IF(A55="Le Parc","Benchmark local",IF(OR(A55="Del Mar Waterfront",A55="Aura Living"),"Premium waterfront/marina","A classificar")))</x:f>
        <x:v>Benchmark local</x:v>
      </x:c>
      <x:c r="R55" t="str">
        <x:v>Nova construção</x:v>
      </x:c>
      <x:c r="S55" t="str"/>
      <x:c r="T55" t="str"/>
      <x:c r="U55" t="str"/>
      <x:c r="V55" t="str"/>
      <x:c r="W55" s="28" t="n">
        <x:f>IF(A55="The View",1,MAX(0.25,MIN(1,IF(J55&gt;=2026,1,IF(J55=2025,0.8,IF(J55=2024,0.45,0.3)))*IF(Q55="Premium waterfront/marina",1,IF(Q55="Benchmark local",0.7,0.6))*IF(M55="Vendido",0.65,IF(M55="Reservado",0.8,IF(M55="Histórico",0.55,1))))))</x:f>
        <x:v>0.25</x:v>
      </x:c>
      <x:c r="X55" t="str">
        <x:f>IF(A55="The View","Projeto",IF(W55&gt;=0.85,"A · Premium ativo",IF(W55&gt;=0.55,"B · Benchmark local","C · Histórico/secundário")))</x:f>
        <x:v>C · Histórico/secundário</x:v>
      </x:c>
      <x:c r="Y55" t="str">
        <x:f>IF(A55="The View","N/A",IF(AND(N55&lt;&gt;"",O55&lt;&gt;"",P55&lt;&gt;""),"Alta",IF(OR(N55&lt;&gt;"",O55&lt;&gt;"",P55&lt;&gt;""),"Média","Baixa")))</x:f>
        <x:v>Baixa</x:v>
      </x:c>
      <x:c r="Z55" t="str"/>
      <x:c r="AA55" t="str">
        <x:f>IF(A55="The View","Manter",IF(J55&lt;2026,"Atualizar preço/status",IF(Y55="Baixa","Adicionar fonte/URL/data",IF(W55&lt;0.55,"Rever comparabilidade","OK"))))</x:f>
        <x:v>Atualizar preço/status</x:v>
      </x:c>
      <x:c r="AB55" t="str">
        <x:f>IF(A55="The View","",IF(OR(J55&lt;2026,Y55="Baixa"),"Alta",IF(W55&lt;0.55,"Média","Baixa")))</x:f>
        <x:v>Alta</x:v>
      </x:c>
    </x:row>
    <x:row r="56">
      <x:c r="A56" s="1" t="s">
        <x:v>64</x:v>
      </x:c>
      <x:c r="B56" s="1" t="s">
        <x:v>72</x:v>
      </x:c>
      <x:c r="C56" s="1">
        <x:v>4</x:v>
      </x:c>
      <x:c r="D56" s="1" t="s">
        <x:v>15</x:v>
      </x:c>
      <x:c r="E56" s="1">
        <x:v>1</x:v>
      </x:c>
      <x:c r="F56" s="24">
        <x:v>107</x:v>
      </x:c>
      <x:c r="G56" s="24">
        <x:v>34</x:v>
      </x:c>
      <x:c r="H56" s="24">
        <x:v>141</x:v>
      </x:c>
      <x:c r="I56" s="26">
        <x:v>420750</x:v>
      </x:c>
      <x:c r="J56" s="1">
        <x:v>2024</x:v>
      </x:c>
      <x:c r="K56" s="26">
        <x:v>3932.2429906542061</x:v>
      </x:c>
      <x:c r="L56" s="26">
        <x:v>2984.0425531914889</x:v>
      </x:c>
      <x:c r="M56" t="str">
        <x:f>IF(A56="The View","Projeto",IF(J56&gt;=2026,"Ativo",IF(J56=2025,"Rever","Histórico")))</x:f>
        <x:v>Histórico</x:v>
      </x:c>
      <x:c r="N56" t="str"/>
      <x:c r="O56" t="str"/>
      <x:c r="P56" s="30" t="str"/>
      <x:c r="Q56" t="str">
        <x:f>IF(A56="The View","Projeto",IF(A56="Le Parc","Benchmark local",IF(OR(A56="Del Mar Waterfront",A56="Aura Living"),"Premium waterfront/marina","A classificar")))</x:f>
        <x:v>Benchmark local</x:v>
      </x:c>
      <x:c r="R56" t="str">
        <x:v>Nova construção</x:v>
      </x:c>
      <x:c r="S56" t="str"/>
      <x:c r="T56" t="str"/>
      <x:c r="U56" t="str"/>
      <x:c r="V56" t="str"/>
      <x:c r="W56" s="28" t="n">
        <x:f>IF(A56="The View",1,MAX(0.25,MIN(1,IF(J56&gt;=2026,1,IF(J56=2025,0.8,IF(J56=2024,0.45,0.3)))*IF(Q56="Premium waterfront/marina",1,IF(Q56="Benchmark local",0.7,0.6))*IF(M56="Vendido",0.65,IF(M56="Reservado",0.8,IF(M56="Histórico",0.55,1))))))</x:f>
        <x:v>0.25</x:v>
      </x:c>
      <x:c r="X56" t="str">
        <x:f>IF(A56="The View","Projeto",IF(W56&gt;=0.85,"A · Premium ativo",IF(W56&gt;=0.55,"B · Benchmark local","C · Histórico/secundário")))</x:f>
        <x:v>C · Histórico/secundário</x:v>
      </x:c>
      <x:c r="Y56" t="str">
        <x:f>IF(A56="The View","N/A",IF(AND(N56&lt;&gt;"",O56&lt;&gt;"",P56&lt;&gt;""),"Alta",IF(OR(N56&lt;&gt;"",O56&lt;&gt;"",P56&lt;&gt;""),"Média","Baixa")))</x:f>
        <x:v>Baixa</x:v>
      </x:c>
      <x:c r="Z56" t="str"/>
      <x:c r="AA56" t="str">
        <x:f>IF(A56="The View","Manter",IF(J56&lt;2026,"Atualizar preço/status",IF(Y56="Baixa","Adicionar fonte/URL/data",IF(W56&lt;0.55,"Rever comparabilidade","OK"))))</x:f>
        <x:v>Atualizar preço/status</x:v>
      </x:c>
      <x:c r="AB56" t="str">
        <x:f>IF(A56="The View","",IF(OR(J56&lt;2026,Y56="Baixa"),"Alta",IF(W56&lt;0.55,"Média","Baixa")))</x:f>
        <x:v>Alta</x:v>
      </x:c>
    </x:row>
    <x:row r="57">
      <x:c r="A57" s="1" t="s">
        <x:v>64</x:v>
      </x:c>
      <x:c r="B57" s="1" t="s">
        <x:v>65</x:v>
      </x:c>
      <x:c r="C57" s="1">
        <x:v>1</x:v>
      </x:c>
      <x:c r="D57" s="1" t="s">
        <x:v>47</x:v>
      </x:c>
      <x:c r="E57" s="1">
        <x:v>3</x:v>
      </x:c>
      <x:c r="F57" s="24">
        <x:v>124</x:v>
      </x:c>
      <x:c r="G57" s="24">
        <x:v>74</x:v>
      </x:c>
      <x:c r="H57" s="24">
        <x:v>198</x:v>
      </x:c>
      <x:c r="I57" s="26">
        <x:v>513150</x:v>
      </x:c>
      <x:c r="J57" s="1">
        <x:v>2024</x:v>
      </x:c>
      <x:c r="K57" s="26">
        <x:v>4138.3064516129034</x:v>
      </x:c>
      <x:c r="L57" s="26">
        <x:v>2591.666666666667</x:v>
      </x:c>
      <x:c r="M57" t="str">
        <x:f>IF(A57="The View","Projeto",IF(J57&gt;=2026,"Ativo",IF(J57=2025,"Rever","Histórico")))</x:f>
        <x:v>Histórico</x:v>
      </x:c>
      <x:c r="N57" t="str"/>
      <x:c r="O57" t="str"/>
      <x:c r="P57" s="30" t="str"/>
      <x:c r="Q57" t="str">
        <x:f>IF(A57="The View","Projeto",IF(A57="Le Parc","Benchmark local",IF(OR(A57="Del Mar Waterfront",A57="Aura Living"),"Premium waterfront/marina","A classificar")))</x:f>
        <x:v>Benchmark local</x:v>
      </x:c>
      <x:c r="R57" t="str">
        <x:v>Nova construção</x:v>
      </x:c>
      <x:c r="S57" t="str"/>
      <x:c r="T57" t="str"/>
      <x:c r="U57" t="str"/>
      <x:c r="V57" t="str"/>
      <x:c r="W57" s="28" t="n">
        <x:f>IF(A57="The View",1,MAX(0.25,MIN(1,IF(J57&gt;=2026,1,IF(J57=2025,0.8,IF(J57=2024,0.45,0.3)))*IF(Q57="Premium waterfront/marina",1,IF(Q57="Benchmark local",0.7,0.6))*IF(M57="Vendido",0.65,IF(M57="Reservado",0.8,IF(M57="Histórico",0.55,1))))))</x:f>
        <x:v>0.25</x:v>
      </x:c>
      <x:c r="X57" t="str">
        <x:f>IF(A57="The View","Projeto",IF(W57&gt;=0.85,"A · Premium ativo",IF(W57&gt;=0.55,"B · Benchmark local","C · Histórico/secundário")))</x:f>
        <x:v>C · Histórico/secundário</x:v>
      </x:c>
      <x:c r="Y57" t="str">
        <x:f>IF(A57="The View","N/A",IF(AND(N57&lt;&gt;"",O57&lt;&gt;"",P57&lt;&gt;""),"Alta",IF(OR(N57&lt;&gt;"",O57&lt;&gt;"",P57&lt;&gt;""),"Média","Baixa")))</x:f>
        <x:v>Baixa</x:v>
      </x:c>
      <x:c r="Z57" t="str"/>
      <x:c r="AA57" t="str">
        <x:f>IF(A57="The View","Manter",IF(J57&lt;2026,"Atualizar preço/status",IF(Y57="Baixa","Adicionar fonte/URL/data",IF(W57&lt;0.55,"Rever comparabilidade","OK"))))</x:f>
        <x:v>Atualizar preço/status</x:v>
      </x:c>
      <x:c r="AB57" t="str">
        <x:f>IF(A57="The View","",IF(OR(J57&lt;2026,Y57="Baixa"),"Alta",IF(W57&lt;0.55,"Média","Baixa")))</x:f>
        <x:v>Alta</x:v>
      </x:c>
    </x:row>
    <x:row r="58">
      <x:c r="A58" s="1" t="s">
        <x:v>64</x:v>
      </x:c>
      <x:c r="B58" s="1" t="s">
        <x:v>66</x:v>
      </x:c>
      <x:c r="C58" s="1">
        <x:v>1</x:v>
      </x:c>
      <x:c r="D58" s="1" t="s">
        <x:v>15</x:v>
      </x:c>
      <x:c r="E58" s="1">
        <x:v>4</x:v>
      </x:c>
      <x:c r="F58" s="24">
        <x:v>88</x:v>
      </x:c>
      <x:c r="G58" s="24">
        <x:v>3</x:v>
      </x:c>
      <x:c r="H58" s="24">
        <x:v>91</x:v>
      </x:c>
      <x:c r="I58" s="26">
        <x:v>331650</x:v>
      </x:c>
      <x:c r="J58" s="1">
        <x:v>2024</x:v>
      </x:c>
      <x:c r="K58" s="26">
        <x:v>3768.75</x:v>
      </x:c>
      <x:c r="L58" s="26">
        <x:v>3644.505494505494</x:v>
      </x:c>
      <x:c r="M58" t="str">
        <x:f>IF(A58="The View","Projeto",IF(J58&gt;=2026,"Ativo",IF(J58=2025,"Rever","Histórico")))</x:f>
        <x:v>Histórico</x:v>
      </x:c>
      <x:c r="N58" t="str"/>
      <x:c r="O58" t="str"/>
      <x:c r="P58" s="30" t="str"/>
      <x:c r="Q58" t="str">
        <x:f>IF(A58="The View","Projeto",IF(A58="Le Parc","Benchmark local",IF(OR(A58="Del Mar Waterfront",A58="Aura Living"),"Premium waterfront/marina","A classificar")))</x:f>
        <x:v>Benchmark local</x:v>
      </x:c>
      <x:c r="R58" t="str">
        <x:v>Nova construção</x:v>
      </x:c>
      <x:c r="S58" t="str"/>
      <x:c r="T58" t="str"/>
      <x:c r="U58" t="str"/>
      <x:c r="V58" t="str"/>
      <x:c r="W58" s="28" t="n">
        <x:f>IF(A58="The View",1,MAX(0.25,MIN(1,IF(J58&gt;=2026,1,IF(J58=2025,0.8,IF(J58=2024,0.45,0.3)))*IF(Q58="Premium waterfront/marina",1,IF(Q58="Benchmark local",0.7,0.6))*IF(M58="Vendido",0.65,IF(M58="Reservado",0.8,IF(M58="Histórico",0.55,1))))))</x:f>
        <x:v>0.25</x:v>
      </x:c>
      <x:c r="X58" t="str">
        <x:f>IF(A58="The View","Projeto",IF(W58&gt;=0.85,"A · Premium ativo",IF(W58&gt;=0.55,"B · Benchmark local","C · Histórico/secundário")))</x:f>
        <x:v>C · Histórico/secundário</x:v>
      </x:c>
      <x:c r="Y58" t="str">
        <x:f>IF(A58="The View","N/A",IF(AND(N58&lt;&gt;"",O58&lt;&gt;"",P58&lt;&gt;""),"Alta",IF(OR(N58&lt;&gt;"",O58&lt;&gt;"",P58&lt;&gt;""),"Média","Baixa")))</x:f>
        <x:v>Baixa</x:v>
      </x:c>
      <x:c r="Z58" t="str"/>
      <x:c r="AA58" t="str">
        <x:f>IF(A58="The View","Manter",IF(J58&lt;2026,"Atualizar preço/status",IF(Y58="Baixa","Adicionar fonte/URL/data",IF(W58&lt;0.55,"Rever comparabilidade","OK"))))</x:f>
        <x:v>Atualizar preço/status</x:v>
      </x:c>
      <x:c r="AB58" t="str">
        <x:f>IF(A58="The View","",IF(OR(J58&lt;2026,Y58="Baixa"),"Alta",IF(W58&lt;0.55,"Média","Baixa")))</x:f>
        <x:v>Alta</x:v>
      </x:c>
    </x:row>
    <x:row r="59">
      <x:c r="A59" s="1" t="s">
        <x:v>64</x:v>
      </x:c>
      <x:c r="B59" s="1" t="s">
        <x:v>73</x:v>
      </x:c>
      <x:c r="C59" s="1">
        <x:v>1</x:v>
      </x:c>
      <x:c r="D59" s="1" t="s">
        <x:v>15</x:v>
      </x:c>
      <x:c r="E59" s="1">
        <x:v>4</x:v>
      </x:c>
      <x:c r="F59" s="24">
        <x:v>91</x:v>
      </x:c>
      <x:c r="G59" s="24">
        <x:v>3</x:v>
      </x:c>
      <x:c r="H59" s="24">
        <x:v>94</x:v>
      </x:c>
      <x:c r="I59" s="26">
        <x:v>341550</x:v>
      </x:c>
      <x:c r="J59" s="1">
        <x:v>2024</x:v>
      </x:c>
      <x:c r="K59" s="26">
        <x:v>3753.2967032967031</x:v>
      </x:c>
      <x:c r="L59" s="26">
        <x:v>3633.510638297872</x:v>
      </x:c>
      <x:c r="M59" t="str">
        <x:f>IF(A59="The View","Projeto",IF(J59&gt;=2026,"Ativo",IF(J59=2025,"Rever","Histórico")))</x:f>
        <x:v>Histórico</x:v>
      </x:c>
      <x:c r="N59" t="str"/>
      <x:c r="O59" t="str"/>
      <x:c r="P59" s="30" t="str"/>
      <x:c r="Q59" t="str">
        <x:f>IF(A59="The View","Projeto",IF(A59="Le Parc","Benchmark local",IF(OR(A59="Del Mar Waterfront",A59="Aura Living"),"Premium waterfront/marina","A classificar")))</x:f>
        <x:v>Benchmark local</x:v>
      </x:c>
      <x:c r="R59" t="str">
        <x:v>Nova construção</x:v>
      </x:c>
      <x:c r="S59" t="str"/>
      <x:c r="T59" t="str"/>
      <x:c r="U59" t="str"/>
      <x:c r="V59" t="str"/>
      <x:c r="W59" s="28" t="n">
        <x:f>IF(A59="The View",1,MAX(0.25,MIN(1,IF(J59&gt;=2026,1,IF(J59=2025,0.8,IF(J59=2024,0.45,0.3)))*IF(Q59="Premium waterfront/marina",1,IF(Q59="Benchmark local",0.7,0.6))*IF(M59="Vendido",0.65,IF(M59="Reservado",0.8,IF(M59="Histórico",0.55,1))))))</x:f>
        <x:v>0.25</x:v>
      </x:c>
      <x:c r="X59" t="str">
        <x:f>IF(A59="The View","Projeto",IF(W59&gt;=0.85,"A · Premium ativo",IF(W59&gt;=0.55,"B · Benchmark local","C · Histórico/secundário")))</x:f>
        <x:v>C · Histórico/secundário</x:v>
      </x:c>
      <x:c r="Y59" t="str">
        <x:f>IF(A59="The View","N/A",IF(AND(N59&lt;&gt;"",O59&lt;&gt;"",P59&lt;&gt;""),"Alta",IF(OR(N59&lt;&gt;"",O59&lt;&gt;"",P59&lt;&gt;""),"Média","Baixa")))</x:f>
        <x:v>Baixa</x:v>
      </x:c>
      <x:c r="Z59" t="str"/>
      <x:c r="AA59" t="str">
        <x:f>IF(A59="The View","Manter",IF(J59&lt;2026,"Atualizar preço/status",IF(Y59="Baixa","Adicionar fonte/URL/data",IF(W59&lt;0.55,"Rever comparabilidade","OK"))))</x:f>
        <x:v>Atualizar preço/status</x:v>
      </x:c>
      <x:c r="AB59" t="str">
        <x:f>IF(A59="The View","",IF(OR(J59&lt;2026,Y59="Baixa"),"Alta",IF(W59&lt;0.55,"Média","Baixa")))</x:f>
        <x:v>Alta</x:v>
      </x:c>
    </x:row>
    <x:row r="60">
      <x:c r="A60" s="1" t="s">
        <x:v>64</x:v>
      </x:c>
      <x:c r="B60" s="1" t="s">
        <x:v>74</x:v>
      </x:c>
      <x:c r="C60" s="1">
        <x:v>1</x:v>
      </x:c>
      <x:c r="D60" s="1" t="s">
        <x:v>47</x:v>
      </x:c>
      <x:c r="E60" s="1">
        <x:v>1</x:v>
      </x:c>
      <x:c r="F60" s="24">
        <x:v>124</x:v>
      </x:c>
      <x:c r="G60" s="24">
        <x:v>85</x:v>
      </x:c>
      <x:c r="H60" s="24">
        <x:v>209</x:v>
      </x:c>
      <x:c r="I60" s="26">
        <x:v>518100</x:v>
      </x:c>
      <x:c r="J60" s="1">
        <x:v>2024</x:v>
      </x:c>
      <x:c r="K60" s="26">
        <x:v>4178.2258064516127</x:v>
      </x:c>
      <x:c r="L60" s="26">
        <x:v>2478.947368421052</x:v>
      </x:c>
      <x:c r="M60" t="str">
        <x:f>IF(A60="The View","Projeto",IF(J60&gt;=2026,"Ativo",IF(J60=2025,"Rever","Histórico")))</x:f>
        <x:v>Histórico</x:v>
      </x:c>
      <x:c r="N60" t="str"/>
      <x:c r="O60" t="str"/>
      <x:c r="P60" s="30" t="str"/>
      <x:c r="Q60" t="str">
        <x:f>IF(A60="The View","Projeto",IF(A60="Le Parc","Benchmark local",IF(OR(A60="Del Mar Waterfront",A60="Aura Living"),"Premium waterfront/marina","A classificar")))</x:f>
        <x:v>Benchmark local</x:v>
      </x:c>
      <x:c r="R60" t="str">
        <x:v>Nova construção</x:v>
      </x:c>
      <x:c r="S60" t="str"/>
      <x:c r="T60" t="str"/>
      <x:c r="U60" t="str"/>
      <x:c r="V60" t="str"/>
      <x:c r="W60" s="28" t="n">
        <x:f>IF(A60="The View",1,MAX(0.25,MIN(1,IF(J60&gt;=2026,1,IF(J60=2025,0.8,IF(J60=2024,0.45,0.3)))*IF(Q60="Premium waterfront/marina",1,IF(Q60="Benchmark local",0.7,0.6))*IF(M60="Vendido",0.65,IF(M60="Reservado",0.8,IF(M60="Histórico",0.55,1))))))</x:f>
        <x:v>0.25</x:v>
      </x:c>
      <x:c r="X60" t="str">
        <x:f>IF(A60="The View","Projeto",IF(W60&gt;=0.85,"A · Premium ativo",IF(W60&gt;=0.55,"B · Benchmark local","C · Histórico/secundário")))</x:f>
        <x:v>C · Histórico/secundário</x:v>
      </x:c>
      <x:c r="Y60" t="str">
        <x:f>IF(A60="The View","N/A",IF(AND(N60&lt;&gt;"",O60&lt;&gt;"",P60&lt;&gt;""),"Alta",IF(OR(N60&lt;&gt;"",O60&lt;&gt;"",P60&lt;&gt;""),"Média","Baixa")))</x:f>
        <x:v>Baixa</x:v>
      </x:c>
      <x:c r="Z60" t="str"/>
      <x:c r="AA60" t="str">
        <x:f>IF(A60="The View","Manter",IF(J60&lt;2026,"Atualizar preço/status",IF(Y60="Baixa","Adicionar fonte/URL/data",IF(W60&lt;0.55,"Rever comparabilidade","OK"))))</x:f>
        <x:v>Atualizar preço/status</x:v>
      </x:c>
      <x:c r="AB60" t="str">
        <x:f>IF(A60="The View","",IF(OR(J60&lt;2026,Y60="Baixa"),"Alta",IF(W60&lt;0.55,"Média","Baixa")))</x:f>
        <x:v>Alta</x:v>
      </x:c>
    </x:row>
    <x:row r="61">
      <x:c r="A61" s="1" t="s">
        <x:v>64</x:v>
      </x:c>
      <x:c r="B61" s="1" t="s">
        <x:v>75</x:v>
      </x:c>
      <x:c r="C61" s="1">
        <x:v>1</x:v>
      </x:c>
      <x:c r="D61" s="1" t="s">
        <x:v>15</x:v>
      </x:c>
      <x:c r="E61" s="1">
        <x:v>2</x:v>
      </x:c>
      <x:c r="F61" s="24">
        <x:v>83</x:v>
      </x:c>
      <x:c r="G61" s="24">
        <x:v>108</x:v>
      </x:c>
      <x:c r="H61" s="24">
        <x:v>191</x:v>
      </x:c>
      <x:c r="I61" s="26">
        <x:v>404250</x:v>
      </x:c>
      <x:c r="J61" s="1">
        <x:v>2024</x:v>
      </x:c>
      <x:c r="K61" s="26">
        <x:v>4870.4819277108436</x:v>
      </x:c>
      <x:c r="L61" s="26">
        <x:v>2116.4921465968591</x:v>
      </x:c>
      <x:c r="M61" t="str">
        <x:f>IF(A61="The View","Projeto",IF(J61&gt;=2026,"Ativo",IF(J61=2025,"Rever","Histórico")))</x:f>
        <x:v>Histórico</x:v>
      </x:c>
      <x:c r="N61" t="str"/>
      <x:c r="O61" t="str"/>
      <x:c r="P61" s="30" t="str"/>
      <x:c r="Q61" t="str">
        <x:f>IF(A61="The View","Projeto",IF(A61="Le Parc","Benchmark local",IF(OR(A61="Del Mar Waterfront",A61="Aura Living"),"Premium waterfront/marina","A classificar")))</x:f>
        <x:v>Benchmark local</x:v>
      </x:c>
      <x:c r="R61" t="str">
        <x:v>Nova construção</x:v>
      </x:c>
      <x:c r="S61" t="str"/>
      <x:c r="T61" t="str"/>
      <x:c r="U61" t="str"/>
      <x:c r="V61" t="str"/>
      <x:c r="W61" s="28" t="n">
        <x:f>IF(A61="The View",1,MAX(0.25,MIN(1,IF(J61&gt;=2026,1,IF(J61=2025,0.8,IF(J61=2024,0.45,0.3)))*IF(Q61="Premium waterfront/marina",1,IF(Q61="Benchmark local",0.7,0.6))*IF(M61="Vendido",0.65,IF(M61="Reservado",0.8,IF(M61="Histórico",0.55,1))))))</x:f>
        <x:v>0.25</x:v>
      </x:c>
      <x:c r="X61" t="str">
        <x:f>IF(A61="The View","Projeto",IF(W61&gt;=0.85,"A · Premium ativo",IF(W61&gt;=0.55,"B · Benchmark local","C · Histórico/secundário")))</x:f>
        <x:v>C · Histórico/secundário</x:v>
      </x:c>
      <x:c r="Y61" t="str">
        <x:f>IF(A61="The View","N/A",IF(AND(N61&lt;&gt;"",O61&lt;&gt;"",P61&lt;&gt;""),"Alta",IF(OR(N61&lt;&gt;"",O61&lt;&gt;"",P61&lt;&gt;""),"Média","Baixa")))</x:f>
        <x:v>Baixa</x:v>
      </x:c>
      <x:c r="Z61" t="str"/>
      <x:c r="AA61" t="str">
        <x:f>IF(A61="The View","Manter",IF(J61&lt;2026,"Atualizar preço/status",IF(Y61="Baixa","Adicionar fonte/URL/data",IF(W61&lt;0.55,"Rever comparabilidade","OK"))))</x:f>
        <x:v>Atualizar preço/status</x:v>
      </x:c>
      <x:c r="AB61" t="str">
        <x:f>IF(A61="The View","",IF(OR(J61&lt;2026,Y61="Baixa"),"Alta",IF(W61&lt;0.55,"Média","Baixa")))</x:f>
        <x:v>Alta</x:v>
      </x:c>
    </x:row>
    <x:row r="62">
      <x:c r="A62" s="1" t="s">
        <x:v>64</x:v>
      </x:c>
      <x:c r="B62" s="1" t="s">
        <x:v>76</x:v>
      </x:c>
      <x:c r="C62" s="1">
        <x:v>1</x:v>
      </x:c>
      <x:c r="D62" s="1" t="s">
        <x:v>15</x:v>
      </x:c>
      <x:c r="E62" s="1">
        <x:v>2</x:v>
      </x:c>
      <x:c r="F62" s="24">
        <x:v>83</x:v>
      </x:c>
      <x:c r="G62" s="24">
        <x:v>102</x:v>
      </x:c>
      <x:c r="H62" s="24">
        <x:v>185</x:v>
      </x:c>
      <x:c r="I62" s="26">
        <x:v>402600</x:v>
      </x:c>
      <x:c r="J62" s="1">
        <x:v>2024</x:v>
      </x:c>
      <x:c r="K62" s="26">
        <x:v>4850.6024096385536</x:v>
      </x:c>
      <x:c r="L62" s="26">
        <x:v>2176.2162162162158</x:v>
      </x:c>
      <x:c r="M62" t="str">
        <x:f>IF(A62="The View","Projeto",IF(J62&gt;=2026,"Ativo",IF(J62=2025,"Rever","Histórico")))</x:f>
        <x:v>Histórico</x:v>
      </x:c>
      <x:c r="N62" t="str"/>
      <x:c r="O62" t="str"/>
      <x:c r="P62" s="30" t="str"/>
      <x:c r="Q62" t="str">
        <x:f>IF(A62="The View","Projeto",IF(A62="Le Parc","Benchmark local",IF(OR(A62="Del Mar Waterfront",A62="Aura Living"),"Premium waterfront/marina","A classificar")))</x:f>
        <x:v>Benchmark local</x:v>
      </x:c>
      <x:c r="R62" t="str">
        <x:v>Nova construção</x:v>
      </x:c>
      <x:c r="S62" t="str"/>
      <x:c r="T62" t="str"/>
      <x:c r="U62" t="str"/>
      <x:c r="V62" t="str"/>
      <x:c r="W62" s="28" t="n">
        <x:f>IF(A62="The View",1,MAX(0.25,MIN(1,IF(J62&gt;=2026,1,IF(J62=2025,0.8,IF(J62=2024,0.45,0.3)))*IF(Q62="Premium waterfront/marina",1,IF(Q62="Benchmark local",0.7,0.6))*IF(M62="Vendido",0.65,IF(M62="Reservado",0.8,IF(M62="Histórico",0.55,1))))))</x:f>
        <x:v>0.25</x:v>
      </x:c>
      <x:c r="X62" t="str">
        <x:f>IF(A62="The View","Projeto",IF(W62&gt;=0.85,"A · Premium ativo",IF(W62&gt;=0.55,"B · Benchmark local","C · Histórico/secundário")))</x:f>
        <x:v>C · Histórico/secundário</x:v>
      </x:c>
      <x:c r="Y62" t="str">
        <x:f>IF(A62="The View","N/A",IF(AND(N62&lt;&gt;"",O62&lt;&gt;"",P62&lt;&gt;""),"Alta",IF(OR(N62&lt;&gt;"",O62&lt;&gt;"",P62&lt;&gt;""),"Média","Baixa")))</x:f>
        <x:v>Baixa</x:v>
      </x:c>
      <x:c r="Z62" t="str"/>
      <x:c r="AA62" t="str">
        <x:f>IF(A62="The View","Manter",IF(J62&lt;2026,"Atualizar preço/status",IF(Y62="Baixa","Adicionar fonte/URL/data",IF(W62&lt;0.55,"Rever comparabilidade","OK"))))</x:f>
        <x:v>Atualizar preço/status</x:v>
      </x:c>
      <x:c r="AB62" t="str">
        <x:f>IF(A62="The View","",IF(OR(J62&lt;2026,Y62="Baixa"),"Alta",IF(W62&lt;0.55,"Média","Baixa")))</x:f>
        <x:v>Alta</x:v>
      </x:c>
    </x:row>
    <x:row r="63">
      <x:c r="A63" s="1" t="s">
        <x:v>64</x:v>
      </x:c>
      <x:c r="B63" s="1" t="s">
        <x:v>67</x:v>
      </x:c>
      <x:c r="C63" s="1">
        <x:v>2</x:v>
      </x:c>
      <x:c r="D63" s="1" t="s">
        <x:v>47</x:v>
      </x:c>
      <x:c r="E63" s="1">
        <x:v>3</x:v>
      </x:c>
      <x:c r="F63" s="24">
        <x:v>124</x:v>
      </x:c>
      <x:c r="G63" s="24">
        <x:v>29</x:v>
      </x:c>
      <x:c r="H63" s="24">
        <x:v>153</x:v>
      </x:c>
      <x:c r="I63" s="26">
        <x:v>502150</x:v>
      </x:c>
      <x:c r="J63" s="1">
        <x:v>2026</x:v>
      </x:c>
      <x:c r="K63" s="26">
        <x:v>4049.5967741935478</x:v>
      </x:c>
      <x:c r="L63" s="26">
        <x:v>3282.0261437908498</x:v>
      </x:c>
      <x:c r="M63" t="str">
        <x:f>IF(A63="The View","Projeto",IF(J63&gt;=2026,"Ativo",IF(J63=2025,"Rever","Histórico")))</x:f>
        <x:v>Ativo</x:v>
      </x:c>
      <x:c r="N63" t="str"/>
      <x:c r="O63" t="str"/>
      <x:c r="P63" s="30" t="str"/>
      <x:c r="Q63" t="str">
        <x:f>IF(A63="The View","Projeto",IF(A63="Le Parc","Benchmark local",IF(OR(A63="Del Mar Waterfront",A63="Aura Living"),"Premium waterfront/marina","A classificar")))</x:f>
        <x:v>Benchmark local</x:v>
      </x:c>
      <x:c r="R63" t="str">
        <x:v>Nova construção</x:v>
      </x:c>
      <x:c r="S63" t="str"/>
      <x:c r="T63" t="str"/>
      <x:c r="U63" t="str"/>
      <x:c r="V63" t="str"/>
      <x:c r="W63" s="28" t="n">
        <x:f>IF(A63="The View",1,MAX(0.25,MIN(1,IF(J63&gt;=2026,1,IF(J63=2025,0.8,IF(J63=2024,0.45,0.3)))*IF(Q63="Premium waterfront/marina",1,IF(Q63="Benchmark local",0.7,0.6))*IF(M63="Vendido",0.65,IF(M63="Reservado",0.8,IF(M63="Histórico",0.55,1))))))</x:f>
        <x:v>0.7</x:v>
      </x:c>
      <x:c r="X63" t="str">
        <x:f>IF(A63="The View","Projeto",IF(W63&gt;=0.85,"A · Premium ativo",IF(W63&gt;=0.55,"B · Benchmark local","C · Histórico/secundário")))</x:f>
        <x:v>B · Benchmark local</x:v>
      </x:c>
      <x:c r="Y63" t="str">
        <x:f>IF(A63="The View","N/A",IF(AND(N63&lt;&gt;"",O63&lt;&gt;"",P63&lt;&gt;""),"Alta",IF(OR(N63&lt;&gt;"",O63&lt;&gt;"",P63&lt;&gt;""),"Média","Baixa")))</x:f>
        <x:v>Baixa</x:v>
      </x:c>
      <x:c r="Z63" t="str"/>
      <x:c r="AA63" t="str">
        <x:f>IF(A63="The View","Manter",IF(J63&lt;2026,"Atualizar preço/status",IF(Y63="Baixa","Adicionar fonte/URL/data",IF(W63&lt;0.55,"Rever comparabilidade","OK"))))</x:f>
        <x:v>Adicionar fonte/URL/data</x:v>
      </x:c>
      <x:c r="AB63" t="str">
        <x:f>IF(A63="The View","",IF(OR(J63&lt;2026,Y63="Baixa"),"Alta",IF(W63&lt;0.55,"Média","Baixa")))</x:f>
        <x:v>Alta</x:v>
      </x:c>
    </x:row>
    <x:row r="64">
      <x:c r="A64" s="1" t="s">
        <x:v>64</x:v>
      </x:c>
      <x:c r="B64" s="1" t="s">
        <x:v>68</x:v>
      </x:c>
      <x:c r="C64" s="1">
        <x:v>2</x:v>
      </x:c>
      <x:c r="D64" s="1" t="s">
        <x:v>15</x:v>
      </x:c>
      <x:c r="E64" s="1">
        <x:v>4</x:v>
      </x:c>
      <x:c r="F64" s="24">
        <x:v>91</x:v>
      </x:c>
      <x:c r="G64" s="24">
        <x:v>24</x:v>
      </x:c>
      <x:c r="H64" s="24">
        <x:v>115</x:v>
      </x:c>
      <x:c r="I64" s="26">
        <x:v>369600</x:v>
      </x:c>
      <x:c r="J64" s="1">
        <x:v>2024</x:v>
      </x:c>
      <x:c r="K64" s="26">
        <x:v>4061.538461538461</x:v>
      </x:c>
      <x:c r="L64" s="26">
        <x:v>3213.913043478261</x:v>
      </x:c>
      <x:c r="M64" t="str">
        <x:f>IF(A64="The View","Projeto",IF(J64&gt;=2026,"Ativo",IF(J64=2025,"Rever","Histórico")))</x:f>
        <x:v>Histórico</x:v>
      </x:c>
      <x:c r="N64" t="str"/>
      <x:c r="O64" t="str"/>
      <x:c r="P64" s="30" t="str"/>
      <x:c r="Q64" t="str">
        <x:f>IF(A64="The View","Projeto",IF(A64="Le Parc","Benchmark local",IF(OR(A64="Del Mar Waterfront",A64="Aura Living"),"Premium waterfront/marina","A classificar")))</x:f>
        <x:v>Benchmark local</x:v>
      </x:c>
      <x:c r="R64" t="str">
        <x:v>Nova construção</x:v>
      </x:c>
      <x:c r="S64" t="str"/>
      <x:c r="T64" t="str"/>
      <x:c r="U64" t="str"/>
      <x:c r="V64" t="str"/>
      <x:c r="W64" s="28" t="n">
        <x:f>IF(A64="The View",1,MAX(0.25,MIN(1,IF(J64&gt;=2026,1,IF(J64=2025,0.8,IF(J64=2024,0.45,0.3)))*IF(Q64="Premium waterfront/marina",1,IF(Q64="Benchmark local",0.7,0.6))*IF(M64="Vendido",0.65,IF(M64="Reservado",0.8,IF(M64="Histórico",0.55,1))))))</x:f>
        <x:v>0.25</x:v>
      </x:c>
      <x:c r="X64" t="str">
        <x:f>IF(A64="The View","Projeto",IF(W64&gt;=0.85,"A · Premium ativo",IF(W64&gt;=0.55,"B · Benchmark local","C · Histórico/secundário")))</x:f>
        <x:v>C · Histórico/secundário</x:v>
      </x:c>
      <x:c r="Y64" t="str">
        <x:f>IF(A64="The View","N/A",IF(AND(N64&lt;&gt;"",O64&lt;&gt;"",P64&lt;&gt;""),"Alta",IF(OR(N64&lt;&gt;"",O64&lt;&gt;"",P64&lt;&gt;""),"Média","Baixa")))</x:f>
        <x:v>Baixa</x:v>
      </x:c>
      <x:c r="Z64" t="str"/>
      <x:c r="AA64" t="str">
        <x:f>IF(A64="The View","Manter",IF(J64&lt;2026,"Atualizar preço/status",IF(Y64="Baixa","Adicionar fonte/URL/data",IF(W64&lt;0.55,"Rever comparabilidade","OK"))))</x:f>
        <x:v>Atualizar preço/status</x:v>
      </x:c>
      <x:c r="AB64" t="str">
        <x:f>IF(A64="The View","",IF(OR(J64&lt;2026,Y64="Baixa"),"Alta",IF(W64&lt;0.55,"Média","Baixa")))</x:f>
        <x:v>Alta</x:v>
      </x:c>
    </x:row>
    <x:row r="65">
      <x:c r="A65" s="1" t="s">
        <x:v>64</x:v>
      </x:c>
      <x:c r="B65" s="1" t="s">
        <x:v>77</x:v>
      </x:c>
      <x:c r="C65" s="1">
        <x:v>2</x:v>
      </x:c>
      <x:c r="D65" s="1" t="s">
        <x:v>15</x:v>
      </x:c>
      <x:c r="E65" s="1">
        <x:v>4</x:v>
      </x:c>
      <x:c r="F65" s="24">
        <x:v>93</x:v>
      </x:c>
      <x:c r="G65" s="24">
        <x:v>24</x:v>
      </x:c>
      <x:c r="H65" s="24">
        <x:v>117</x:v>
      </x:c>
      <x:c r="I65" s="26">
        <x:v>376200</x:v>
      </x:c>
      <x:c r="J65" s="1">
        <x:v>2024</x:v>
      </x:c>
      <x:c r="K65" s="26">
        <x:v>4045.16129032258</x:v>
      </x:c>
      <x:c r="L65" s="26">
        <x:v>3215.3846153846148</x:v>
      </x:c>
      <x:c r="M65" t="str">
        <x:f>IF(A65="The View","Projeto",IF(J65&gt;=2026,"Ativo",IF(J65=2025,"Rever","Histórico")))</x:f>
        <x:v>Histórico</x:v>
      </x:c>
      <x:c r="N65" t="str"/>
      <x:c r="O65" t="str"/>
      <x:c r="P65" s="30" t="str"/>
      <x:c r="Q65" t="str">
        <x:f>IF(A65="The View","Projeto",IF(A65="Le Parc","Benchmark local",IF(OR(A65="Del Mar Waterfront",A65="Aura Living"),"Premium waterfront/marina","A classificar")))</x:f>
        <x:v>Benchmark local</x:v>
      </x:c>
      <x:c r="R65" t="str">
        <x:v>Nova construção</x:v>
      </x:c>
      <x:c r="S65" t="str"/>
      <x:c r="T65" t="str"/>
      <x:c r="U65" t="str"/>
      <x:c r="V65" t="str"/>
      <x:c r="W65" s="28" t="n">
        <x:f>IF(A65="The View",1,MAX(0.25,MIN(1,IF(J65&gt;=2026,1,IF(J65=2025,0.8,IF(J65=2024,0.45,0.3)))*IF(Q65="Premium waterfront/marina",1,IF(Q65="Benchmark local",0.7,0.6))*IF(M65="Vendido",0.65,IF(M65="Reservado",0.8,IF(M65="Histórico",0.55,1))))))</x:f>
        <x:v>0.25</x:v>
      </x:c>
      <x:c r="X65" t="str">
        <x:f>IF(A65="The View","Projeto",IF(W65&gt;=0.85,"A · Premium ativo",IF(W65&gt;=0.55,"B · Benchmark local","C · Histórico/secundário")))</x:f>
        <x:v>C · Histórico/secundário</x:v>
      </x:c>
      <x:c r="Y65" t="str">
        <x:f>IF(A65="The View","N/A",IF(AND(N65&lt;&gt;"",O65&lt;&gt;"",P65&lt;&gt;""),"Alta",IF(OR(N65&lt;&gt;"",O65&lt;&gt;"",P65&lt;&gt;""),"Média","Baixa")))</x:f>
        <x:v>Baixa</x:v>
      </x:c>
      <x:c r="Z65" t="str"/>
      <x:c r="AA65" t="str">
        <x:f>IF(A65="The View","Manter",IF(J65&lt;2026,"Atualizar preço/status",IF(Y65="Baixa","Adicionar fonte/URL/data",IF(W65&lt;0.55,"Rever comparabilidade","OK"))))</x:f>
        <x:v>Atualizar preço/status</x:v>
      </x:c>
      <x:c r="AB65" t="str">
        <x:f>IF(A65="The View","",IF(OR(J65&lt;2026,Y65="Baixa"),"Alta",IF(W65&lt;0.55,"Média","Baixa")))</x:f>
        <x:v>Alta</x:v>
      </x:c>
    </x:row>
    <x:row r="66">
      <x:c r="A66" s="1" t="s">
        <x:v>64</x:v>
      </x:c>
      <x:c r="B66" s="1" t="s">
        <x:v>78</x:v>
      </x:c>
      <x:c r="C66" s="1">
        <x:v>2</x:v>
      </x:c>
      <x:c r="D66" s="1" t="s">
        <x:v>47</x:v>
      </x:c>
      <x:c r="E66" s="1">
        <x:v>1</x:v>
      </x:c>
      <x:c r="F66" s="24">
        <x:v>124</x:v>
      </x:c>
      <x:c r="G66" s="24">
        <x:v>29</x:v>
      </x:c>
      <x:c r="H66" s="24">
        <x:v>153</x:v>
      </x:c>
      <x:c r="I66" s="26">
        <x:v>482350</x:v>
      </x:c>
      <x:c r="J66" s="1">
        <x:v>2026</x:v>
      </x:c>
      <x:c r="K66" s="26">
        <x:v>3889.9193548387102</x:v>
      </x:c>
      <x:c r="L66" s="26">
        <x:v>3152.6143790849669</x:v>
      </x:c>
      <x:c r="M66" t="str">
        <x:f>IF(A66="The View","Projeto",IF(J66&gt;=2026,"Ativo",IF(J66=2025,"Rever","Histórico")))</x:f>
        <x:v>Ativo</x:v>
      </x:c>
      <x:c r="N66" t="str"/>
      <x:c r="O66" t="str"/>
      <x:c r="P66" s="30" t="str"/>
      <x:c r="Q66" t="str">
        <x:f>IF(A66="The View","Projeto",IF(A66="Le Parc","Benchmark local",IF(OR(A66="Del Mar Waterfront",A66="Aura Living"),"Premium waterfront/marina","A classificar")))</x:f>
        <x:v>Benchmark local</x:v>
      </x:c>
      <x:c r="R66" t="str">
        <x:v>Nova construção</x:v>
      </x:c>
      <x:c r="S66" t="str"/>
      <x:c r="T66" t="str"/>
      <x:c r="U66" t="str"/>
      <x:c r="V66" t="str"/>
      <x:c r="W66" s="28" t="n">
        <x:f>IF(A66="The View",1,MAX(0.25,MIN(1,IF(J66&gt;=2026,1,IF(J66=2025,0.8,IF(J66=2024,0.45,0.3)))*IF(Q66="Premium waterfront/marina",1,IF(Q66="Benchmark local",0.7,0.6))*IF(M66="Vendido",0.65,IF(M66="Reservado",0.8,IF(M66="Histórico",0.55,1))))))</x:f>
        <x:v>0.7</x:v>
      </x:c>
      <x:c r="X66" t="str">
        <x:f>IF(A66="The View","Projeto",IF(W66&gt;=0.85,"A · Premium ativo",IF(W66&gt;=0.55,"B · Benchmark local","C · Histórico/secundário")))</x:f>
        <x:v>B · Benchmark local</x:v>
      </x:c>
      <x:c r="Y66" t="str">
        <x:f>IF(A66="The View","N/A",IF(AND(N66&lt;&gt;"",O66&lt;&gt;"",P66&lt;&gt;""),"Alta",IF(OR(N66&lt;&gt;"",O66&lt;&gt;"",P66&lt;&gt;""),"Média","Baixa")))</x:f>
        <x:v>Baixa</x:v>
      </x:c>
      <x:c r="Z66" t="str"/>
      <x:c r="AA66" t="str">
        <x:f>IF(A66="The View","Manter",IF(J66&lt;2026,"Atualizar preço/status",IF(Y66="Baixa","Adicionar fonte/URL/data",IF(W66&lt;0.55,"Rever comparabilidade","OK"))))</x:f>
        <x:v>Adicionar fonte/URL/data</x:v>
      </x:c>
      <x:c r="AB66" t="str">
        <x:f>IF(A66="The View","",IF(OR(J66&lt;2026,Y66="Baixa"),"Alta",IF(W66&lt;0.55,"Média","Baixa")))</x:f>
        <x:v>Alta</x:v>
      </x:c>
    </x:row>
    <x:row r="67">
      <x:c r="A67" s="1" t="s">
        <x:v>64</x:v>
      </x:c>
      <x:c r="B67" s="1" t="s">
        <x:v>79</x:v>
      </x:c>
      <x:c r="C67" s="1">
        <x:v>2</x:v>
      </x:c>
      <x:c r="D67" s="1" t="s">
        <x:v>15</x:v>
      </x:c>
      <x:c r="E67" s="1">
        <x:v>2</x:v>
      </x:c>
      <x:c r="F67" s="24">
        <x:v>83</x:v>
      </x:c>
      <x:c r="G67" s="24">
        <x:v>23</x:v>
      </x:c>
      <x:c r="H67" s="24">
        <x:v>106</x:v>
      </x:c>
      <x:c r="I67" s="26">
        <x:v>339900</x:v>
      </x:c>
      <x:c r="J67" s="1">
        <x:v>2024</x:v>
      </x:c>
      <x:c r="K67" s="26">
        <x:v>4095.1807228915659</x:v>
      </x:c>
      <x:c r="L67" s="26">
        <x:v>3206.6037735849059</x:v>
      </x:c>
      <x:c r="M67" t="str">
        <x:f>IF(A67="The View","Projeto",IF(J67&gt;=2026,"Ativo",IF(J67=2025,"Rever","Histórico")))</x:f>
        <x:v>Histórico</x:v>
      </x:c>
      <x:c r="N67" t="str"/>
      <x:c r="O67" t="str"/>
      <x:c r="P67" s="30" t="str"/>
      <x:c r="Q67" t="str">
        <x:f>IF(A67="The View","Projeto",IF(A67="Le Parc","Benchmark local",IF(OR(A67="Del Mar Waterfront",A67="Aura Living"),"Premium waterfront/marina","A classificar")))</x:f>
        <x:v>Benchmark local</x:v>
      </x:c>
      <x:c r="R67" t="str">
        <x:v>Nova construção</x:v>
      </x:c>
      <x:c r="S67" t="str"/>
      <x:c r="T67" t="str"/>
      <x:c r="U67" t="str"/>
      <x:c r="V67" t="str"/>
      <x:c r="W67" s="28" t="n">
        <x:f>IF(A67="The View",1,MAX(0.25,MIN(1,IF(J67&gt;=2026,1,IF(J67=2025,0.8,IF(J67=2024,0.45,0.3)))*IF(Q67="Premium waterfront/marina",1,IF(Q67="Benchmark local",0.7,0.6))*IF(M67="Vendido",0.65,IF(M67="Reservado",0.8,IF(M67="Histórico",0.55,1))))))</x:f>
        <x:v>0.25</x:v>
      </x:c>
      <x:c r="X67" t="str">
        <x:f>IF(A67="The View","Projeto",IF(W67&gt;=0.85,"A · Premium ativo",IF(W67&gt;=0.55,"B · Benchmark local","C · Histórico/secundário")))</x:f>
        <x:v>C · Histórico/secundário</x:v>
      </x:c>
      <x:c r="Y67" t="str">
        <x:f>IF(A67="The View","N/A",IF(AND(N67&lt;&gt;"",O67&lt;&gt;"",P67&lt;&gt;""),"Alta",IF(OR(N67&lt;&gt;"",O67&lt;&gt;"",P67&lt;&gt;""),"Média","Baixa")))</x:f>
        <x:v>Baixa</x:v>
      </x:c>
      <x:c r="Z67" t="str"/>
      <x:c r="AA67" t="str">
        <x:f>IF(A67="The View","Manter",IF(J67&lt;2026,"Atualizar preço/status",IF(Y67="Baixa","Adicionar fonte/URL/data",IF(W67&lt;0.55,"Rever comparabilidade","OK"))))</x:f>
        <x:v>Atualizar preço/status</x:v>
      </x:c>
      <x:c r="AB67" t="str">
        <x:f>IF(A67="The View","",IF(OR(J67&lt;2026,Y67="Baixa"),"Alta",IF(W67&lt;0.55,"Média","Baixa")))</x:f>
        <x:v>Alta</x:v>
      </x:c>
    </x:row>
    <x:row r="68">
      <x:c r="A68" s="1" t="s">
        <x:v>64</x:v>
      </x:c>
      <x:c r="B68" s="1" t="s">
        <x:v>80</x:v>
      </x:c>
      <x:c r="C68" s="1">
        <x:v>2</x:v>
      </x:c>
      <x:c r="D68" s="1" t="s">
        <x:v>15</x:v>
      </x:c>
      <x:c r="E68" s="1">
        <x:v>2</x:v>
      </x:c>
      <x:c r="F68" s="24">
        <x:v>83</x:v>
      </x:c>
      <x:c r="G68" s="24">
        <x:v>23</x:v>
      </x:c>
      <x:c r="H68" s="24">
        <x:v>106</x:v>
      </x:c>
      <x:c r="I68" s="26">
        <x:v>339900</x:v>
      </x:c>
      <x:c r="J68" s="1">
        <x:v>2024</x:v>
      </x:c>
      <x:c r="K68" s="26">
        <x:v>4095.1807228915659</x:v>
      </x:c>
      <x:c r="L68" s="26">
        <x:v>3206.6037735849059</x:v>
      </x:c>
      <x:c r="M68" t="str">
        <x:f>IF(A68="The View","Projeto",IF(J68&gt;=2026,"Ativo",IF(J68=2025,"Rever","Histórico")))</x:f>
        <x:v>Histórico</x:v>
      </x:c>
      <x:c r="N68" t="str"/>
      <x:c r="O68" t="str"/>
      <x:c r="P68" s="30" t="str"/>
      <x:c r="Q68" t="str">
        <x:f>IF(A68="The View","Projeto",IF(A68="Le Parc","Benchmark local",IF(OR(A68="Del Mar Waterfront",A68="Aura Living"),"Premium waterfront/marina","A classificar")))</x:f>
        <x:v>Benchmark local</x:v>
      </x:c>
      <x:c r="R68" t="str">
        <x:v>Nova construção</x:v>
      </x:c>
      <x:c r="S68" t="str"/>
      <x:c r="T68" t="str"/>
      <x:c r="U68" t="str"/>
      <x:c r="V68" t="str"/>
      <x:c r="W68" s="28" t="n">
        <x:f>IF(A68="The View",1,MAX(0.25,MIN(1,IF(J68&gt;=2026,1,IF(J68=2025,0.8,IF(J68=2024,0.45,0.3)))*IF(Q68="Premium waterfront/marina",1,IF(Q68="Benchmark local",0.7,0.6))*IF(M68="Vendido",0.65,IF(M68="Reservado",0.8,IF(M68="Histórico",0.55,1))))))</x:f>
        <x:v>0.25</x:v>
      </x:c>
      <x:c r="X68" t="str">
        <x:f>IF(A68="The View","Projeto",IF(W68&gt;=0.85,"A · Premium ativo",IF(W68&gt;=0.55,"B · Benchmark local","C · Histórico/secundário")))</x:f>
        <x:v>C · Histórico/secundário</x:v>
      </x:c>
      <x:c r="Y68" t="str">
        <x:f>IF(A68="The View","N/A",IF(AND(N68&lt;&gt;"",O68&lt;&gt;"",P68&lt;&gt;""),"Alta",IF(OR(N68&lt;&gt;"",O68&lt;&gt;"",P68&lt;&gt;""),"Média","Baixa")))</x:f>
        <x:v>Baixa</x:v>
      </x:c>
      <x:c r="Z68" t="str"/>
      <x:c r="AA68" t="str">
        <x:f>IF(A68="The View","Manter",IF(J68&lt;2026,"Atualizar preço/status",IF(Y68="Baixa","Adicionar fonte/URL/data",IF(W68&lt;0.55,"Rever comparabilidade","OK"))))</x:f>
        <x:v>Atualizar preço/status</x:v>
      </x:c>
      <x:c r="AB68" t="str">
        <x:f>IF(A68="The View","",IF(OR(J68&lt;2026,Y68="Baixa"),"Alta",IF(W68&lt;0.55,"Média","Baixa")))</x:f>
        <x:v>Alta</x:v>
      </x:c>
    </x:row>
    <x:row r="69">
      <x:c r="A69" s="1" t="s">
        <x:v>64</x:v>
      </x:c>
      <x:c r="B69" s="1" t="s">
        <x:v>69</x:v>
      </x:c>
      <x:c r="C69" s="1">
        <x:v>3</x:v>
      </x:c>
      <x:c r="D69" s="1" t="s">
        <x:v>47</x:v>
      </x:c>
      <x:c r="E69" s="1">
        <x:v>3</x:v>
      </x:c>
      <x:c r="F69" s="24">
        <x:v>124</x:v>
      </x:c>
      <x:c r="G69" s="24">
        <x:v>29</x:v>
      </x:c>
      <x:c r="H69" s="24">
        <x:v>153</x:v>
      </x:c>
      <x:c r="I69" s="26">
        <x:v>503800</x:v>
      </x:c>
      <x:c r="J69" s="1">
        <x:v>2026</x:v>
      </x:c>
      <x:c r="K69" s="26">
        <x:v>4062.9032258064522</x:v>
      </x:c>
      <x:c r="L69" s="26">
        <x:v>3292.8104575163402</x:v>
      </x:c>
      <x:c r="M69" t="str">
        <x:f>IF(A69="The View","Projeto",IF(J69&gt;=2026,"Ativo",IF(J69=2025,"Rever","Histórico")))</x:f>
        <x:v>Ativo</x:v>
      </x:c>
      <x:c r="N69" t="str"/>
      <x:c r="O69" t="str"/>
      <x:c r="P69" s="30" t="str"/>
      <x:c r="Q69" t="str">
        <x:f>IF(A69="The View","Projeto",IF(A69="Le Parc","Benchmark local",IF(OR(A69="Del Mar Waterfront",A69="Aura Living"),"Premium waterfront/marina","A classificar")))</x:f>
        <x:v>Benchmark local</x:v>
      </x:c>
      <x:c r="R69" t="str">
        <x:v>Nova construção</x:v>
      </x:c>
      <x:c r="S69" t="str"/>
      <x:c r="T69" t="str"/>
      <x:c r="U69" t="str"/>
      <x:c r="V69" t="str"/>
      <x:c r="W69" s="28" t="n">
        <x:f>IF(A69="The View",1,MAX(0.25,MIN(1,IF(J69&gt;=2026,1,IF(J69=2025,0.8,IF(J69=2024,0.45,0.3)))*IF(Q69="Premium waterfront/marina",1,IF(Q69="Benchmark local",0.7,0.6))*IF(M69="Vendido",0.65,IF(M69="Reservado",0.8,IF(M69="Histórico",0.55,1))))))</x:f>
        <x:v>0.7</x:v>
      </x:c>
      <x:c r="X69" t="str">
        <x:f>IF(A69="The View","Projeto",IF(W69&gt;=0.85,"A · Premium ativo",IF(W69&gt;=0.55,"B · Benchmark local","C · Histórico/secundário")))</x:f>
        <x:v>B · Benchmark local</x:v>
      </x:c>
      <x:c r="Y69" t="str">
        <x:f>IF(A69="The View","N/A",IF(AND(N69&lt;&gt;"",O69&lt;&gt;"",P69&lt;&gt;""),"Alta",IF(OR(N69&lt;&gt;"",O69&lt;&gt;"",P69&lt;&gt;""),"Média","Baixa")))</x:f>
        <x:v>Baixa</x:v>
      </x:c>
      <x:c r="Z69" t="str"/>
      <x:c r="AA69" t="str">
        <x:f>IF(A69="The View","Manter",IF(J69&lt;2026,"Atualizar preço/status",IF(Y69="Baixa","Adicionar fonte/URL/data",IF(W69&lt;0.55,"Rever comparabilidade","OK"))))</x:f>
        <x:v>Adicionar fonte/URL/data</x:v>
      </x:c>
      <x:c r="AB69" t="str">
        <x:f>IF(A69="The View","",IF(OR(J69&lt;2026,Y69="Baixa"),"Alta",IF(W69&lt;0.55,"Média","Baixa")))</x:f>
        <x:v>Alta</x:v>
      </x:c>
    </x:row>
    <x:row r="70">
      <x:c r="A70" s="1" t="s">
        <x:v>64</x:v>
      </x:c>
      <x:c r="B70" s="1" t="s">
        <x:v>70</x:v>
      </x:c>
      <x:c r="C70" s="1">
        <x:v>3</x:v>
      </x:c>
      <x:c r="D70" s="1" t="s">
        <x:v>15</x:v>
      </x:c>
      <x:c r="E70" s="1">
        <x:v>4</x:v>
      </x:c>
      <x:c r="F70" s="24">
        <x:v>91</x:v>
      </x:c>
      <x:c r="G70" s="24">
        <x:v>24</x:v>
      </x:c>
      <x:c r="H70" s="24">
        <x:v>115</x:v>
      </x:c>
      <x:c r="I70" s="26">
        <x:v>374000</x:v>
      </x:c>
      <x:c r="J70" s="1">
        <x:v>2024</x:v>
      </x:c>
      <x:c r="K70" s="26">
        <x:v>4109.8901098901097</x:v>
      </x:c>
      <x:c r="L70" s="26">
        <x:v>3252.173913043478</x:v>
      </x:c>
      <x:c r="M70" t="str">
        <x:f>IF(A70="The View","Projeto",IF(J70&gt;=2026,"Ativo",IF(J70=2025,"Rever","Histórico")))</x:f>
        <x:v>Histórico</x:v>
      </x:c>
      <x:c r="N70" t="str"/>
      <x:c r="O70" t="str"/>
      <x:c r="P70" s="30" t="str"/>
      <x:c r="Q70" t="str">
        <x:f>IF(A70="The View","Projeto",IF(A70="Le Parc","Benchmark local",IF(OR(A70="Del Mar Waterfront",A70="Aura Living"),"Premium waterfront/marina","A classificar")))</x:f>
        <x:v>Benchmark local</x:v>
      </x:c>
      <x:c r="R70" t="str">
        <x:v>Nova construção</x:v>
      </x:c>
      <x:c r="S70" t="str"/>
      <x:c r="T70" t="str"/>
      <x:c r="U70" t="str"/>
      <x:c r="V70" t="str"/>
      <x:c r="W70" s="28" t="n">
        <x:f>IF(A70="The View",1,MAX(0.25,MIN(1,IF(J70&gt;=2026,1,IF(J70=2025,0.8,IF(J70=2024,0.45,0.3)))*IF(Q70="Premium waterfront/marina",1,IF(Q70="Benchmark local",0.7,0.6))*IF(M70="Vendido",0.65,IF(M70="Reservado",0.8,IF(M70="Histórico",0.55,1))))))</x:f>
        <x:v>0.25</x:v>
      </x:c>
      <x:c r="X70" t="str">
        <x:f>IF(A70="The View","Projeto",IF(W70&gt;=0.85,"A · Premium ativo",IF(W70&gt;=0.55,"B · Benchmark local","C · Histórico/secundário")))</x:f>
        <x:v>C · Histórico/secundário</x:v>
      </x:c>
      <x:c r="Y70" t="str">
        <x:f>IF(A70="The View","N/A",IF(AND(N70&lt;&gt;"",O70&lt;&gt;"",P70&lt;&gt;""),"Alta",IF(OR(N70&lt;&gt;"",O70&lt;&gt;"",P70&lt;&gt;""),"Média","Baixa")))</x:f>
        <x:v>Baixa</x:v>
      </x:c>
      <x:c r="Z70" t="str"/>
      <x:c r="AA70" t="str">
        <x:f>IF(A70="The View","Manter",IF(J70&lt;2026,"Atualizar preço/status",IF(Y70="Baixa","Adicionar fonte/URL/data",IF(W70&lt;0.55,"Rever comparabilidade","OK"))))</x:f>
        <x:v>Atualizar preço/status</x:v>
      </x:c>
      <x:c r="AB70" t="str">
        <x:f>IF(A70="The View","",IF(OR(J70&lt;2026,Y70="Baixa"),"Alta",IF(W70&lt;0.55,"Média","Baixa")))</x:f>
        <x:v>Alta</x:v>
      </x:c>
    </x:row>
    <x:row r="71">
      <x:c r="A71" s="1" t="s">
        <x:v>64</x:v>
      </x:c>
      <x:c r="B71" s="1" t="s">
        <x:v>81</x:v>
      </x:c>
      <x:c r="C71" s="1">
        <x:v>3</x:v>
      </x:c>
      <x:c r="D71" s="1" t="s">
        <x:v>15</x:v>
      </x:c>
      <x:c r="E71" s="1">
        <x:v>4</x:v>
      </x:c>
      <x:c r="F71" s="24">
        <x:v>83</x:v>
      </x:c>
      <x:c r="G71" s="24">
        <x:v>24</x:v>
      </x:c>
      <x:c r="H71" s="24">
        <x:v>107</x:v>
      </x:c>
      <x:c r="I71" s="26">
        <x:v>490600</x:v>
      </x:c>
      <x:c r="J71" s="1">
        <x:v>2026</x:v>
      </x:c>
      <x:c r="K71" s="26">
        <x:v>5910.8433734939763</x:v>
      </x:c>
      <x:c r="L71" s="26">
        <x:v>4585.0467289719627</x:v>
      </x:c>
      <x:c r="M71" t="str">
        <x:f>IF(A71="The View","Projeto",IF(J71&gt;=2026,"Ativo",IF(J71=2025,"Rever","Histórico")))</x:f>
        <x:v>Ativo</x:v>
      </x:c>
      <x:c r="N71" t="str"/>
      <x:c r="O71" t="str"/>
      <x:c r="P71" s="30" t="str"/>
      <x:c r="Q71" t="str">
        <x:f>IF(A71="The View","Projeto",IF(A71="Le Parc","Benchmark local",IF(OR(A71="Del Mar Waterfront",A71="Aura Living"),"Premium waterfront/marina","A classificar")))</x:f>
        <x:v>Benchmark local</x:v>
      </x:c>
      <x:c r="R71" t="str">
        <x:v>Nova construção</x:v>
      </x:c>
      <x:c r="S71" t="str"/>
      <x:c r="T71" t="str"/>
      <x:c r="U71" t="str"/>
      <x:c r="V71" t="str"/>
      <x:c r="W71" s="28" t="n">
        <x:f>IF(A71="The View",1,MAX(0.25,MIN(1,IF(J71&gt;=2026,1,IF(J71=2025,0.8,IF(J71=2024,0.45,0.3)))*IF(Q71="Premium waterfront/marina",1,IF(Q71="Benchmark local",0.7,0.6))*IF(M71="Vendido",0.65,IF(M71="Reservado",0.8,IF(M71="Histórico",0.55,1))))))</x:f>
        <x:v>0.7</x:v>
      </x:c>
      <x:c r="X71" t="str">
        <x:f>IF(A71="The View","Projeto",IF(W71&gt;=0.85,"A · Premium ativo",IF(W71&gt;=0.55,"B · Benchmark local","C · Histórico/secundário")))</x:f>
        <x:v>B · Benchmark local</x:v>
      </x:c>
      <x:c r="Y71" t="str">
        <x:f>IF(A71="The View","N/A",IF(AND(N71&lt;&gt;"",O71&lt;&gt;"",P71&lt;&gt;""),"Alta",IF(OR(N71&lt;&gt;"",O71&lt;&gt;"",P71&lt;&gt;""),"Média","Baixa")))</x:f>
        <x:v>Baixa</x:v>
      </x:c>
      <x:c r="Z71" t="str"/>
      <x:c r="AA71" t="str">
        <x:f>IF(A71="The View","Manter",IF(J71&lt;2026,"Atualizar preço/status",IF(Y71="Baixa","Adicionar fonte/URL/data",IF(W71&lt;0.55,"Rever comparabilidade","OK"))))</x:f>
        <x:v>Adicionar fonte/URL/data</x:v>
      </x:c>
      <x:c r="AB71" t="str">
        <x:f>IF(A71="The View","",IF(OR(J71&lt;2026,Y71="Baixa"),"Alta",IF(W71&lt;0.55,"Média","Baixa")))</x:f>
        <x:v>Alta</x:v>
      </x:c>
    </x:row>
    <x:row r="72">
      <x:c r="A72" s="1" t="s">
        <x:v>64</x:v>
      </x:c>
      <x:c r="B72" s="1" t="s">
        <x:v>82</x:v>
      </x:c>
      <x:c r="C72" s="1">
        <x:v>3</x:v>
      </x:c>
      <x:c r="D72" s="1" t="s">
        <x:v>47</x:v>
      </x:c>
      <x:c r="E72" s="1">
        <x:v>1</x:v>
      </x:c>
      <x:c r="F72" s="24">
        <x:v>124</x:v>
      </x:c>
      <x:c r="G72" s="24">
        <x:v>29</x:v>
      </x:c>
      <x:c r="H72" s="24">
        <x:v>153</x:v>
      </x:c>
      <x:c r="I72" s="26">
        <x:v>486750</x:v>
      </x:c>
      <x:c r="J72" s="1">
        <x:v>2024</x:v>
      </x:c>
      <x:c r="K72" s="26">
        <x:v>3925.4032258064522</x:v>
      </x:c>
      <x:c r="L72" s="26">
        <x:v>3181.372549019608</x:v>
      </x:c>
      <x:c r="M72" t="str">
        <x:f>IF(A72="The View","Projeto",IF(J72&gt;=2026,"Ativo",IF(J72=2025,"Rever","Histórico")))</x:f>
        <x:v>Histórico</x:v>
      </x:c>
      <x:c r="N72" t="str"/>
      <x:c r="O72" t="str"/>
      <x:c r="P72" s="30" t="str"/>
      <x:c r="Q72" t="str">
        <x:f>IF(A72="The View","Projeto",IF(A72="Le Parc","Benchmark local",IF(OR(A72="Del Mar Waterfront",A72="Aura Living"),"Premium waterfront/marina","A classificar")))</x:f>
        <x:v>Benchmark local</x:v>
      </x:c>
      <x:c r="R72" t="str">
        <x:v>Nova construção</x:v>
      </x:c>
      <x:c r="S72" t="str"/>
      <x:c r="T72" t="str"/>
      <x:c r="U72" t="str"/>
      <x:c r="V72" t="str"/>
      <x:c r="W72" s="28" t="n">
        <x:f>IF(A72="The View",1,MAX(0.25,MIN(1,IF(J72&gt;=2026,1,IF(J72=2025,0.8,IF(J72=2024,0.45,0.3)))*IF(Q72="Premium waterfront/marina",1,IF(Q72="Benchmark local",0.7,0.6))*IF(M72="Vendido",0.65,IF(M72="Reservado",0.8,IF(M72="Histórico",0.55,1))))))</x:f>
        <x:v>0.25</x:v>
      </x:c>
      <x:c r="X72" t="str">
        <x:f>IF(A72="The View","Projeto",IF(W72&gt;=0.85,"A · Premium ativo",IF(W72&gt;=0.55,"B · Benchmark local","C · Histórico/secundário")))</x:f>
        <x:v>C · Histórico/secundário</x:v>
      </x:c>
      <x:c r="Y72" t="str">
        <x:f>IF(A72="The View","N/A",IF(AND(N72&lt;&gt;"",O72&lt;&gt;"",P72&lt;&gt;""),"Alta",IF(OR(N72&lt;&gt;"",O72&lt;&gt;"",P72&lt;&gt;""),"Média","Baixa")))</x:f>
        <x:v>Baixa</x:v>
      </x:c>
      <x:c r="Z72" t="str"/>
      <x:c r="AA72" t="str">
        <x:f>IF(A72="The View","Manter",IF(J72&lt;2026,"Atualizar preço/status",IF(Y72="Baixa","Adicionar fonte/URL/data",IF(W72&lt;0.55,"Rever comparabilidade","OK"))))</x:f>
        <x:v>Atualizar preço/status</x:v>
      </x:c>
      <x:c r="AB72" t="str">
        <x:f>IF(A72="The View","",IF(OR(J72&lt;2026,Y72="Baixa"),"Alta",IF(W72&lt;0.55,"Média","Baixa")))</x:f>
        <x:v>Alta</x:v>
      </x:c>
    </x:row>
    <x:row r="73">
      <x:c r="A73" s="1" t="s">
        <x:v>64</x:v>
      </x:c>
      <x:c r="B73" s="1" t="s">
        <x:v>83</x:v>
      </x:c>
      <x:c r="C73" s="1">
        <x:v>3</x:v>
      </x:c>
      <x:c r="D73" s="1" t="s">
        <x:v>15</x:v>
      </x:c>
      <x:c r="E73" s="1">
        <x:v>2</x:v>
      </x:c>
      <x:c r="F73" s="24">
        <x:v>83</x:v>
      </x:c>
      <x:c r="G73" s="24">
        <x:v>23</x:v>
      </x:c>
      <x:c r="H73" s="24">
        <x:v>106</x:v>
      </x:c>
      <x:c r="I73" s="26">
        <x:v>344300</x:v>
      </x:c>
      <x:c r="J73" s="1">
        <x:v>2024</x:v>
      </x:c>
      <x:c r="K73" s="26">
        <x:v>4148.1927710843374</x:v>
      </x:c>
      <x:c r="L73" s="26">
        <x:v>3248.1132075471701</x:v>
      </x:c>
      <x:c r="M73" t="str">
        <x:f>IF(A73="The View","Projeto",IF(J73&gt;=2026,"Ativo",IF(J73=2025,"Rever","Histórico")))</x:f>
        <x:v>Histórico</x:v>
      </x:c>
      <x:c r="N73" t="str"/>
      <x:c r="O73" t="str"/>
      <x:c r="P73" s="30" t="str"/>
      <x:c r="Q73" t="str">
        <x:f>IF(A73="The View","Projeto",IF(A73="Le Parc","Benchmark local",IF(OR(A73="Del Mar Waterfront",A73="Aura Living"),"Premium waterfront/marina","A classificar")))</x:f>
        <x:v>Benchmark local</x:v>
      </x:c>
      <x:c r="R73" t="str">
        <x:v>Nova construção</x:v>
      </x:c>
      <x:c r="S73" t="str"/>
      <x:c r="T73" t="str"/>
      <x:c r="U73" t="str"/>
      <x:c r="V73" t="str"/>
      <x:c r="W73" s="28" t="n">
        <x:f>IF(A73="The View",1,MAX(0.25,MIN(1,IF(J73&gt;=2026,1,IF(J73=2025,0.8,IF(J73=2024,0.45,0.3)))*IF(Q73="Premium waterfront/marina",1,IF(Q73="Benchmark local",0.7,0.6))*IF(M73="Vendido",0.65,IF(M73="Reservado",0.8,IF(M73="Histórico",0.55,1))))))</x:f>
        <x:v>0.25</x:v>
      </x:c>
      <x:c r="X73" t="str">
        <x:f>IF(A73="The View","Projeto",IF(W73&gt;=0.85,"A · Premium ativo",IF(W73&gt;=0.55,"B · Benchmark local","C · Histórico/secundário")))</x:f>
        <x:v>C · Histórico/secundário</x:v>
      </x:c>
      <x:c r="Y73" t="str">
        <x:f>IF(A73="The View","N/A",IF(AND(N73&lt;&gt;"",O73&lt;&gt;"",P73&lt;&gt;""),"Alta",IF(OR(N73&lt;&gt;"",O73&lt;&gt;"",P73&lt;&gt;""),"Média","Baixa")))</x:f>
        <x:v>Baixa</x:v>
      </x:c>
      <x:c r="Z73" t="str"/>
      <x:c r="AA73" t="str">
        <x:f>IF(A73="The View","Manter",IF(J73&lt;2026,"Atualizar preço/status",IF(Y73="Baixa","Adicionar fonte/URL/data",IF(W73&lt;0.55,"Rever comparabilidade","OK"))))</x:f>
        <x:v>Atualizar preço/status</x:v>
      </x:c>
      <x:c r="AB73" t="str">
        <x:f>IF(A73="The View","",IF(OR(J73&lt;2026,Y73="Baixa"),"Alta",IF(W73&lt;0.55,"Média","Baixa")))</x:f>
        <x:v>Alta</x:v>
      </x:c>
    </x:row>
    <x:row r="74">
      <x:c r="A74" s="1" t="s">
        <x:v>64</x:v>
      </x:c>
      <x:c r="B74" s="1" t="s">
        <x:v>84</x:v>
      </x:c>
      <x:c r="C74" s="1">
        <x:v>3</x:v>
      </x:c>
      <x:c r="D74" s="1" t="s">
        <x:v>15</x:v>
      </x:c>
      <x:c r="E74" s="1">
        <x:v>2</x:v>
      </x:c>
      <x:c r="F74" s="24">
        <x:v>83</x:v>
      </x:c>
      <x:c r="G74" s="24">
        <x:v>23</x:v>
      </x:c>
      <x:c r="H74" s="24">
        <x:v>106</x:v>
      </x:c>
      <x:c r="I74" s="26">
        <x:v>344300</x:v>
      </x:c>
      <x:c r="J74" s="1">
        <x:v>2024</x:v>
      </x:c>
      <x:c r="K74" s="26">
        <x:v>4148.1927710843374</x:v>
      </x:c>
      <x:c r="L74" s="26">
        <x:v>3248.1132075471701</x:v>
      </x:c>
      <x:c r="M74" t="str">
        <x:f>IF(A74="The View","Projeto",IF(J74&gt;=2026,"Ativo",IF(J74=2025,"Rever","Histórico")))</x:f>
        <x:v>Histórico</x:v>
      </x:c>
      <x:c r="N74" t="str"/>
      <x:c r="O74" t="str"/>
      <x:c r="P74" s="30" t="str"/>
      <x:c r="Q74" t="str">
        <x:f>IF(A74="The View","Projeto",IF(A74="Le Parc","Benchmark local",IF(OR(A74="Del Mar Waterfront",A74="Aura Living"),"Premium waterfront/marina","A classificar")))</x:f>
        <x:v>Benchmark local</x:v>
      </x:c>
      <x:c r="R74" t="str">
        <x:v>Nova construção</x:v>
      </x:c>
      <x:c r="S74" t="str"/>
      <x:c r="T74" t="str"/>
      <x:c r="U74" t="str"/>
      <x:c r="V74" t="str"/>
      <x:c r="W74" s="28" t="n">
        <x:f>IF(A74="The View",1,MAX(0.25,MIN(1,IF(J74&gt;=2026,1,IF(J74=2025,0.8,IF(J74=2024,0.45,0.3)))*IF(Q74="Premium waterfront/marina",1,IF(Q74="Benchmark local",0.7,0.6))*IF(M74="Vendido",0.65,IF(M74="Reservado",0.8,IF(M74="Histórico",0.55,1))))))</x:f>
        <x:v>0.25</x:v>
      </x:c>
      <x:c r="X74" t="str">
        <x:f>IF(A74="The View","Projeto",IF(W74&gt;=0.85,"A · Premium ativo",IF(W74&gt;=0.55,"B · Benchmark local","C · Histórico/secundário")))</x:f>
        <x:v>C · Histórico/secundário</x:v>
      </x:c>
      <x:c r="Y74" t="str">
        <x:f>IF(A74="The View","N/A",IF(AND(N74&lt;&gt;"",O74&lt;&gt;"",P74&lt;&gt;""),"Alta",IF(OR(N74&lt;&gt;"",O74&lt;&gt;"",P74&lt;&gt;""),"Média","Baixa")))</x:f>
        <x:v>Baixa</x:v>
      </x:c>
      <x:c r="Z74" t="str"/>
      <x:c r="AA74" t="str">
        <x:f>IF(A74="The View","Manter",IF(J74&lt;2026,"Atualizar preço/status",IF(Y74="Baixa","Adicionar fonte/URL/data",IF(W74&lt;0.55,"Rever comparabilidade","OK"))))</x:f>
        <x:v>Atualizar preço/status</x:v>
      </x:c>
      <x:c r="AB74" t="str">
        <x:f>IF(A74="The View","",IF(OR(J74&lt;2026,Y74="Baixa"),"Alta",IF(W74&lt;0.55,"Média","Baixa")))</x:f>
        <x:v>Alta</x:v>
      </x:c>
    </x:row>
    <x:row r="75">
      <x:c r="A75" s="1" t="s">
        <x:v>64</x:v>
      </x:c>
      <x:c r="B75" s="1" t="s">
        <x:v>71</x:v>
      </x:c>
      <x:c r="C75" s="1">
        <x:v>4</x:v>
      </x:c>
      <x:c r="D75" s="1" t="s">
        <x:v>47</x:v>
      </x:c>
      <x:c r="E75" s="1">
        <x:v>3</x:v>
      </x:c>
      <x:c r="F75" s="24">
        <x:v>134</x:v>
      </x:c>
      <x:c r="G75" s="24">
        <x:v>29</x:v>
      </x:c>
      <x:c r="H75" s="24">
        <x:v>163</x:v>
      </x:c>
      <x:c r="I75" s="26">
        <x:v>521400</x:v>
      </x:c>
      <x:c r="J75" s="1">
        <x:v>2026</x:v>
      </x:c>
      <x:c r="K75" s="26">
        <x:v>3891.0447761194032</x:v>
      </x:c>
      <x:c r="L75" s="26">
        <x:v>3198.7730061349689</x:v>
      </x:c>
      <x:c r="M75" t="str">
        <x:f>IF(A75="The View","Projeto",IF(J75&gt;=2026,"Ativo",IF(J75=2025,"Rever","Histórico")))</x:f>
        <x:v>Ativo</x:v>
      </x:c>
      <x:c r="N75" t="str"/>
      <x:c r="O75" t="str"/>
      <x:c r="P75" s="30" t="str"/>
      <x:c r="Q75" t="str">
        <x:f>IF(A75="The View","Projeto",IF(A75="Le Parc","Benchmark local",IF(OR(A75="Del Mar Waterfront",A75="Aura Living"),"Premium waterfront/marina","A classificar")))</x:f>
        <x:v>Benchmark local</x:v>
      </x:c>
      <x:c r="R75" t="str">
        <x:v>Nova construção</x:v>
      </x:c>
      <x:c r="S75" t="str"/>
      <x:c r="T75" t="str"/>
      <x:c r="U75" t="str"/>
      <x:c r="V75" t="str"/>
      <x:c r="W75" s="28" t="n">
        <x:f>IF(A75="The View",1,MAX(0.25,MIN(1,IF(J75&gt;=2026,1,IF(J75=2025,0.8,IF(J75=2024,0.45,0.3)))*IF(Q75="Premium waterfront/marina",1,IF(Q75="Benchmark local",0.7,0.6))*IF(M75="Vendido",0.65,IF(M75="Reservado",0.8,IF(M75="Histórico",0.55,1))))))</x:f>
        <x:v>0.7</x:v>
      </x:c>
      <x:c r="X75" t="str">
        <x:f>IF(A75="The View","Projeto",IF(W75&gt;=0.85,"A · Premium ativo",IF(W75&gt;=0.55,"B · Benchmark local","C · Histórico/secundário")))</x:f>
        <x:v>B · Benchmark local</x:v>
      </x:c>
      <x:c r="Y75" t="str">
        <x:f>IF(A75="The View","N/A",IF(AND(N75&lt;&gt;"",O75&lt;&gt;"",P75&lt;&gt;""),"Alta",IF(OR(N75&lt;&gt;"",O75&lt;&gt;"",P75&lt;&gt;""),"Média","Baixa")))</x:f>
        <x:v>Baixa</x:v>
      </x:c>
      <x:c r="Z75" t="str"/>
      <x:c r="AA75" t="str">
        <x:f>IF(A75="The View","Manter",IF(J75&lt;2026,"Atualizar preço/status",IF(Y75="Baixa","Adicionar fonte/URL/data",IF(W75&lt;0.55,"Rever comparabilidade","OK"))))</x:f>
        <x:v>Adicionar fonte/URL/data</x:v>
      </x:c>
      <x:c r="AB75" t="str">
        <x:f>IF(A75="The View","",IF(OR(J75&lt;2026,Y75="Baixa"),"Alta",IF(W75&lt;0.55,"Média","Baixa")))</x:f>
        <x:v>Alta</x:v>
      </x:c>
    </x:row>
    <x:row r="76">
      <x:c r="A76" s="1" t="s">
        <x:v>64</x:v>
      </x:c>
      <x:c r="B76" s="1" t="s">
        <x:v>72</x:v>
      </x:c>
      <x:c r="C76" s="1">
        <x:v>4</x:v>
      </x:c>
      <x:c r="D76" s="1" t="s">
        <x:v>15</x:v>
      </x:c>
      <x:c r="E76" s="1">
        <x:v>4</x:v>
      </x:c>
      <x:c r="F76" s="24">
        <x:v>108</x:v>
      </x:c>
      <x:c r="G76" s="24">
        <x:v>28</x:v>
      </x:c>
      <x:c r="H76" s="24">
        <x:v>136</x:v>
      </x:c>
      <x:c r="I76" s="26">
        <x:v>407000</x:v>
      </x:c>
      <x:c r="J76" s="1">
        <x:v>2024</x:v>
      </x:c>
      <x:c r="K76" s="26">
        <x:v>3768.5185185185192</x:v>
      </x:c>
      <x:c r="L76" s="26">
        <x:v>2992.6470588235288</x:v>
      </x:c>
      <x:c r="M76" t="str">
        <x:f>IF(A76="The View","Projeto",IF(J76&gt;=2026,"Ativo",IF(J76=2025,"Rever","Histórico")))</x:f>
        <x:v>Histórico</x:v>
      </x:c>
      <x:c r="N76" t="str"/>
      <x:c r="O76" t="str"/>
      <x:c r="P76" s="30" t="str"/>
      <x:c r="Q76" t="str">
        <x:f>IF(A76="The View","Projeto",IF(A76="Le Parc","Benchmark local",IF(OR(A76="Del Mar Waterfront",A76="Aura Living"),"Premium waterfront/marina","A classificar")))</x:f>
        <x:v>Benchmark local</x:v>
      </x:c>
      <x:c r="R76" t="str">
        <x:v>Nova construção</x:v>
      </x:c>
      <x:c r="S76" t="str"/>
      <x:c r="T76" t="str"/>
      <x:c r="U76" t="str"/>
      <x:c r="V76" t="str"/>
      <x:c r="W76" s="28" t="n">
        <x:f>IF(A76="The View",1,MAX(0.25,MIN(1,IF(J76&gt;=2026,1,IF(J76=2025,0.8,IF(J76=2024,0.45,0.3)))*IF(Q76="Premium waterfront/marina",1,IF(Q76="Benchmark local",0.7,0.6))*IF(M76="Vendido",0.65,IF(M76="Reservado",0.8,IF(M76="Histórico",0.55,1))))))</x:f>
        <x:v>0.25</x:v>
      </x:c>
      <x:c r="X76" t="str">
        <x:f>IF(A76="The View","Projeto",IF(W76&gt;=0.85,"A · Premium ativo",IF(W76&gt;=0.55,"B · Benchmark local","C · Histórico/secundário")))</x:f>
        <x:v>C · Histórico/secundário</x:v>
      </x:c>
      <x:c r="Y76" t="str">
        <x:f>IF(A76="The View","N/A",IF(AND(N76&lt;&gt;"",O76&lt;&gt;"",P76&lt;&gt;""),"Alta",IF(OR(N76&lt;&gt;"",O76&lt;&gt;"",P76&lt;&gt;""),"Média","Baixa")))</x:f>
        <x:v>Baixa</x:v>
      </x:c>
      <x:c r="Z76" t="str"/>
      <x:c r="AA76" t="str">
        <x:f>IF(A76="The View","Manter",IF(J76&lt;2026,"Atualizar preço/status",IF(Y76="Baixa","Adicionar fonte/URL/data",IF(W76&lt;0.55,"Rever comparabilidade","OK"))))</x:f>
        <x:v>Atualizar preço/status</x:v>
      </x:c>
      <x:c r="AB76" t="str">
        <x:f>IF(A76="The View","",IF(OR(J76&lt;2026,Y76="Baixa"),"Alta",IF(W76&lt;0.55,"Média","Baixa")))</x:f>
        <x:v>Alta</x:v>
      </x:c>
    </x:row>
    <x:row r="77">
      <x:c r="A77" s="1" t="s">
        <x:v>64</x:v>
      </x:c>
      <x:c r="B77" s="1" t="s">
        <x:v>85</x:v>
      </x:c>
      <x:c r="C77" s="1">
        <x:v>4</x:v>
      </x:c>
      <x:c r="D77" s="1" t="s">
        <x:v>15</x:v>
      </x:c>
      <x:c r="E77" s="1">
        <x:v>4</x:v>
      </x:c>
      <x:c r="F77" s="24">
        <x:v>108</x:v>
      </x:c>
      <x:c r="G77" s="24">
        <x:v>28</x:v>
      </x:c>
      <x:c r="H77" s="24">
        <x:v>136</x:v>
      </x:c>
      <x:c r="I77" s="26">
        <x:v>407000</x:v>
      </x:c>
      <x:c r="J77" s="1">
        <x:v>2024</x:v>
      </x:c>
      <x:c r="K77" s="26">
        <x:v>3768.5185185185192</x:v>
      </x:c>
      <x:c r="L77" s="26">
        <x:v>2992.6470588235288</x:v>
      </x:c>
      <x:c r="M77" t="str">
        <x:f>IF(A77="The View","Projeto",IF(J77&gt;=2026,"Ativo",IF(J77=2025,"Rever","Histórico")))</x:f>
        <x:v>Histórico</x:v>
      </x:c>
      <x:c r="N77" t="str"/>
      <x:c r="O77" t="str"/>
      <x:c r="P77" s="30" t="str"/>
      <x:c r="Q77" t="str">
        <x:f>IF(A77="The View","Projeto",IF(A77="Le Parc","Benchmark local",IF(OR(A77="Del Mar Waterfront",A77="Aura Living"),"Premium waterfront/marina","A classificar")))</x:f>
        <x:v>Benchmark local</x:v>
      </x:c>
      <x:c r="R77" t="str">
        <x:v>Nova construção</x:v>
      </x:c>
      <x:c r="S77" t="str"/>
      <x:c r="T77" t="str"/>
      <x:c r="U77" t="str"/>
      <x:c r="V77" t="str"/>
      <x:c r="W77" s="28" t="n">
        <x:f>IF(A77="The View",1,MAX(0.25,MIN(1,IF(J77&gt;=2026,1,IF(J77=2025,0.8,IF(J77=2024,0.45,0.3)))*IF(Q77="Premium waterfront/marina",1,IF(Q77="Benchmark local",0.7,0.6))*IF(M77="Vendido",0.65,IF(M77="Reservado",0.8,IF(M77="Histórico",0.55,1))))))</x:f>
        <x:v>0.25</x:v>
      </x:c>
      <x:c r="X77" t="str">
        <x:f>IF(A77="The View","Projeto",IF(W77&gt;=0.85,"A · Premium ativo",IF(W77&gt;=0.55,"B · Benchmark local","C · Histórico/secundário")))</x:f>
        <x:v>C · Histórico/secundário</x:v>
      </x:c>
      <x:c r="Y77" t="str">
        <x:f>IF(A77="The View","N/A",IF(AND(N77&lt;&gt;"",O77&lt;&gt;"",P77&lt;&gt;""),"Alta",IF(OR(N77&lt;&gt;"",O77&lt;&gt;"",P77&lt;&gt;""),"Média","Baixa")))</x:f>
        <x:v>Baixa</x:v>
      </x:c>
      <x:c r="Z77" t="str"/>
      <x:c r="AA77" t="str">
        <x:f>IF(A77="The View","Manter",IF(J77&lt;2026,"Atualizar preço/status",IF(Y77="Baixa","Adicionar fonte/URL/data",IF(W77&lt;0.55,"Rever comparabilidade","OK"))))</x:f>
        <x:v>Atualizar preço/status</x:v>
      </x:c>
      <x:c r="AB77" t="str">
        <x:f>IF(A77="The View","",IF(OR(J77&lt;2026,Y77="Baixa"),"Alta",IF(W77&lt;0.55,"Média","Baixa")))</x:f>
        <x:v>Alta</x:v>
      </x:c>
    </x:row>
    <x:row r="78">
      <x:c r="A78" s="1" t="s">
        <x:v>64</x:v>
      </x:c>
      <x:c r="B78" s="1" t="s">
        <x:v>86</x:v>
      </x:c>
      <x:c r="C78" s="1">
        <x:v>4</x:v>
      </x:c>
      <x:c r="D78" s="1" t="s">
        <x:v>87</x:v>
      </x:c>
      <x:c r="E78" s="1">
        <x:v>1</x:v>
      </x:c>
      <x:c r="F78" s="24">
        <x:v>156</x:v>
      </x:c>
      <x:c r="G78" s="24">
        <x:v>35</x:v>
      </x:c>
      <x:c r="H78" s="24">
        <x:v>191</x:v>
      </x:c>
      <x:c r="I78" s="26">
        <x:v>598950</x:v>
      </x:c>
      <x:c r="J78" s="1">
        <x:v>2024</x:v>
      </x:c>
      <x:c r="K78" s="26">
        <x:v>3839.4230769230771</x:v>
      </x:c>
      <x:c r="L78" s="26">
        <x:v>3135.8638743455499</x:v>
      </x:c>
      <x:c r="M78" t="str">
        <x:f>IF(A78="The View","Projeto",IF(J78&gt;=2026,"Ativo",IF(J78=2025,"Rever","Histórico")))</x:f>
        <x:v>Histórico</x:v>
      </x:c>
      <x:c r="N78" t="str"/>
      <x:c r="O78" t="str"/>
      <x:c r="P78" s="30" t="str"/>
      <x:c r="Q78" t="str">
        <x:f>IF(A78="The View","Projeto",IF(A78="Le Parc","Benchmark local",IF(OR(A78="Del Mar Waterfront",A78="Aura Living"),"Premium waterfront/marina","A classificar")))</x:f>
        <x:v>Benchmark local</x:v>
      </x:c>
      <x:c r="R78" t="str">
        <x:v>Nova construção</x:v>
      </x:c>
      <x:c r="S78" t="str"/>
      <x:c r="T78" t="str"/>
      <x:c r="U78" t="str"/>
      <x:c r="V78" t="str"/>
      <x:c r="W78" s="28" t="n">
        <x:f>IF(A78="The View",1,MAX(0.25,MIN(1,IF(J78&gt;=2026,1,IF(J78=2025,0.8,IF(J78=2024,0.45,0.3)))*IF(Q78="Premium waterfront/marina",1,IF(Q78="Benchmark local",0.7,0.6))*IF(M78="Vendido",0.65,IF(M78="Reservado",0.8,IF(M78="Histórico",0.55,1))))))</x:f>
        <x:v>0.25</x:v>
      </x:c>
      <x:c r="X78" t="str">
        <x:f>IF(A78="The View","Projeto",IF(W78&gt;=0.85,"A · Premium ativo",IF(W78&gt;=0.55,"B · Benchmark local","C · Histórico/secundário")))</x:f>
        <x:v>C · Histórico/secundário</x:v>
      </x:c>
      <x:c r="Y78" t="str">
        <x:f>IF(A78="The View","N/A",IF(AND(N78&lt;&gt;"",O78&lt;&gt;"",P78&lt;&gt;""),"Alta",IF(OR(N78&lt;&gt;"",O78&lt;&gt;"",P78&lt;&gt;""),"Média","Baixa")))</x:f>
        <x:v>Baixa</x:v>
      </x:c>
      <x:c r="Z78" t="str"/>
      <x:c r="AA78" t="str">
        <x:f>IF(A78="The View","Manter",IF(J78&lt;2026,"Atualizar preço/status",IF(Y78="Baixa","Adicionar fonte/URL/data",IF(W78&lt;0.55,"Rever comparabilidade","OK"))))</x:f>
        <x:v>Atualizar preço/status</x:v>
      </x:c>
      <x:c r="AB78" t="str">
        <x:f>IF(A78="The View","",IF(OR(J78&lt;2026,Y78="Baixa"),"Alta",IF(W78&lt;0.55,"Média","Baixa")))</x:f>
        <x:v>Alta</x:v>
      </x:c>
    </x:row>
    <x:row r="79">
      <x:c r="A79" s="1" t="s">
        <x:v>64</x:v>
      </x:c>
      <x:c r="B79" s="1" t="s">
        <x:v>88</x:v>
      </x:c>
      <x:c r="C79" s="1">
        <x:v>4</x:v>
      </x:c>
      <x:c r="D79" s="1" t="s">
        <x:v>15</x:v>
      </x:c>
      <x:c r="E79" s="1">
        <x:v>2</x:v>
      </x:c>
      <x:c r="F79" s="24">
        <x:v>101</x:v>
      </x:c>
      <x:c r="G79" s="24">
        <x:v>30</x:v>
      </x:c>
      <x:c r="H79" s="24">
        <x:v>131</x:v>
      </x:c>
      <x:c r="I79" s="26">
        <x:v>385550</x:v>
      </x:c>
      <x:c r="J79" s="1">
        <x:v>2024</x:v>
      </x:c>
      <x:c r="K79" s="26">
        <x:v>3817.326732673268</x:v>
      </x:c>
      <x:c r="L79" s="26">
        <x:v>2943.129770992367</x:v>
      </x:c>
      <x:c r="M79" t="str">
        <x:f>IF(A79="The View","Projeto",IF(J79&gt;=2026,"Ativo",IF(J79=2025,"Rever","Histórico")))</x:f>
        <x:v>Histórico</x:v>
      </x:c>
      <x:c r="N79" t="str"/>
      <x:c r="O79" t="str"/>
      <x:c r="P79" s="30" t="str"/>
      <x:c r="Q79" t="str">
        <x:f>IF(A79="The View","Projeto",IF(A79="Le Parc","Benchmark local",IF(OR(A79="Del Mar Waterfront",A79="Aura Living"),"Premium waterfront/marina","A classificar")))</x:f>
        <x:v>Benchmark local</x:v>
      </x:c>
      <x:c r="R79" t="str">
        <x:v>Nova construção</x:v>
      </x:c>
      <x:c r="S79" t="str"/>
      <x:c r="T79" t="str"/>
      <x:c r="U79" t="str"/>
      <x:c r="V79" t="str"/>
      <x:c r="W79" s="28" t="n">
        <x:f>IF(A79="The View",1,MAX(0.25,MIN(1,IF(J79&gt;=2026,1,IF(J79=2025,0.8,IF(J79=2024,0.45,0.3)))*IF(Q79="Premium waterfront/marina",1,IF(Q79="Benchmark local",0.7,0.6))*IF(M79="Vendido",0.65,IF(M79="Reservado",0.8,IF(M79="Histórico",0.55,1))))))</x:f>
        <x:v>0.25</x:v>
      </x:c>
      <x:c r="X79" t="str">
        <x:f>IF(A79="The View","Projeto",IF(W79&gt;=0.85,"A · Premium ativo",IF(W79&gt;=0.55,"B · Benchmark local","C · Histórico/secundário")))</x:f>
        <x:v>C · Histórico/secundário</x:v>
      </x:c>
      <x:c r="Y79" t="str">
        <x:f>IF(A79="The View","N/A",IF(AND(N79&lt;&gt;"",O79&lt;&gt;"",P79&lt;&gt;""),"Alta",IF(OR(N79&lt;&gt;"",O79&lt;&gt;"",P79&lt;&gt;""),"Média","Baixa")))</x:f>
        <x:v>Baixa</x:v>
      </x:c>
      <x:c r="Z79" t="str"/>
      <x:c r="AA79" t="str">
        <x:f>IF(A79="The View","Manter",IF(J79&lt;2026,"Atualizar preço/status",IF(Y79="Baixa","Adicionar fonte/URL/data",IF(W79&lt;0.55,"Rever comparabilidade","OK"))))</x:f>
        <x:v>Atualizar preço/status</x:v>
      </x:c>
      <x:c r="AB79" t="str">
        <x:f>IF(A79="The View","",IF(OR(J79&lt;2026,Y79="Baixa"),"Alta",IF(W79&lt;0.55,"Média","Baixa")))</x:f>
        <x:v>Alta</x:v>
      </x:c>
    </x:row>
    <x:row r="80">
      <x:c r="A80" s="1" t="s">
        <x:v>64</x:v>
      </x:c>
      <x:c r="B80" s="1" t="s">
        <x:v>89</x:v>
      </x:c>
      <x:c r="C80" s="1">
        <x:v>5</x:v>
      </x:c>
      <x:c r="D80" s="1" t="s">
        <x:v>47</x:v>
      </x:c>
      <x:c r="E80" s="1">
        <x:v>3</x:v>
      </x:c>
      <x:c r="F80" s="24">
        <x:v>134</x:v>
      </x:c>
      <x:c r="G80" s="24">
        <x:v>29</x:v>
      </x:c>
      <x:c r="H80" s="24">
        <x:v>163</x:v>
      </x:c>
      <x:c r="I80" s="26">
        <x:v>523050</x:v>
      </x:c>
      <x:c r="J80" s="1">
        <x:v>2024</x:v>
      </x:c>
      <x:c r="K80" s="26">
        <x:v>3903.3582089552242</x:v>
      </x:c>
      <x:c r="L80" s="26">
        <x:v>3208.8957055214719</x:v>
      </x:c>
      <x:c r="M80" t="str">
        <x:f>IF(A80="The View","Projeto",IF(J80&gt;=2026,"Ativo",IF(J80=2025,"Rever","Histórico")))</x:f>
        <x:v>Histórico</x:v>
      </x:c>
      <x:c r="N80" t="str"/>
      <x:c r="O80" t="str"/>
      <x:c r="P80" s="30" t="str"/>
      <x:c r="Q80" t="str">
        <x:f>IF(A80="The View","Projeto",IF(A80="Le Parc","Benchmark local",IF(OR(A80="Del Mar Waterfront",A80="Aura Living"),"Premium waterfront/marina","A classificar")))</x:f>
        <x:v>Benchmark local</x:v>
      </x:c>
      <x:c r="R80" t="str">
        <x:v>Nova construção</x:v>
      </x:c>
      <x:c r="S80" t="str"/>
      <x:c r="T80" t="str"/>
      <x:c r="U80" t="str"/>
      <x:c r="V80" t="str"/>
      <x:c r="W80" s="28" t="n">
        <x:f>IF(A80="The View",1,MAX(0.25,MIN(1,IF(J80&gt;=2026,1,IF(J80=2025,0.8,IF(J80=2024,0.45,0.3)))*IF(Q80="Premium waterfront/marina",1,IF(Q80="Benchmark local",0.7,0.6))*IF(M80="Vendido",0.65,IF(M80="Reservado",0.8,IF(M80="Histórico",0.55,1))))))</x:f>
        <x:v>0.25</x:v>
      </x:c>
      <x:c r="X80" t="str">
        <x:f>IF(A80="The View","Projeto",IF(W80&gt;=0.85,"A · Premium ativo",IF(W80&gt;=0.55,"B · Benchmark local","C · Histórico/secundário")))</x:f>
        <x:v>C · Histórico/secundário</x:v>
      </x:c>
      <x:c r="Y80" t="str">
        <x:f>IF(A80="The View","N/A",IF(AND(N80&lt;&gt;"",O80&lt;&gt;"",P80&lt;&gt;""),"Alta",IF(OR(N80&lt;&gt;"",O80&lt;&gt;"",P80&lt;&gt;""),"Média","Baixa")))</x:f>
        <x:v>Baixa</x:v>
      </x:c>
      <x:c r="Z80" t="str"/>
      <x:c r="AA80" t="str">
        <x:f>IF(A80="The View","Manter",IF(J80&lt;2026,"Atualizar preço/status",IF(Y80="Baixa","Adicionar fonte/URL/data",IF(W80&lt;0.55,"Rever comparabilidade","OK"))))</x:f>
        <x:v>Atualizar preço/status</x:v>
      </x:c>
      <x:c r="AB80" t="str">
        <x:f>IF(A80="The View","",IF(OR(J80&lt;2026,Y80="Baixa"),"Alta",IF(W80&lt;0.55,"Média","Baixa")))</x:f>
        <x:v>Alta</x:v>
      </x:c>
    </x:row>
    <x:row r="81">
      <x:c r="A81" s="1" t="s">
        <x:v>64</x:v>
      </x:c>
      <x:c r="B81" s="1" t="s">
        <x:v>90</x:v>
      </x:c>
      <x:c r="C81" s="1">
        <x:v>5</x:v>
      </x:c>
      <x:c r="D81" s="1" t="s">
        <x:v>15</x:v>
      </x:c>
      <x:c r="E81" s="1">
        <x:v>4</x:v>
      </x:c>
      <x:c r="F81" s="24">
        <x:v>108</x:v>
      </x:c>
      <x:c r="G81" s="24">
        <x:v>28</x:v>
      </x:c>
      <x:c r="H81" s="24">
        <x:v>136</x:v>
      </x:c>
      <x:c r="I81" s="26">
        <x:v>408650</x:v>
      </x:c>
      <x:c r="J81" s="1">
        <x:v>2024</x:v>
      </x:c>
      <x:c r="K81" s="26">
        <x:v>3783.7962962962961</x:v>
      </x:c>
      <x:c r="L81" s="26">
        <x:v>3004.7794117647059</x:v>
      </x:c>
      <x:c r="M81" t="str">
        <x:f>IF(A81="The View","Projeto",IF(J81&gt;=2026,"Ativo",IF(J81=2025,"Rever","Histórico")))</x:f>
        <x:v>Histórico</x:v>
      </x:c>
      <x:c r="N81" t="str"/>
      <x:c r="O81" t="str"/>
      <x:c r="P81" s="30" t="str"/>
      <x:c r="Q81" t="str">
        <x:f>IF(A81="The View","Projeto",IF(A81="Le Parc","Benchmark local",IF(OR(A81="Del Mar Waterfront",A81="Aura Living"),"Premium waterfront/marina","A classificar")))</x:f>
        <x:v>Benchmark local</x:v>
      </x:c>
      <x:c r="R81" t="str">
        <x:v>Nova construção</x:v>
      </x:c>
      <x:c r="S81" t="str"/>
      <x:c r="T81" t="str"/>
      <x:c r="U81" t="str"/>
      <x:c r="V81" t="str"/>
      <x:c r="W81" s="28" t="n">
        <x:f>IF(A81="The View",1,MAX(0.25,MIN(1,IF(J81&gt;=2026,1,IF(J81=2025,0.8,IF(J81=2024,0.45,0.3)))*IF(Q81="Premium waterfront/marina",1,IF(Q81="Benchmark local",0.7,0.6))*IF(M81="Vendido",0.65,IF(M81="Reservado",0.8,IF(M81="Histórico",0.55,1))))))</x:f>
        <x:v>0.25</x:v>
      </x:c>
      <x:c r="X81" t="str">
        <x:f>IF(A81="The View","Projeto",IF(W81&gt;=0.85,"A · Premium ativo",IF(W81&gt;=0.55,"B · Benchmark local","C · Histórico/secundário")))</x:f>
        <x:v>C · Histórico/secundário</x:v>
      </x:c>
      <x:c r="Y81" t="str">
        <x:f>IF(A81="The View","N/A",IF(AND(N81&lt;&gt;"",O81&lt;&gt;"",P81&lt;&gt;""),"Alta",IF(OR(N81&lt;&gt;"",O81&lt;&gt;"",P81&lt;&gt;""),"Média","Baixa")))</x:f>
        <x:v>Baixa</x:v>
      </x:c>
      <x:c r="Z81" t="str"/>
      <x:c r="AA81" t="str">
        <x:f>IF(A81="The View","Manter",IF(J81&lt;2026,"Atualizar preço/status",IF(Y81="Baixa","Adicionar fonte/URL/data",IF(W81&lt;0.55,"Rever comparabilidade","OK"))))</x:f>
        <x:v>Atualizar preço/status</x:v>
      </x:c>
      <x:c r="AB81" t="str">
        <x:f>IF(A81="The View","",IF(OR(J81&lt;2026,Y81="Baixa"),"Alta",IF(W81&lt;0.55,"Média","Baixa")))</x:f>
        <x:v>Alta</x:v>
      </x:c>
    </x:row>
    <x:row r="82">
      <x:c r="A82" s="1" t="s">
        <x:v>64</x:v>
      </x:c>
      <x:c r="B82" s="1" t="s">
        <x:v>91</x:v>
      </x:c>
      <x:c r="C82" s="1">
        <x:v>5</x:v>
      </x:c>
      <x:c r="D82" s="1" t="s">
        <x:v>15</x:v>
      </x:c>
      <x:c r="E82" s="1">
        <x:v>4</x:v>
      </x:c>
      <x:c r="F82" s="24">
        <x:v>108</x:v>
      </x:c>
      <x:c r="G82" s="24">
        <x:v>28</x:v>
      </x:c>
      <x:c r="H82" s="24">
        <x:v>136</x:v>
      </x:c>
      <x:c r="I82" s="26">
        <x:v>408650</x:v>
      </x:c>
      <x:c r="J82" s="1">
        <x:v>2024</x:v>
      </x:c>
      <x:c r="K82" s="26">
        <x:v>3783.7962962962961</x:v>
      </x:c>
      <x:c r="L82" s="26">
        <x:v>3004.7794117647059</x:v>
      </x:c>
      <x:c r="M82" t="str">
        <x:f>IF(A82="The View","Projeto",IF(J82&gt;=2026,"Ativo",IF(J82=2025,"Rever","Histórico")))</x:f>
        <x:v>Histórico</x:v>
      </x:c>
      <x:c r="N82" t="str"/>
      <x:c r="O82" t="str"/>
      <x:c r="P82" s="30" t="str"/>
      <x:c r="Q82" t="str">
        <x:f>IF(A82="The View","Projeto",IF(A82="Le Parc","Benchmark local",IF(OR(A82="Del Mar Waterfront",A82="Aura Living"),"Premium waterfront/marina","A classificar")))</x:f>
        <x:v>Benchmark local</x:v>
      </x:c>
      <x:c r="R82" t="str">
        <x:v>Nova construção</x:v>
      </x:c>
      <x:c r="S82" t="str"/>
      <x:c r="T82" t="str"/>
      <x:c r="U82" t="str"/>
      <x:c r="V82" t="str"/>
      <x:c r="W82" s="28" t="n">
        <x:f>IF(A82="The View",1,MAX(0.25,MIN(1,IF(J82&gt;=2026,1,IF(J82=2025,0.8,IF(J82=2024,0.45,0.3)))*IF(Q82="Premium waterfront/marina",1,IF(Q82="Benchmark local",0.7,0.6))*IF(M82="Vendido",0.65,IF(M82="Reservado",0.8,IF(M82="Histórico",0.55,1))))))</x:f>
        <x:v>0.25</x:v>
      </x:c>
      <x:c r="X82" t="str">
        <x:f>IF(A82="The View","Projeto",IF(W82&gt;=0.85,"A · Premium ativo",IF(W82&gt;=0.55,"B · Benchmark local","C · Histórico/secundário")))</x:f>
        <x:v>C · Histórico/secundário</x:v>
      </x:c>
      <x:c r="Y82" t="str">
        <x:f>IF(A82="The View","N/A",IF(AND(N82&lt;&gt;"",O82&lt;&gt;"",P82&lt;&gt;""),"Alta",IF(OR(N82&lt;&gt;"",O82&lt;&gt;"",P82&lt;&gt;""),"Média","Baixa")))</x:f>
        <x:v>Baixa</x:v>
      </x:c>
      <x:c r="Z82" t="str"/>
      <x:c r="AA82" t="str">
        <x:f>IF(A82="The View","Manter",IF(J82&lt;2026,"Atualizar preço/status",IF(Y82="Baixa","Adicionar fonte/URL/data",IF(W82&lt;0.55,"Rever comparabilidade","OK"))))</x:f>
        <x:v>Atualizar preço/status</x:v>
      </x:c>
      <x:c r="AB82" t="str">
        <x:f>IF(A82="The View","",IF(OR(J82&lt;2026,Y82="Baixa"),"Alta",IF(W82&lt;0.55,"Média","Baixa")))</x:f>
        <x:v>Alta</x:v>
      </x:c>
    </x:row>
    <x:row r="83">
      <x:c r="A83" s="1" t="s">
        <x:v>64</x:v>
      </x:c>
      <x:c r="B83" s="1" t="s">
        <x:v>92</x:v>
      </x:c>
      <x:c r="C83" s="1">
        <x:v>5</x:v>
      </x:c>
      <x:c r="D83" s="1" t="s">
        <x:v>87</x:v>
      </x:c>
      <x:c r="E83" s="1">
        <x:v>1</x:v>
      </x:c>
      <x:c r="F83" s="24">
        <x:v>156</x:v>
      </x:c>
      <x:c r="G83" s="24">
        <x:v>35</x:v>
      </x:c>
      <x:c r="H83" s="24">
        <x:v>191</x:v>
      </x:c>
      <x:c r="I83" s="26">
        <x:v>600600</x:v>
      </x:c>
      <x:c r="J83" s="1">
        <x:v>2024</x:v>
      </x:c>
      <x:c r="K83" s="26">
        <x:v>3850</x:v>
      </x:c>
      <x:c r="L83" s="26">
        <x:v>3144.5026178010471</x:v>
      </x:c>
      <x:c r="M83" t="str">
        <x:f>IF(A83="The View","Projeto",IF(J83&gt;=2026,"Ativo",IF(J83=2025,"Rever","Histórico")))</x:f>
        <x:v>Histórico</x:v>
      </x:c>
      <x:c r="N83" t="str"/>
      <x:c r="O83" t="str"/>
      <x:c r="P83" s="30" t="str"/>
      <x:c r="Q83" t="str">
        <x:f>IF(A83="The View","Projeto",IF(A83="Le Parc","Benchmark local",IF(OR(A83="Del Mar Waterfront",A83="Aura Living"),"Premium waterfront/marina","A classificar")))</x:f>
        <x:v>Benchmark local</x:v>
      </x:c>
      <x:c r="R83" t="str">
        <x:v>Nova construção</x:v>
      </x:c>
      <x:c r="S83" t="str"/>
      <x:c r="T83" t="str"/>
      <x:c r="U83" t="str"/>
      <x:c r="V83" t="str"/>
      <x:c r="W83" s="28" t="n">
        <x:f>IF(A83="The View",1,MAX(0.25,MIN(1,IF(J83&gt;=2026,1,IF(J83=2025,0.8,IF(J83=2024,0.45,0.3)))*IF(Q83="Premium waterfront/marina",1,IF(Q83="Benchmark local",0.7,0.6))*IF(M83="Vendido",0.65,IF(M83="Reservado",0.8,IF(M83="Histórico",0.55,1))))))</x:f>
        <x:v>0.25</x:v>
      </x:c>
      <x:c r="X83" t="str">
        <x:f>IF(A83="The View","Projeto",IF(W83&gt;=0.85,"A · Premium ativo",IF(W83&gt;=0.55,"B · Benchmark local","C · Histórico/secundário")))</x:f>
        <x:v>C · Histórico/secundário</x:v>
      </x:c>
      <x:c r="Y83" t="str">
        <x:f>IF(A83="The View","N/A",IF(AND(N83&lt;&gt;"",O83&lt;&gt;"",P83&lt;&gt;""),"Alta",IF(OR(N83&lt;&gt;"",O83&lt;&gt;"",P83&lt;&gt;""),"Média","Baixa")))</x:f>
        <x:v>Baixa</x:v>
      </x:c>
      <x:c r="Z83" t="str"/>
      <x:c r="AA83" t="str">
        <x:f>IF(A83="The View","Manter",IF(J83&lt;2026,"Atualizar preço/status",IF(Y83="Baixa","Adicionar fonte/URL/data",IF(W83&lt;0.55,"Rever comparabilidade","OK"))))</x:f>
        <x:v>Atualizar preço/status</x:v>
      </x:c>
      <x:c r="AB83" t="str">
        <x:f>IF(A83="The View","",IF(OR(J83&lt;2026,Y83="Baixa"),"Alta",IF(W83&lt;0.55,"Média","Baixa")))</x:f>
        <x:v>Alta</x:v>
      </x:c>
    </x:row>
    <x:row r="84">
      <x:c r="A84" s="1" t="s">
        <x:v>64</x:v>
      </x:c>
      <x:c r="B84" s="1" t="s">
        <x:v>93</x:v>
      </x:c>
      <x:c r="C84" s="1">
        <x:v>5</x:v>
      </x:c>
      <x:c r="D84" s="1" t="s">
        <x:v>15</x:v>
      </x:c>
      <x:c r="E84" s="1">
        <x:v>2</x:v>
      </x:c>
      <x:c r="F84" s="24">
        <x:v>101</x:v>
      </x:c>
      <x:c r="G84" s="24">
        <x:v>30</x:v>
      </x:c>
      <x:c r="H84" s="24">
        <x:v>131</x:v>
      </x:c>
      <x:c r="I84" s="26">
        <x:v>387200</x:v>
      </x:c>
      <x:c r="J84" s="1">
        <x:v>2024</x:v>
      </x:c>
      <x:c r="K84" s="26">
        <x:v>3833.6633663366342</x:v>
      </x:c>
      <x:c r="L84" s="26">
        <x:v>2955.7251908396952</x:v>
      </x:c>
      <x:c r="M84" t="str">
        <x:f>IF(A84="The View","Projeto",IF(J84&gt;=2026,"Ativo",IF(J84=2025,"Rever","Histórico")))</x:f>
        <x:v>Histórico</x:v>
      </x:c>
      <x:c r="N84" t="str"/>
      <x:c r="O84" t="str"/>
      <x:c r="P84" s="30" t="str"/>
      <x:c r="Q84" t="str">
        <x:f>IF(A84="The View","Projeto",IF(A84="Le Parc","Benchmark local",IF(OR(A84="Del Mar Waterfront",A84="Aura Living"),"Premium waterfront/marina","A classificar")))</x:f>
        <x:v>Benchmark local</x:v>
      </x:c>
      <x:c r="R84" t="str">
        <x:v>Nova construção</x:v>
      </x:c>
      <x:c r="S84" t="str"/>
      <x:c r="T84" t="str"/>
      <x:c r="U84" t="str"/>
      <x:c r="V84" t="str"/>
      <x:c r="W84" s="28" t="n">
        <x:f>IF(A84="The View",1,MAX(0.25,MIN(1,IF(J84&gt;=2026,1,IF(J84=2025,0.8,IF(J84=2024,0.45,0.3)))*IF(Q84="Premium waterfront/marina",1,IF(Q84="Benchmark local",0.7,0.6))*IF(M84="Vendido",0.65,IF(M84="Reservado",0.8,IF(M84="Histórico",0.55,1))))))</x:f>
        <x:v>0.25</x:v>
      </x:c>
      <x:c r="X84" t="str">
        <x:f>IF(A84="The View","Projeto",IF(W84&gt;=0.85,"A · Premium ativo",IF(W84&gt;=0.55,"B · Benchmark local","C · Histórico/secundário")))</x:f>
        <x:v>C · Histórico/secundário</x:v>
      </x:c>
      <x:c r="Y84" t="str">
        <x:f>IF(A84="The View","N/A",IF(AND(N84&lt;&gt;"",O84&lt;&gt;"",P84&lt;&gt;""),"Alta",IF(OR(N84&lt;&gt;"",O84&lt;&gt;"",P84&lt;&gt;""),"Média","Baixa")))</x:f>
        <x:v>Baixa</x:v>
      </x:c>
      <x:c r="Z84" t="str"/>
      <x:c r="AA84" t="str">
        <x:f>IF(A84="The View","Manter",IF(J84&lt;2026,"Atualizar preço/status",IF(Y84="Baixa","Adicionar fonte/URL/data",IF(W84&lt;0.55,"Rever comparabilidade","OK"))))</x:f>
        <x:v>Atualizar preço/status</x:v>
      </x:c>
      <x:c r="AB84" t="str">
        <x:f>IF(A84="The View","",IF(OR(J84&lt;2026,Y84="Baixa"),"Alta",IF(W84&lt;0.55,"Média","Baixa")))</x:f>
        <x:v>Alta</x:v>
      </x:c>
    </x:row>
    <x:row r="85">
      <x:c r="A85" s="1" t="s">
        <x:v>64</x:v>
      </x:c>
      <x:c r="B85" s="1" t="s">
        <x:v>94</x:v>
      </x:c>
      <x:c r="C85" s="1">
        <x:v>6</x:v>
      </x:c>
      <x:c r="D85" s="1" t="s">
        <x:v>47</x:v>
      </x:c>
      <x:c r="E85" s="1">
        <x:v>3</x:v>
      </x:c>
      <x:c r="F85" s="24">
        <x:v>134</x:v>
      </x:c>
      <x:c r="G85" s="24">
        <x:v>29</x:v>
      </x:c>
      <x:c r="H85" s="24">
        <x:v>163</x:v>
      </x:c>
      <x:c r="I85" s="26">
        <x:v>534050</x:v>
      </x:c>
      <x:c r="J85" s="1">
        <x:v>2024</x:v>
      </x:c>
      <x:c r="K85" s="26">
        <x:v>3985.4477611940301</x:v>
      </x:c>
      <x:c r="L85" s="26">
        <x:v>3276.38036809816</x:v>
      </x:c>
      <x:c r="M85" t="str">
        <x:f>IF(A85="The View","Projeto",IF(J85&gt;=2026,"Ativo",IF(J85=2025,"Rever","Histórico")))</x:f>
        <x:v>Histórico</x:v>
      </x:c>
      <x:c r="N85" t="str"/>
      <x:c r="O85" t="str"/>
      <x:c r="P85" s="30" t="str"/>
      <x:c r="Q85" t="str">
        <x:f>IF(A85="The View","Projeto",IF(A85="Le Parc","Benchmark local",IF(OR(A85="Del Mar Waterfront",A85="Aura Living"),"Premium waterfront/marina","A classificar")))</x:f>
        <x:v>Benchmark local</x:v>
      </x:c>
      <x:c r="R85" t="str">
        <x:v>Nova construção</x:v>
      </x:c>
      <x:c r="S85" t="str"/>
      <x:c r="T85" t="str"/>
      <x:c r="U85" t="str"/>
      <x:c r="V85" t="str"/>
      <x:c r="W85" s="28" t="n">
        <x:f>IF(A85="The View",1,MAX(0.25,MIN(1,IF(J85&gt;=2026,1,IF(J85=2025,0.8,IF(J85=2024,0.45,0.3)))*IF(Q85="Premium waterfront/marina",1,IF(Q85="Benchmark local",0.7,0.6))*IF(M85="Vendido",0.65,IF(M85="Reservado",0.8,IF(M85="Histórico",0.55,1))))))</x:f>
        <x:v>0.25</x:v>
      </x:c>
      <x:c r="X85" t="str">
        <x:f>IF(A85="The View","Projeto",IF(W85&gt;=0.85,"A · Premium ativo",IF(W85&gt;=0.55,"B · Benchmark local","C · Histórico/secundário")))</x:f>
        <x:v>C · Histórico/secundário</x:v>
      </x:c>
      <x:c r="Y85" t="str">
        <x:f>IF(A85="The View","N/A",IF(AND(N85&lt;&gt;"",O85&lt;&gt;"",P85&lt;&gt;""),"Alta",IF(OR(N85&lt;&gt;"",O85&lt;&gt;"",P85&lt;&gt;""),"Média","Baixa")))</x:f>
        <x:v>Baixa</x:v>
      </x:c>
      <x:c r="Z85" t="str"/>
      <x:c r="AA85" t="str">
        <x:f>IF(A85="The View","Manter",IF(J85&lt;2026,"Atualizar preço/status",IF(Y85="Baixa","Adicionar fonte/URL/data",IF(W85&lt;0.55,"Rever comparabilidade","OK"))))</x:f>
        <x:v>Atualizar preço/status</x:v>
      </x:c>
      <x:c r="AB85" t="str">
        <x:f>IF(A85="The View","",IF(OR(J85&lt;2026,Y85="Baixa"),"Alta",IF(W85&lt;0.55,"Média","Baixa")))</x:f>
        <x:v>Alta</x:v>
      </x:c>
    </x:row>
    <x:row r="86">
      <x:c r="A86" s="1" t="s">
        <x:v>64</x:v>
      </x:c>
      <x:c r="B86" s="1" t="s">
        <x:v>95</x:v>
      </x:c>
      <x:c r="C86" s="1">
        <x:v>6</x:v>
      </x:c>
      <x:c r="D86" s="1" t="s">
        <x:v>15</x:v>
      </x:c>
      <x:c r="E86" s="1">
        <x:v>4</x:v>
      </x:c>
      <x:c r="F86" s="24">
        <x:v>108</x:v>
      </x:c>
      <x:c r="G86" s="24">
        <x:v>28</x:v>
      </x:c>
      <x:c r="H86" s="24">
        <x:v>136</x:v>
      </x:c>
      <x:c r="I86" s="26">
        <x:v>436150</x:v>
      </x:c>
      <x:c r="J86" s="1">
        <x:v>2024</x:v>
      </x:c>
      <x:c r="K86" s="26">
        <x:v>4038.4259259259261</x:v>
      </x:c>
      <x:c r="L86" s="26">
        <x:v>3206.9852941176468</x:v>
      </x:c>
      <x:c r="M86" t="str">
        <x:f>IF(A86="The View","Projeto",IF(J86&gt;=2026,"Ativo",IF(J86=2025,"Rever","Histórico")))</x:f>
        <x:v>Histórico</x:v>
      </x:c>
      <x:c r="N86" t="str"/>
      <x:c r="O86" t="str"/>
      <x:c r="P86" s="30" t="str"/>
      <x:c r="Q86" t="str">
        <x:f>IF(A86="The View","Projeto",IF(A86="Le Parc","Benchmark local",IF(OR(A86="Del Mar Waterfront",A86="Aura Living"),"Premium waterfront/marina","A classificar")))</x:f>
        <x:v>Benchmark local</x:v>
      </x:c>
      <x:c r="R86" t="str">
        <x:v>Nova construção</x:v>
      </x:c>
      <x:c r="S86" t="str"/>
      <x:c r="T86" t="str"/>
      <x:c r="U86" t="str"/>
      <x:c r="V86" t="str"/>
      <x:c r="W86" s="28" t="n">
        <x:f>IF(A86="The View",1,MAX(0.25,MIN(1,IF(J86&gt;=2026,1,IF(J86=2025,0.8,IF(J86=2024,0.45,0.3)))*IF(Q86="Premium waterfront/marina",1,IF(Q86="Benchmark local",0.7,0.6))*IF(M86="Vendido",0.65,IF(M86="Reservado",0.8,IF(M86="Histórico",0.55,1))))))</x:f>
        <x:v>0.25</x:v>
      </x:c>
      <x:c r="X86" t="str">
        <x:f>IF(A86="The View","Projeto",IF(W86&gt;=0.85,"A · Premium ativo",IF(W86&gt;=0.55,"B · Benchmark local","C · Histórico/secundário")))</x:f>
        <x:v>C · Histórico/secundário</x:v>
      </x:c>
      <x:c r="Y86" t="str">
        <x:f>IF(A86="The View","N/A",IF(AND(N86&lt;&gt;"",O86&lt;&gt;"",P86&lt;&gt;""),"Alta",IF(OR(N86&lt;&gt;"",O86&lt;&gt;"",P86&lt;&gt;""),"Média","Baixa")))</x:f>
        <x:v>Baixa</x:v>
      </x:c>
      <x:c r="Z86" t="str"/>
      <x:c r="AA86" t="str">
        <x:f>IF(A86="The View","Manter",IF(J86&lt;2026,"Atualizar preço/status",IF(Y86="Baixa","Adicionar fonte/URL/data",IF(W86&lt;0.55,"Rever comparabilidade","OK"))))</x:f>
        <x:v>Atualizar preço/status</x:v>
      </x:c>
      <x:c r="AB86" t="str">
        <x:f>IF(A86="The View","",IF(OR(J86&lt;2026,Y86="Baixa"),"Alta",IF(W86&lt;0.55,"Média","Baixa")))</x:f>
        <x:v>Alta</x:v>
      </x:c>
    </x:row>
    <x:row r="87">
      <x:c r="A87" s="1" t="s">
        <x:v>64</x:v>
      </x:c>
      <x:c r="B87" s="1" t="s">
        <x:v>96</x:v>
      </x:c>
      <x:c r="C87" s="1">
        <x:v>6</x:v>
      </x:c>
      <x:c r="D87" s="1" t="s">
        <x:v>15</x:v>
      </x:c>
      <x:c r="E87" s="1">
        <x:v>4</x:v>
      </x:c>
      <x:c r="F87" s="24">
        <x:v>108</x:v>
      </x:c>
      <x:c r="G87" s="24">
        <x:v>28</x:v>
      </x:c>
      <x:c r="H87" s="24">
        <x:v>136</x:v>
      </x:c>
      <x:c r="I87" s="26">
        <x:v>436150</x:v>
      </x:c>
      <x:c r="J87" s="1">
        <x:v>2024</x:v>
      </x:c>
      <x:c r="K87" s="26">
        <x:v>4038.4259259259261</x:v>
      </x:c>
      <x:c r="L87" s="26">
        <x:v>3206.9852941176468</x:v>
      </x:c>
      <x:c r="M87" t="str">
        <x:f>IF(A87="The View","Projeto",IF(J87&gt;=2026,"Ativo",IF(J87=2025,"Rever","Histórico")))</x:f>
        <x:v>Histórico</x:v>
      </x:c>
      <x:c r="N87" t="str"/>
      <x:c r="O87" t="str"/>
      <x:c r="P87" s="30" t="str"/>
      <x:c r="Q87" t="str">
        <x:f>IF(A87="The View","Projeto",IF(A87="Le Parc","Benchmark local",IF(OR(A87="Del Mar Waterfront",A87="Aura Living"),"Premium waterfront/marina","A classificar")))</x:f>
        <x:v>Benchmark local</x:v>
      </x:c>
      <x:c r="R87" t="str">
        <x:v>Nova construção</x:v>
      </x:c>
      <x:c r="S87" t="str"/>
      <x:c r="T87" t="str"/>
      <x:c r="U87" t="str"/>
      <x:c r="V87" t="str"/>
      <x:c r="W87" s="28" t="n">
        <x:f>IF(A87="The View",1,MAX(0.25,MIN(1,IF(J87&gt;=2026,1,IF(J87=2025,0.8,IF(J87=2024,0.45,0.3)))*IF(Q87="Premium waterfront/marina",1,IF(Q87="Benchmark local",0.7,0.6))*IF(M87="Vendido",0.65,IF(M87="Reservado",0.8,IF(M87="Histórico",0.55,1))))))</x:f>
        <x:v>0.25</x:v>
      </x:c>
      <x:c r="X87" t="str">
        <x:f>IF(A87="The View","Projeto",IF(W87&gt;=0.85,"A · Premium ativo",IF(W87&gt;=0.55,"B · Benchmark local","C · Histórico/secundário")))</x:f>
        <x:v>C · Histórico/secundário</x:v>
      </x:c>
      <x:c r="Y87" t="str">
        <x:f>IF(A87="The View","N/A",IF(AND(N87&lt;&gt;"",O87&lt;&gt;"",P87&lt;&gt;""),"Alta",IF(OR(N87&lt;&gt;"",O87&lt;&gt;"",P87&lt;&gt;""),"Média","Baixa")))</x:f>
        <x:v>Baixa</x:v>
      </x:c>
      <x:c r="Z87" t="str"/>
      <x:c r="AA87" t="str">
        <x:f>IF(A87="The View","Manter",IF(J87&lt;2026,"Atualizar preço/status",IF(Y87="Baixa","Adicionar fonte/URL/data",IF(W87&lt;0.55,"Rever comparabilidade","OK"))))</x:f>
        <x:v>Atualizar preço/status</x:v>
      </x:c>
      <x:c r="AB87" t="str">
        <x:f>IF(A87="The View","",IF(OR(J87&lt;2026,Y87="Baixa"),"Alta",IF(W87&lt;0.55,"Média","Baixa")))</x:f>
        <x:v>Alta</x:v>
      </x:c>
    </x:row>
    <x:row r="88">
      <x:c r="A88" s="1" t="s">
        <x:v>64</x:v>
      </x:c>
      <x:c r="B88" s="1" t="s">
        <x:v>97</x:v>
      </x:c>
      <x:c r="C88" s="1">
        <x:v>6</x:v>
      </x:c>
      <x:c r="D88" s="1" t="s">
        <x:v>87</x:v>
      </x:c>
      <x:c r="E88" s="1">
        <x:v>1</x:v>
      </x:c>
      <x:c r="F88" s="24">
        <x:v>156</x:v>
      </x:c>
      <x:c r="G88" s="24">
        <x:v>35</x:v>
      </x:c>
      <x:c r="H88" s="24">
        <x:v>191</x:v>
      </x:c>
      <x:c r="I88" s="26">
        <x:v>611600</x:v>
      </x:c>
      <x:c r="J88" s="1">
        <x:v>2024</x:v>
      </x:c>
      <x:c r="K88" s="26">
        <x:v>3920.5128205128199</x:v>
      </x:c>
      <x:c r="L88" s="26">
        <x:v>3202.0942408376959</x:v>
      </x:c>
      <x:c r="M88" t="str">
        <x:f>IF(A88="The View","Projeto",IF(J88&gt;=2026,"Ativo",IF(J88=2025,"Rever","Histórico")))</x:f>
        <x:v>Histórico</x:v>
      </x:c>
      <x:c r="N88" t="str"/>
      <x:c r="O88" t="str"/>
      <x:c r="P88" s="30" t="str"/>
      <x:c r="Q88" t="str">
        <x:f>IF(A88="The View","Projeto",IF(A88="Le Parc","Benchmark local",IF(OR(A88="Del Mar Waterfront",A88="Aura Living"),"Premium waterfront/marina","A classificar")))</x:f>
        <x:v>Benchmark local</x:v>
      </x:c>
      <x:c r="R88" t="str">
        <x:v>Nova construção</x:v>
      </x:c>
      <x:c r="S88" t="str"/>
      <x:c r="T88" t="str"/>
      <x:c r="U88" t="str"/>
      <x:c r="V88" t="str"/>
      <x:c r="W88" s="28" t="n">
        <x:f>IF(A88="The View",1,MAX(0.25,MIN(1,IF(J88&gt;=2026,1,IF(J88=2025,0.8,IF(J88=2024,0.45,0.3)))*IF(Q88="Premium waterfront/marina",1,IF(Q88="Benchmark local",0.7,0.6))*IF(M88="Vendido",0.65,IF(M88="Reservado",0.8,IF(M88="Histórico",0.55,1))))))</x:f>
        <x:v>0.25</x:v>
      </x:c>
      <x:c r="X88" t="str">
        <x:f>IF(A88="The View","Projeto",IF(W88&gt;=0.85,"A · Premium ativo",IF(W88&gt;=0.55,"B · Benchmark local","C · Histórico/secundário")))</x:f>
        <x:v>C · Histórico/secundário</x:v>
      </x:c>
      <x:c r="Y88" t="str">
        <x:f>IF(A88="The View","N/A",IF(AND(N88&lt;&gt;"",O88&lt;&gt;"",P88&lt;&gt;""),"Alta",IF(OR(N88&lt;&gt;"",O88&lt;&gt;"",P88&lt;&gt;""),"Média","Baixa")))</x:f>
        <x:v>Baixa</x:v>
      </x:c>
      <x:c r="Z88" t="str"/>
      <x:c r="AA88" t="str">
        <x:f>IF(A88="The View","Manter",IF(J88&lt;2026,"Atualizar preço/status",IF(Y88="Baixa","Adicionar fonte/URL/data",IF(W88&lt;0.55,"Rever comparabilidade","OK"))))</x:f>
        <x:v>Atualizar preço/status</x:v>
      </x:c>
      <x:c r="AB88" t="str">
        <x:f>IF(A88="The View","",IF(OR(J88&lt;2026,Y88="Baixa"),"Alta",IF(W88&lt;0.55,"Média","Baixa")))</x:f>
        <x:v>Alta</x:v>
      </x:c>
    </x:row>
    <x:row r="89">
      <x:c r="A89" s="1" t="s">
        <x:v>64</x:v>
      </x:c>
      <x:c r="B89" s="1" t="s">
        <x:v>98</x:v>
      </x:c>
      <x:c r="C89" s="1">
        <x:v>6</x:v>
      </x:c>
      <x:c r="D89" s="1" t="s">
        <x:v>15</x:v>
      </x:c>
      <x:c r="E89" s="1">
        <x:v>2</x:v>
      </x:c>
      <x:c r="F89" s="24">
        <x:v>101</x:v>
      </x:c>
      <x:c r="G89" s="24">
        <x:v>30</x:v>
      </x:c>
      <x:c r="H89" s="24">
        <x:v>131</x:v>
      </x:c>
      <x:c r="I89" s="26">
        <x:v>414700</x:v>
      </x:c>
      <x:c r="J89" s="1">
        <x:v>2024</x:v>
      </x:c>
      <x:c r="K89" s="26">
        <x:v>4105.9405940594061</x:v>
      </x:c>
      <x:c r="L89" s="26">
        <x:v>3165.6488549618321</x:v>
      </x:c>
      <x:c r="M89" t="str">
        <x:f>IF(A89="The View","Projeto",IF(J89&gt;=2026,"Ativo",IF(J89=2025,"Rever","Histórico")))</x:f>
        <x:v>Histórico</x:v>
      </x:c>
      <x:c r="N89" t="str"/>
      <x:c r="O89" t="str"/>
      <x:c r="P89" s="30" t="str"/>
      <x:c r="Q89" t="str">
        <x:f>IF(A89="The View","Projeto",IF(A89="Le Parc","Benchmark local",IF(OR(A89="Del Mar Waterfront",A89="Aura Living"),"Premium waterfront/marina","A classificar")))</x:f>
        <x:v>Benchmark local</x:v>
      </x:c>
      <x:c r="R89" t="str">
        <x:v>Nova construção</x:v>
      </x:c>
      <x:c r="S89" t="str"/>
      <x:c r="T89" t="str"/>
      <x:c r="U89" t="str"/>
      <x:c r="V89" t="str"/>
      <x:c r="W89" s="28" t="n">
        <x:f>IF(A89="The View",1,MAX(0.25,MIN(1,IF(J89&gt;=2026,1,IF(J89=2025,0.8,IF(J89=2024,0.45,0.3)))*IF(Q89="Premium waterfront/marina",1,IF(Q89="Benchmark local",0.7,0.6))*IF(M89="Vendido",0.65,IF(M89="Reservado",0.8,IF(M89="Histórico",0.55,1))))))</x:f>
        <x:v>0.25</x:v>
      </x:c>
      <x:c r="X89" t="str">
        <x:f>IF(A89="The View","Projeto",IF(W89&gt;=0.85,"A · Premium ativo",IF(W89&gt;=0.55,"B · Benchmark local","C · Histórico/secundário")))</x:f>
        <x:v>C · Histórico/secundário</x:v>
      </x:c>
      <x:c r="Y89" t="str">
        <x:f>IF(A89="The View","N/A",IF(AND(N89&lt;&gt;"",O89&lt;&gt;"",P89&lt;&gt;""),"Alta",IF(OR(N89&lt;&gt;"",O89&lt;&gt;"",P89&lt;&gt;""),"Média","Baixa")))</x:f>
        <x:v>Baixa</x:v>
      </x:c>
      <x:c r="Z89" t="str"/>
      <x:c r="AA89" t="str">
        <x:f>IF(A89="The View","Manter",IF(J89&lt;2026,"Atualizar preço/status",IF(Y89="Baixa","Adicionar fonte/URL/data",IF(W89&lt;0.55,"Rever comparabilidade","OK"))))</x:f>
        <x:v>Atualizar preço/status</x:v>
      </x:c>
      <x:c r="AB89" t="str">
        <x:f>IF(A89="The View","",IF(OR(J89&lt;2026,Y89="Baixa"),"Alta",IF(W89&lt;0.55,"Média","Baixa")))</x:f>
        <x:v>Alta</x:v>
      </x:c>
    </x:row>
    <x:row r="90">
      <x:c r="A90" s="1" t="s">
        <x:v>64</x:v>
      </x:c>
      <x:c r="B90" s="1" t="s">
        <x:v>65</x:v>
      </x:c>
      <x:c r="C90" s="1">
        <x:v>1</x:v>
      </x:c>
      <x:c r="D90" s="1" t="s">
        <x:v>47</x:v>
      </x:c>
      <x:c r="E90" s="1">
        <x:v>3</x:v>
      </x:c>
      <x:c r="F90" s="24">
        <x:v>130</x:v>
      </x:c>
      <x:c r="G90" s="24">
        <x:v>87</x:v>
      </x:c>
      <x:c r="H90" s="24">
        <x:v>217</x:v>
      </x:c>
      <x:c r="I90" s="26">
        <x:v>537900</x:v>
      </x:c>
      <x:c r="J90" s="1">
        <x:v>2024</x:v>
      </x:c>
      <x:c r="K90" s="26">
        <x:v>4137.6923076923076</x:v>
      </x:c>
      <x:c r="L90" s="26">
        <x:v>2478.8018433179718</x:v>
      </x:c>
      <x:c r="M90" t="str">
        <x:f>IF(A90="The View","Projeto",IF(J90&gt;=2026,"Ativo",IF(J90=2025,"Rever","Histórico")))</x:f>
        <x:v>Histórico</x:v>
      </x:c>
      <x:c r="N90" t="str"/>
      <x:c r="O90" t="str"/>
      <x:c r="P90" s="30" t="str"/>
      <x:c r="Q90" t="str">
        <x:f>IF(A90="The View","Projeto",IF(A90="Le Parc","Benchmark local",IF(OR(A90="Del Mar Waterfront",A90="Aura Living"),"Premium waterfront/marina","A classificar")))</x:f>
        <x:v>Benchmark local</x:v>
      </x:c>
      <x:c r="R90" t="str">
        <x:v>Nova construção</x:v>
      </x:c>
      <x:c r="S90" t="str"/>
      <x:c r="T90" t="str"/>
      <x:c r="U90" t="str"/>
      <x:c r="V90" t="str"/>
      <x:c r="W90" s="28" t="n">
        <x:f>IF(A90="The View",1,MAX(0.25,MIN(1,IF(J90&gt;=2026,1,IF(J90=2025,0.8,IF(J90=2024,0.45,0.3)))*IF(Q90="Premium waterfront/marina",1,IF(Q90="Benchmark local",0.7,0.6))*IF(M90="Vendido",0.65,IF(M90="Reservado",0.8,IF(M90="Histórico",0.55,1))))))</x:f>
        <x:v>0.25</x:v>
      </x:c>
      <x:c r="X90" t="str">
        <x:f>IF(A90="The View","Projeto",IF(W90&gt;=0.85,"A · Premium ativo",IF(W90&gt;=0.55,"B · Benchmark local","C · Histórico/secundário")))</x:f>
        <x:v>C · Histórico/secundário</x:v>
      </x:c>
      <x:c r="Y90" t="str">
        <x:f>IF(A90="The View","N/A",IF(AND(N90&lt;&gt;"",O90&lt;&gt;"",P90&lt;&gt;""),"Alta",IF(OR(N90&lt;&gt;"",O90&lt;&gt;"",P90&lt;&gt;""),"Média","Baixa")))</x:f>
        <x:v>Baixa</x:v>
      </x:c>
      <x:c r="Z90" t="str"/>
      <x:c r="AA90" t="str">
        <x:f>IF(A90="The View","Manter",IF(J90&lt;2026,"Atualizar preço/status",IF(Y90="Baixa","Adicionar fonte/URL/data",IF(W90&lt;0.55,"Rever comparabilidade","OK"))))</x:f>
        <x:v>Atualizar preço/status</x:v>
      </x:c>
      <x:c r="AB90" t="str">
        <x:f>IF(A90="The View","",IF(OR(J90&lt;2026,Y90="Baixa"),"Alta",IF(W90&lt;0.55,"Média","Baixa")))</x:f>
        <x:v>Alta</x:v>
      </x:c>
    </x:row>
    <x:row r="91">
      <x:c r="A91" s="1" t="s">
        <x:v>64</x:v>
      </x:c>
      <x:c r="B91" s="1" t="s">
        <x:v>66</x:v>
      </x:c>
      <x:c r="C91" s="1">
        <x:v>1</x:v>
      </x:c>
      <x:c r="D91" s="1" t="s">
        <x:v>25</x:v>
      </x:c>
      <x:c r="E91" s="1">
        <x:v>4</x:v>
      </x:c>
      <x:c r="F91" s="24">
        <x:v>58</x:v>
      </x:c>
      <x:c r="G91" s="24">
        <x:v>6</x:v>
      </x:c>
      <x:c r="H91" s="24">
        <x:v>64</x:v>
      </x:c>
      <x:c r="I91" s="26">
        <x:v>232650</x:v>
      </x:c>
      <x:c r="J91" s="1">
        <x:v>2024</x:v>
      </x:c>
      <x:c r="K91" s="26">
        <x:v>4011.2068965517242</x:v>
      </x:c>
      <x:c r="L91" s="26">
        <x:v>3635.15625</x:v>
      </x:c>
      <x:c r="M91" t="str">
        <x:f>IF(A91="The View","Projeto",IF(J91&gt;=2026,"Ativo",IF(J91=2025,"Rever","Histórico")))</x:f>
        <x:v>Histórico</x:v>
      </x:c>
      <x:c r="N91" t="str"/>
      <x:c r="O91" t="str"/>
      <x:c r="P91" s="30" t="str"/>
      <x:c r="Q91" t="str">
        <x:f>IF(A91="The View","Projeto",IF(A91="Le Parc","Benchmark local",IF(OR(A91="Del Mar Waterfront",A91="Aura Living"),"Premium waterfront/marina","A classificar")))</x:f>
        <x:v>Benchmark local</x:v>
      </x:c>
      <x:c r="R91" t="str">
        <x:v>Nova construção</x:v>
      </x:c>
      <x:c r="S91" t="str"/>
      <x:c r="T91" t="str"/>
      <x:c r="U91" t="str"/>
      <x:c r="V91" t="str"/>
      <x:c r="W91" s="28" t="n">
        <x:f>IF(A91="The View",1,MAX(0.25,MIN(1,IF(J91&gt;=2026,1,IF(J91=2025,0.8,IF(J91=2024,0.45,0.3)))*IF(Q91="Premium waterfront/marina",1,IF(Q91="Benchmark local",0.7,0.6))*IF(M91="Vendido",0.65,IF(M91="Reservado",0.8,IF(M91="Histórico",0.55,1))))))</x:f>
        <x:v>0.25</x:v>
      </x:c>
      <x:c r="X91" t="str">
        <x:f>IF(A91="The View","Projeto",IF(W91&gt;=0.85,"A · Premium ativo",IF(W91&gt;=0.55,"B · Benchmark local","C · Histórico/secundário")))</x:f>
        <x:v>C · Histórico/secundário</x:v>
      </x:c>
      <x:c r="Y91" t="str">
        <x:f>IF(A91="The View","N/A",IF(AND(N91&lt;&gt;"",O91&lt;&gt;"",P91&lt;&gt;""),"Alta",IF(OR(N91&lt;&gt;"",O91&lt;&gt;"",P91&lt;&gt;""),"Média","Baixa")))</x:f>
        <x:v>Baixa</x:v>
      </x:c>
      <x:c r="Z91" t="str"/>
      <x:c r="AA91" t="str">
        <x:f>IF(A91="The View","Manter",IF(J91&lt;2026,"Atualizar preço/status",IF(Y91="Baixa","Adicionar fonte/URL/data",IF(W91&lt;0.55,"Rever comparabilidade","OK"))))</x:f>
        <x:v>Atualizar preço/status</x:v>
      </x:c>
      <x:c r="AB91" t="str">
        <x:f>IF(A91="The View","",IF(OR(J91&lt;2026,Y91="Baixa"),"Alta",IF(W91&lt;0.55,"Média","Baixa")))</x:f>
        <x:v>Alta</x:v>
      </x:c>
    </x:row>
    <x:row r="92">
      <x:c r="A92" s="1" t="s">
        <x:v>64</x:v>
      </x:c>
      <x:c r="B92" s="1" t="s">
        <x:v>73</x:v>
      </x:c>
      <x:c r="C92" s="1">
        <x:v>1</x:v>
      </x:c>
      <x:c r="D92" s="1" t="s">
        <x:v>47</x:v>
      </x:c>
      <x:c r="E92" s="1">
        <x:v>1</x:v>
      </x:c>
      <x:c r="F92" s="24">
        <x:v>126</x:v>
      </x:c>
      <x:c r="G92" s="24">
        <x:v>74</x:v>
      </x:c>
      <x:c r="H92" s="24">
        <x:v>200</x:v>
      </x:c>
      <x:c r="I92" s="26">
        <x:v>519750</x:v>
      </x:c>
      <x:c r="J92" s="1">
        <x:v>2024</x:v>
      </x:c>
      <x:c r="K92" s="26">
        <x:v>4125</x:v>
      </x:c>
      <x:c r="L92" s="26">
        <x:v>2598.75</x:v>
      </x:c>
      <x:c r="M92" t="str">
        <x:f>IF(A92="The View","Projeto",IF(J92&gt;=2026,"Ativo",IF(J92=2025,"Rever","Histórico")))</x:f>
        <x:v>Histórico</x:v>
      </x:c>
      <x:c r="N92" t="str"/>
      <x:c r="O92" t="str"/>
      <x:c r="P92" s="30" t="str"/>
      <x:c r="Q92" t="str">
        <x:f>IF(A92="The View","Projeto",IF(A92="Le Parc","Benchmark local",IF(OR(A92="Del Mar Waterfront",A92="Aura Living"),"Premium waterfront/marina","A classificar")))</x:f>
        <x:v>Benchmark local</x:v>
      </x:c>
      <x:c r="R92" t="str">
        <x:v>Nova construção</x:v>
      </x:c>
      <x:c r="S92" t="str"/>
      <x:c r="T92" t="str"/>
      <x:c r="U92" t="str"/>
      <x:c r="V92" t="str"/>
      <x:c r="W92" s="28" t="n">
        <x:f>IF(A92="The View",1,MAX(0.25,MIN(1,IF(J92&gt;=2026,1,IF(J92=2025,0.8,IF(J92=2024,0.45,0.3)))*IF(Q92="Premium waterfront/marina",1,IF(Q92="Benchmark local",0.7,0.6))*IF(M92="Vendido",0.65,IF(M92="Reservado",0.8,IF(M92="Histórico",0.55,1))))))</x:f>
        <x:v>0.25</x:v>
      </x:c>
      <x:c r="X92" t="str">
        <x:f>IF(A92="The View","Projeto",IF(W92&gt;=0.85,"A · Premium ativo",IF(W92&gt;=0.55,"B · Benchmark local","C · Histórico/secundário")))</x:f>
        <x:v>C · Histórico/secundário</x:v>
      </x:c>
      <x:c r="Y92" t="str">
        <x:f>IF(A92="The View","N/A",IF(AND(N92&lt;&gt;"",O92&lt;&gt;"",P92&lt;&gt;""),"Alta",IF(OR(N92&lt;&gt;"",O92&lt;&gt;"",P92&lt;&gt;""),"Média","Baixa")))</x:f>
        <x:v>Baixa</x:v>
      </x:c>
      <x:c r="Z92" t="str"/>
      <x:c r="AA92" t="str">
        <x:f>IF(A92="The View","Manter",IF(J92&lt;2026,"Atualizar preço/status",IF(Y92="Baixa","Adicionar fonte/URL/data",IF(W92&lt;0.55,"Rever comparabilidade","OK"))))</x:f>
        <x:v>Atualizar preço/status</x:v>
      </x:c>
      <x:c r="AB92" t="str">
        <x:f>IF(A92="The View","",IF(OR(J92&lt;2026,Y92="Baixa"),"Alta",IF(W92&lt;0.55,"Média","Baixa")))</x:f>
        <x:v>Alta</x:v>
      </x:c>
    </x:row>
    <x:row r="93">
      <x:c r="A93" s="1" t="s">
        <x:v>64</x:v>
      </x:c>
      <x:c r="B93" s="1" t="s">
        <x:v>67</x:v>
      </x:c>
      <x:c r="C93" s="1">
        <x:v>2</x:v>
      </x:c>
      <x:c r="D93" s="1" t="s">
        <x:v>47</x:v>
      </x:c>
      <x:c r="E93" s="1">
        <x:v>3</x:v>
      </x:c>
      <x:c r="F93" s="24">
        <x:v>130</x:v>
      </x:c>
      <x:c r="G93" s="24">
        <x:v>28</x:v>
      </x:c>
      <x:c r="H93" s="24">
        <x:v>158</x:v>
      </x:c>
      <x:c r="I93" s="26">
        <x:v>502150</x:v>
      </x:c>
      <x:c r="J93" s="1">
        <x:v>2024</x:v>
      </x:c>
      <x:c r="K93" s="26">
        <x:v>3862.6923076923081</x:v>
      </x:c>
      <x:c r="L93" s="26">
        <x:v>3178.164556962025</x:v>
      </x:c>
      <x:c r="M93" t="str">
        <x:f>IF(A93="The View","Projeto",IF(J93&gt;=2026,"Ativo",IF(J93=2025,"Rever","Histórico")))</x:f>
        <x:v>Histórico</x:v>
      </x:c>
      <x:c r="N93" t="str"/>
      <x:c r="O93" t="str"/>
      <x:c r="P93" s="30" t="str"/>
      <x:c r="Q93" t="str">
        <x:f>IF(A93="The View","Projeto",IF(A93="Le Parc","Benchmark local",IF(OR(A93="Del Mar Waterfront",A93="Aura Living"),"Premium waterfront/marina","A classificar")))</x:f>
        <x:v>Benchmark local</x:v>
      </x:c>
      <x:c r="R93" t="str">
        <x:v>Nova construção</x:v>
      </x:c>
      <x:c r="S93" t="str"/>
      <x:c r="T93" t="str"/>
      <x:c r="U93" t="str"/>
      <x:c r="V93" t="str"/>
      <x:c r="W93" s="28" t="n">
        <x:f>IF(A93="The View",1,MAX(0.25,MIN(1,IF(J93&gt;=2026,1,IF(J93=2025,0.8,IF(J93=2024,0.45,0.3)))*IF(Q93="Premium waterfront/marina",1,IF(Q93="Benchmark local",0.7,0.6))*IF(M93="Vendido",0.65,IF(M93="Reservado",0.8,IF(M93="Histórico",0.55,1))))))</x:f>
        <x:v>0.25</x:v>
      </x:c>
      <x:c r="X93" t="str">
        <x:f>IF(A93="The View","Projeto",IF(W93&gt;=0.85,"A · Premium ativo",IF(W93&gt;=0.55,"B · Benchmark local","C · Histórico/secundário")))</x:f>
        <x:v>C · Histórico/secundário</x:v>
      </x:c>
      <x:c r="Y93" t="str">
        <x:f>IF(A93="The View","N/A",IF(AND(N93&lt;&gt;"",O93&lt;&gt;"",P93&lt;&gt;""),"Alta",IF(OR(N93&lt;&gt;"",O93&lt;&gt;"",P93&lt;&gt;""),"Média","Baixa")))</x:f>
        <x:v>Baixa</x:v>
      </x:c>
      <x:c r="Z93" t="str"/>
      <x:c r="AA93" t="str">
        <x:f>IF(A93="The View","Manter",IF(J93&lt;2026,"Atualizar preço/status",IF(Y93="Baixa","Adicionar fonte/URL/data",IF(W93&lt;0.55,"Rever comparabilidade","OK"))))</x:f>
        <x:v>Atualizar preço/status</x:v>
      </x:c>
      <x:c r="AB93" t="str">
        <x:f>IF(A93="The View","",IF(OR(J93&lt;2026,Y93="Baixa"),"Alta",IF(W93&lt;0.55,"Média","Baixa")))</x:f>
        <x:v>Alta</x:v>
      </x:c>
    </x:row>
    <x:row r="94">
      <x:c r="A94" s="1" t="s">
        <x:v>64</x:v>
      </x:c>
      <x:c r="B94" s="1" t="s">
        <x:v>68</x:v>
      </x:c>
      <x:c r="C94" s="1">
        <x:v>2</x:v>
      </x:c>
      <x:c r="D94" s="1" t="s">
        <x:v>25</x:v>
      </x:c>
      <x:c r="E94" s="1">
        <x:v>4</x:v>
      </x:c>
      <x:c r="F94" s="24">
        <x:v>65</x:v>
      </x:c>
      <x:c r="G94" s="24">
        <x:v>15</x:v>
      </x:c>
      <x:c r="H94" s="24">
        <x:v>80</x:v>
      </x:c>
      <x:c r="I94" s="26">
        <x:v>272250</x:v>
      </x:c>
      <x:c r="J94" s="1">
        <x:v>2024</x:v>
      </x:c>
      <x:c r="K94" s="26">
        <x:v>4188.4615384615381</x:v>
      </x:c>
      <x:c r="L94" s="26">
        <x:v>3403.125</x:v>
      </x:c>
      <x:c r="M94" t="str">
        <x:f>IF(A94="The View","Projeto",IF(J94&gt;=2026,"Ativo",IF(J94=2025,"Rever","Histórico")))</x:f>
        <x:v>Histórico</x:v>
      </x:c>
      <x:c r="N94" t="str"/>
      <x:c r="O94" t="str"/>
      <x:c r="P94" s="30" t="str"/>
      <x:c r="Q94" t="str">
        <x:f>IF(A94="The View","Projeto",IF(A94="Le Parc","Benchmark local",IF(OR(A94="Del Mar Waterfront",A94="Aura Living"),"Premium waterfront/marina","A classificar")))</x:f>
        <x:v>Benchmark local</x:v>
      </x:c>
      <x:c r="R94" t="str">
        <x:v>Nova construção</x:v>
      </x:c>
      <x:c r="S94" t="str"/>
      <x:c r="T94" t="str"/>
      <x:c r="U94" t="str"/>
      <x:c r="V94" t="str"/>
      <x:c r="W94" s="28" t="n">
        <x:f>IF(A94="The View",1,MAX(0.25,MIN(1,IF(J94&gt;=2026,1,IF(J94=2025,0.8,IF(J94=2024,0.45,0.3)))*IF(Q94="Premium waterfront/marina",1,IF(Q94="Benchmark local",0.7,0.6))*IF(M94="Vendido",0.65,IF(M94="Reservado",0.8,IF(M94="Histórico",0.55,1))))))</x:f>
        <x:v>0.25</x:v>
      </x:c>
      <x:c r="X94" t="str">
        <x:f>IF(A94="The View","Projeto",IF(W94&gt;=0.85,"A · Premium ativo",IF(W94&gt;=0.55,"B · Benchmark local","C · Histórico/secundário")))</x:f>
        <x:v>C · Histórico/secundário</x:v>
      </x:c>
      <x:c r="Y94" t="str">
        <x:f>IF(A94="The View","N/A",IF(AND(N94&lt;&gt;"",O94&lt;&gt;"",P94&lt;&gt;""),"Alta",IF(OR(N94&lt;&gt;"",O94&lt;&gt;"",P94&lt;&gt;""),"Média","Baixa")))</x:f>
        <x:v>Baixa</x:v>
      </x:c>
      <x:c r="Z94" t="str"/>
      <x:c r="AA94" t="str">
        <x:f>IF(A94="The View","Manter",IF(J94&lt;2026,"Atualizar preço/status",IF(Y94="Baixa","Adicionar fonte/URL/data",IF(W94&lt;0.55,"Rever comparabilidade","OK"))))</x:f>
        <x:v>Atualizar preço/status</x:v>
      </x:c>
      <x:c r="AB94" t="str">
        <x:f>IF(A94="The View","",IF(OR(J94&lt;2026,Y94="Baixa"),"Alta",IF(W94&lt;0.55,"Média","Baixa")))</x:f>
        <x:v>Alta</x:v>
      </x:c>
    </x:row>
    <x:row r="95">
      <x:c r="A95" s="1" t="s">
        <x:v>64</x:v>
      </x:c>
      <x:c r="B95" s="1" t="s">
        <x:v>77</x:v>
      </x:c>
      <x:c r="C95" s="1">
        <x:v>2</x:v>
      </x:c>
      <x:c r="D95" s="1" t="s">
        <x:v>47</x:v>
      </x:c>
      <x:c r="E95" s="1">
        <x:v>1</x:v>
      </x:c>
      <x:c r="F95" s="24">
        <x:v>126</x:v>
      </x:c>
      <x:c r="G95" s="24">
        <x:v>29</x:v>
      </x:c>
      <x:c r="H95" s="24">
        <x:v>155</x:v>
      </x:c>
      <x:c r="I95" s="26">
        <x:v>488950</x:v>
      </x:c>
      <x:c r="J95" s="1">
        <x:v>2024</x:v>
      </x:c>
      <x:c r="K95" s="26">
        <x:v>3880.5555555555561</x:v>
      </x:c>
      <x:c r="L95" s="26">
        <x:v>3154.516129032258</x:v>
      </x:c>
      <x:c r="M95" t="str">
        <x:f>IF(A95="The View","Projeto",IF(J95&gt;=2026,"Ativo",IF(J95=2025,"Rever","Histórico")))</x:f>
        <x:v>Histórico</x:v>
      </x:c>
      <x:c r="N95" t="str"/>
      <x:c r="O95" t="str"/>
      <x:c r="P95" s="30" t="str"/>
      <x:c r="Q95" t="str">
        <x:f>IF(A95="The View","Projeto",IF(A95="Le Parc","Benchmark local",IF(OR(A95="Del Mar Waterfront",A95="Aura Living"),"Premium waterfront/marina","A classificar")))</x:f>
        <x:v>Benchmark local</x:v>
      </x:c>
      <x:c r="R95" t="str">
        <x:v>Nova construção</x:v>
      </x:c>
      <x:c r="S95" t="str"/>
      <x:c r="T95" t="str"/>
      <x:c r="U95" t="str"/>
      <x:c r="V95" t="str"/>
      <x:c r="W95" s="28" t="n">
        <x:f>IF(A95="The View",1,MAX(0.25,MIN(1,IF(J95&gt;=2026,1,IF(J95=2025,0.8,IF(J95=2024,0.45,0.3)))*IF(Q95="Premium waterfront/marina",1,IF(Q95="Benchmark local",0.7,0.6))*IF(M95="Vendido",0.65,IF(M95="Reservado",0.8,IF(M95="Histórico",0.55,1))))))</x:f>
        <x:v>0.25</x:v>
      </x:c>
      <x:c r="X95" t="str">
        <x:f>IF(A95="The View","Projeto",IF(W95&gt;=0.85,"A · Premium ativo",IF(W95&gt;=0.55,"B · Benchmark local","C · Histórico/secundário")))</x:f>
        <x:v>C · Histórico/secundário</x:v>
      </x:c>
      <x:c r="Y95" t="str">
        <x:f>IF(A95="The View","N/A",IF(AND(N95&lt;&gt;"",O95&lt;&gt;"",P95&lt;&gt;""),"Alta",IF(OR(N95&lt;&gt;"",O95&lt;&gt;"",P95&lt;&gt;""),"Média","Baixa")))</x:f>
        <x:v>Baixa</x:v>
      </x:c>
      <x:c r="Z95" t="str"/>
      <x:c r="AA95" t="str">
        <x:f>IF(A95="The View","Manter",IF(J95&lt;2026,"Atualizar preço/status",IF(Y95="Baixa","Adicionar fonte/URL/data",IF(W95&lt;0.55,"Rever comparabilidade","OK"))))</x:f>
        <x:v>Atualizar preço/status</x:v>
      </x:c>
      <x:c r="AB95" t="str">
        <x:f>IF(A95="The View","",IF(OR(J95&lt;2026,Y95="Baixa"),"Alta",IF(W95&lt;0.55,"Média","Baixa")))</x:f>
        <x:v>Alta</x:v>
      </x:c>
    </x:row>
    <x:row r="96">
      <x:c r="A96" s="1" t="s">
        <x:v>64</x:v>
      </x:c>
      <x:c r="B96" s="1" t="s">
        <x:v>69</x:v>
      </x:c>
      <x:c r="C96" s="1">
        <x:v>3</x:v>
      </x:c>
      <x:c r="D96" s="1" t="s">
        <x:v>47</x:v>
      </x:c>
      <x:c r="E96" s="1">
        <x:v>3</x:v>
      </x:c>
      <x:c r="F96" s="24">
        <x:v>130</x:v>
      </x:c>
      <x:c r="G96" s="24">
        <x:v>28</x:v>
      </x:c>
      <x:c r="H96" s="24">
        <x:v>158</x:v>
      </x:c>
      <x:c r="I96" s="26">
        <x:v>503800</x:v>
      </x:c>
      <x:c r="J96" s="1">
        <x:v>2024</x:v>
      </x:c>
      <x:c r="K96" s="26">
        <x:v>3875.3846153846148</x:v>
      </x:c>
      <x:c r="L96" s="26">
        <x:v>3188.6075949367091</x:v>
      </x:c>
      <x:c r="M96" t="str">
        <x:f>IF(A96="The View","Projeto",IF(J96&gt;=2026,"Ativo",IF(J96=2025,"Rever","Histórico")))</x:f>
        <x:v>Histórico</x:v>
      </x:c>
      <x:c r="N96" t="str"/>
      <x:c r="O96" t="str"/>
      <x:c r="P96" s="30" t="str"/>
      <x:c r="Q96" t="str">
        <x:f>IF(A96="The View","Projeto",IF(A96="Le Parc","Benchmark local",IF(OR(A96="Del Mar Waterfront",A96="Aura Living"),"Premium waterfront/marina","A classificar")))</x:f>
        <x:v>Benchmark local</x:v>
      </x:c>
      <x:c r="R96" t="str">
        <x:v>Nova construção</x:v>
      </x:c>
      <x:c r="S96" t="str"/>
      <x:c r="T96" t="str"/>
      <x:c r="U96" t="str"/>
      <x:c r="V96" t="str"/>
      <x:c r="W96" s="28" t="n">
        <x:f>IF(A96="The View",1,MAX(0.25,MIN(1,IF(J96&gt;=2026,1,IF(J96=2025,0.8,IF(J96=2024,0.45,0.3)))*IF(Q96="Premium waterfront/marina",1,IF(Q96="Benchmark local",0.7,0.6))*IF(M96="Vendido",0.65,IF(M96="Reservado",0.8,IF(M96="Histórico",0.55,1))))))</x:f>
        <x:v>0.25</x:v>
      </x:c>
      <x:c r="X96" t="str">
        <x:f>IF(A96="The View","Projeto",IF(W96&gt;=0.85,"A · Premium ativo",IF(W96&gt;=0.55,"B · Benchmark local","C · Histórico/secundário")))</x:f>
        <x:v>C · Histórico/secundário</x:v>
      </x:c>
      <x:c r="Y96" t="str">
        <x:f>IF(A96="The View","N/A",IF(AND(N96&lt;&gt;"",O96&lt;&gt;"",P96&lt;&gt;""),"Alta",IF(OR(N96&lt;&gt;"",O96&lt;&gt;"",P96&lt;&gt;""),"Média","Baixa")))</x:f>
        <x:v>Baixa</x:v>
      </x:c>
      <x:c r="Z96" t="str"/>
      <x:c r="AA96" t="str">
        <x:f>IF(A96="The View","Manter",IF(J96&lt;2026,"Atualizar preço/status",IF(Y96="Baixa","Adicionar fonte/URL/data",IF(W96&lt;0.55,"Rever comparabilidade","OK"))))</x:f>
        <x:v>Atualizar preço/status</x:v>
      </x:c>
      <x:c r="AB96" t="str">
        <x:f>IF(A96="The View","",IF(OR(J96&lt;2026,Y96="Baixa"),"Alta",IF(W96&lt;0.55,"Média","Baixa")))</x:f>
        <x:v>Alta</x:v>
      </x:c>
    </x:row>
    <x:row r="97">
      <x:c r="A97" s="1" t="s">
        <x:v>64</x:v>
      </x:c>
      <x:c r="B97" s="1" t="s">
        <x:v>70</x:v>
      </x:c>
      <x:c r="C97" s="1">
        <x:v>3</x:v>
      </x:c>
      <x:c r="D97" s="1" t="s">
        <x:v>25</x:v>
      </x:c>
      <x:c r="E97" s="1">
        <x:v>4</x:v>
      </x:c>
      <x:c r="F97" s="24">
        <x:v>65</x:v>
      </x:c>
      <x:c r="G97" s="24">
        <x:v>15</x:v>
      </x:c>
      <x:c r="H97" s="24">
        <x:v>80</x:v>
      </x:c>
      <x:c r="I97" s="26">
        <x:v>273900</x:v>
      </x:c>
      <x:c r="J97" s="1">
        <x:v>2024</x:v>
      </x:c>
      <x:c r="K97" s="26">
        <x:v>4213.8461538461543</x:v>
      </x:c>
      <x:c r="L97" s="26">
        <x:v>3423.75</x:v>
      </x:c>
      <x:c r="M97" t="str">
        <x:f>IF(A97="The View","Projeto",IF(J97&gt;=2026,"Ativo",IF(J97=2025,"Rever","Histórico")))</x:f>
        <x:v>Histórico</x:v>
      </x:c>
      <x:c r="N97" t="str"/>
      <x:c r="O97" t="str"/>
      <x:c r="P97" s="30" t="str"/>
      <x:c r="Q97" t="str">
        <x:f>IF(A97="The View","Projeto",IF(A97="Le Parc","Benchmark local",IF(OR(A97="Del Mar Waterfront",A97="Aura Living"),"Premium waterfront/marina","A classificar")))</x:f>
        <x:v>Benchmark local</x:v>
      </x:c>
      <x:c r="R97" t="str">
        <x:v>Nova construção</x:v>
      </x:c>
      <x:c r="S97" t="str"/>
      <x:c r="T97" t="str"/>
      <x:c r="U97" t="str"/>
      <x:c r="V97" t="str"/>
      <x:c r="W97" s="28" t="n">
        <x:f>IF(A97="The View",1,MAX(0.25,MIN(1,IF(J97&gt;=2026,1,IF(J97=2025,0.8,IF(J97=2024,0.45,0.3)))*IF(Q97="Premium waterfront/marina",1,IF(Q97="Benchmark local",0.7,0.6))*IF(M97="Vendido",0.65,IF(M97="Reservado",0.8,IF(M97="Histórico",0.55,1))))))</x:f>
        <x:v>0.25</x:v>
      </x:c>
      <x:c r="X97" t="str">
        <x:f>IF(A97="The View","Projeto",IF(W97&gt;=0.85,"A · Premium ativo",IF(W97&gt;=0.55,"B · Benchmark local","C · Histórico/secundário")))</x:f>
        <x:v>C · Histórico/secundário</x:v>
      </x:c>
      <x:c r="Y97" t="str">
        <x:f>IF(A97="The View","N/A",IF(AND(N97&lt;&gt;"",O97&lt;&gt;"",P97&lt;&gt;""),"Alta",IF(OR(N97&lt;&gt;"",O97&lt;&gt;"",P97&lt;&gt;""),"Média","Baixa")))</x:f>
        <x:v>Baixa</x:v>
      </x:c>
      <x:c r="Z97" t="str"/>
      <x:c r="AA97" t="str">
        <x:f>IF(A97="The View","Manter",IF(J97&lt;2026,"Atualizar preço/status",IF(Y97="Baixa","Adicionar fonte/URL/data",IF(W97&lt;0.55,"Rever comparabilidade","OK"))))</x:f>
        <x:v>Atualizar preço/status</x:v>
      </x:c>
      <x:c r="AB97" t="str">
        <x:f>IF(A97="The View","",IF(OR(J97&lt;2026,Y97="Baixa"),"Alta",IF(W97&lt;0.55,"Média","Baixa")))</x:f>
        <x:v>Alta</x:v>
      </x:c>
    </x:row>
    <x:row r="98">
      <x:c r="A98" s="1" t="s">
        <x:v>64</x:v>
      </x:c>
      <x:c r="B98" s="1" t="s">
        <x:v>81</x:v>
      </x:c>
      <x:c r="C98" s="1">
        <x:v>3</x:v>
      </x:c>
      <x:c r="D98" s="1" t="s">
        <x:v>47</x:v>
      </x:c>
      <x:c r="E98" s="1">
        <x:v>1</x:v>
      </x:c>
      <x:c r="F98" s="24">
        <x:v>126</x:v>
      </x:c>
      <x:c r="G98" s="24">
        <x:v>29</x:v>
      </x:c>
      <x:c r="H98" s="24">
        <x:v>155</x:v>
      </x:c>
      <x:c r="I98" s="26">
        <x:v>490600</x:v>
      </x:c>
      <x:c r="J98" s="1">
        <x:v>2024</x:v>
      </x:c>
      <x:c r="K98" s="26">
        <x:v>3893.6507936507942</x:v>
      </x:c>
      <x:c r="L98" s="26">
        <x:v>3165.16129032258</x:v>
      </x:c>
      <x:c r="M98" t="str">
        <x:f>IF(A98="The View","Projeto",IF(J98&gt;=2026,"Ativo",IF(J98=2025,"Rever","Histórico")))</x:f>
        <x:v>Histórico</x:v>
      </x:c>
      <x:c r="N98" t="str"/>
      <x:c r="O98" t="str"/>
      <x:c r="P98" s="30" t="str"/>
      <x:c r="Q98" t="str">
        <x:f>IF(A98="The View","Projeto",IF(A98="Le Parc","Benchmark local",IF(OR(A98="Del Mar Waterfront",A98="Aura Living"),"Premium waterfront/marina","A classificar")))</x:f>
        <x:v>Benchmark local</x:v>
      </x:c>
      <x:c r="R98" t="str">
        <x:v>Nova construção</x:v>
      </x:c>
      <x:c r="S98" t="str"/>
      <x:c r="T98" t="str"/>
      <x:c r="U98" t="str"/>
      <x:c r="V98" t="str"/>
      <x:c r="W98" s="28" t="n">
        <x:f>IF(A98="The View",1,MAX(0.25,MIN(1,IF(J98&gt;=2026,1,IF(J98=2025,0.8,IF(J98=2024,0.45,0.3)))*IF(Q98="Premium waterfront/marina",1,IF(Q98="Benchmark local",0.7,0.6))*IF(M98="Vendido",0.65,IF(M98="Reservado",0.8,IF(M98="Histórico",0.55,1))))))</x:f>
        <x:v>0.25</x:v>
      </x:c>
      <x:c r="X98" t="str">
        <x:f>IF(A98="The View","Projeto",IF(W98&gt;=0.85,"A · Premium ativo",IF(W98&gt;=0.55,"B · Benchmark local","C · Histórico/secundário")))</x:f>
        <x:v>C · Histórico/secundário</x:v>
      </x:c>
      <x:c r="Y98" t="str">
        <x:f>IF(A98="The View","N/A",IF(AND(N98&lt;&gt;"",O98&lt;&gt;"",P98&lt;&gt;""),"Alta",IF(OR(N98&lt;&gt;"",O98&lt;&gt;"",P98&lt;&gt;""),"Média","Baixa")))</x:f>
        <x:v>Baixa</x:v>
      </x:c>
      <x:c r="Z98" t="str"/>
      <x:c r="AA98" t="str">
        <x:f>IF(A98="The View","Manter",IF(J98&lt;2026,"Atualizar preço/status",IF(Y98="Baixa","Adicionar fonte/URL/data",IF(W98&lt;0.55,"Rever comparabilidade","OK"))))</x:f>
        <x:v>Atualizar preço/status</x:v>
      </x:c>
      <x:c r="AB98" t="str">
        <x:f>IF(A98="The View","",IF(OR(J98&lt;2026,Y98="Baixa"),"Alta",IF(W98&lt;0.55,"Média","Baixa")))</x:f>
        <x:v>Alta</x:v>
      </x:c>
    </x:row>
    <x:row r="99">
      <x:c r="A99" s="1" t="s">
        <x:v>64</x:v>
      </x:c>
      <x:c r="B99" s="1" t="s">
        <x:v>71</x:v>
      </x:c>
      <x:c r="C99" s="1">
        <x:v>4</x:v>
      </x:c>
      <x:c r="D99" s="1" t="s">
        <x:v>47</x:v>
      </x:c>
      <x:c r="E99" s="1">
        <x:v>3</x:v>
      </x:c>
      <x:c r="F99" s="24">
        <x:v>130</x:v>
      </x:c>
      <x:c r="G99" s="24">
        <x:v>28</x:v>
      </x:c>
      <x:c r="H99" s="24">
        <x:v>158</x:v>
      </x:c>
      <x:c r="I99" s="26">
        <x:v>508200</x:v>
      </x:c>
      <x:c r="J99" s="1">
        <x:v>2024</x:v>
      </x:c>
      <x:c r="K99" s="26">
        <x:v>3909.2307692307691</x:v>
      </x:c>
      <x:c r="L99" s="26">
        <x:v>3216.4556962025322</x:v>
      </x:c>
      <x:c r="M99" t="str">
        <x:f>IF(A99="The View","Projeto",IF(J99&gt;=2026,"Ativo",IF(J99=2025,"Rever","Histórico")))</x:f>
        <x:v>Histórico</x:v>
      </x:c>
      <x:c r="N99" t="str"/>
      <x:c r="O99" t="str"/>
      <x:c r="P99" s="30" t="str"/>
      <x:c r="Q99" t="str">
        <x:f>IF(A99="The View","Projeto",IF(A99="Le Parc","Benchmark local",IF(OR(A99="Del Mar Waterfront",A99="Aura Living"),"Premium waterfront/marina","A classificar")))</x:f>
        <x:v>Benchmark local</x:v>
      </x:c>
      <x:c r="R99" t="str">
        <x:v>Nova construção</x:v>
      </x:c>
      <x:c r="S99" t="str"/>
      <x:c r="T99" t="str"/>
      <x:c r="U99" t="str"/>
      <x:c r="V99" t="str"/>
      <x:c r="W99" s="28" t="n">
        <x:f>IF(A99="The View",1,MAX(0.25,MIN(1,IF(J99&gt;=2026,1,IF(J99=2025,0.8,IF(J99=2024,0.45,0.3)))*IF(Q99="Premium waterfront/marina",1,IF(Q99="Benchmark local",0.7,0.6))*IF(M99="Vendido",0.65,IF(M99="Reservado",0.8,IF(M99="Histórico",0.55,1))))))</x:f>
        <x:v>0.25</x:v>
      </x:c>
      <x:c r="X99" t="str">
        <x:f>IF(A99="The View","Projeto",IF(W99&gt;=0.85,"A · Premium ativo",IF(W99&gt;=0.55,"B · Benchmark local","C · Histórico/secundário")))</x:f>
        <x:v>C · Histórico/secundário</x:v>
      </x:c>
      <x:c r="Y99" t="str">
        <x:f>IF(A99="The View","N/A",IF(AND(N99&lt;&gt;"",O99&lt;&gt;"",P99&lt;&gt;""),"Alta",IF(OR(N99&lt;&gt;"",O99&lt;&gt;"",P99&lt;&gt;""),"Média","Baixa")))</x:f>
        <x:v>Baixa</x:v>
      </x:c>
      <x:c r="Z99" t="str"/>
      <x:c r="AA99" t="str">
        <x:f>IF(A99="The View","Manter",IF(J99&lt;2026,"Atualizar preço/status",IF(Y99="Baixa","Adicionar fonte/URL/data",IF(W99&lt;0.55,"Rever comparabilidade","OK"))))</x:f>
        <x:v>Atualizar preço/status</x:v>
      </x:c>
      <x:c r="AB99" t="str">
        <x:f>IF(A99="The View","",IF(OR(J99&lt;2026,Y99="Baixa"),"Alta",IF(W99&lt;0.55,"Média","Baixa")))</x:f>
        <x:v>Alta</x:v>
      </x:c>
    </x:row>
    <x:row r="100">
      <x:c r="A100" s="1" t="s">
        <x:v>64</x:v>
      </x:c>
      <x:c r="B100" s="1" t="s">
        <x:v>72</x:v>
      </x:c>
      <x:c r="C100" s="1">
        <x:v>4</x:v>
      </x:c>
      <x:c r="D100" s="1" t="s">
        <x:v>25</x:v>
      </x:c>
      <x:c r="E100" s="1">
        <x:v>4</x:v>
      </x:c>
      <x:c r="F100" s="24">
        <x:v>65</x:v>
      </x:c>
      <x:c r="G100" s="24">
        <x:v>15</x:v>
      </x:c>
      <x:c r="H100" s="24">
        <x:v>80</x:v>
      </x:c>
      <x:c r="I100" s="26">
        <x:v>275550</x:v>
      </x:c>
      <x:c r="J100" s="1">
        <x:v>2024</x:v>
      </x:c>
      <x:c r="K100" s="26">
        <x:v>4239.2307692307704</x:v>
      </x:c>
      <x:c r="L100" s="26">
        <x:v>3444.375</x:v>
      </x:c>
      <x:c r="M100" t="str">
        <x:f>IF(A100="The View","Projeto",IF(J100&gt;=2026,"Ativo",IF(J100=2025,"Rever","Histórico")))</x:f>
        <x:v>Histórico</x:v>
      </x:c>
      <x:c r="N100" t="str"/>
      <x:c r="O100" t="str"/>
      <x:c r="P100" s="30" t="str"/>
      <x:c r="Q100" t="str">
        <x:f>IF(A100="The View","Projeto",IF(A100="Le Parc","Benchmark local",IF(OR(A100="Del Mar Waterfront",A100="Aura Living"),"Premium waterfront/marina","A classificar")))</x:f>
        <x:v>Benchmark local</x:v>
      </x:c>
      <x:c r="R100" t="str">
        <x:v>Nova construção</x:v>
      </x:c>
      <x:c r="S100" t="str"/>
      <x:c r="T100" t="str"/>
      <x:c r="U100" t="str"/>
      <x:c r="V100" t="str"/>
      <x:c r="W100" s="28" t="n">
        <x:f>IF(A100="The View",1,MAX(0.25,MIN(1,IF(J100&gt;=2026,1,IF(J100=2025,0.8,IF(J100=2024,0.45,0.3)))*IF(Q100="Premium waterfront/marina",1,IF(Q100="Benchmark local",0.7,0.6))*IF(M100="Vendido",0.65,IF(M100="Reservado",0.8,IF(M100="Histórico",0.55,1))))))</x:f>
        <x:v>0.25</x:v>
      </x:c>
      <x:c r="X100" t="str">
        <x:f>IF(A100="The View","Projeto",IF(W100&gt;=0.85,"A · Premium ativo",IF(W100&gt;=0.55,"B · Benchmark local","C · Histórico/secundário")))</x:f>
        <x:v>C · Histórico/secundário</x:v>
      </x:c>
      <x:c r="Y100" t="str">
        <x:f>IF(A100="The View","N/A",IF(AND(N100&lt;&gt;"",O100&lt;&gt;"",P100&lt;&gt;""),"Alta",IF(OR(N100&lt;&gt;"",O100&lt;&gt;"",P100&lt;&gt;""),"Média","Baixa")))</x:f>
        <x:v>Baixa</x:v>
      </x:c>
      <x:c r="Z100" t="str"/>
      <x:c r="AA100" t="str">
        <x:f>IF(A100="The View","Manter",IF(J100&lt;2026,"Atualizar preço/status",IF(Y100="Baixa","Adicionar fonte/URL/data",IF(W100&lt;0.55,"Rever comparabilidade","OK"))))</x:f>
        <x:v>Atualizar preço/status</x:v>
      </x:c>
      <x:c r="AB100" t="str">
        <x:f>IF(A100="The View","",IF(OR(J100&lt;2026,Y100="Baixa"),"Alta",IF(W100&lt;0.55,"Média","Baixa")))</x:f>
        <x:v>Alta</x:v>
      </x:c>
    </x:row>
    <x:row r="101">
      <x:c r="A101" s="1" t="s">
        <x:v>64</x:v>
      </x:c>
      <x:c r="B101" s="1" t="s">
        <x:v>85</x:v>
      </x:c>
      <x:c r="C101" s="1">
        <x:v>4</x:v>
      </x:c>
      <x:c r="D101" s="1" t="s">
        <x:v>47</x:v>
      </x:c>
      <x:c r="E101" s="1">
        <x:v>1</x:v>
      </x:c>
      <x:c r="F101" s="24">
        <x:v>126</x:v>
      </x:c>
      <x:c r="G101" s="24">
        <x:v>29</x:v>
      </x:c>
      <x:c r="H101" s="24">
        <x:v>155</x:v>
      </x:c>
      <x:c r="I101" s="26">
        <x:v>495000</x:v>
      </x:c>
      <x:c r="J101" s="1">
        <x:v>2024</x:v>
      </x:c>
      <x:c r="K101" s="26">
        <x:v>3928.571428571428</x:v>
      </x:c>
      <x:c r="L101" s="26">
        <x:v>3193.5483870967741</x:v>
      </x:c>
      <x:c r="M101" t="str">
        <x:f>IF(A101="The View","Projeto",IF(J101&gt;=2026,"Ativo",IF(J101=2025,"Rever","Histórico")))</x:f>
        <x:v>Histórico</x:v>
      </x:c>
      <x:c r="N101" t="str"/>
      <x:c r="O101" t="str"/>
      <x:c r="P101" s="30" t="str"/>
      <x:c r="Q101" t="str">
        <x:f>IF(A101="The View","Projeto",IF(A101="Le Parc","Benchmark local",IF(OR(A101="Del Mar Waterfront",A101="Aura Living"),"Premium waterfront/marina","A classificar")))</x:f>
        <x:v>Benchmark local</x:v>
      </x:c>
      <x:c r="R101" t="str">
        <x:v>Nova construção</x:v>
      </x:c>
      <x:c r="S101" t="str"/>
      <x:c r="T101" t="str"/>
      <x:c r="U101" t="str"/>
      <x:c r="V101" t="str"/>
      <x:c r="W101" s="28" t="n">
        <x:f>IF(A101="The View",1,MAX(0.25,MIN(1,IF(J101&gt;=2026,1,IF(J101=2025,0.8,IF(J101=2024,0.45,0.3)))*IF(Q101="Premium waterfront/marina",1,IF(Q101="Benchmark local",0.7,0.6))*IF(M101="Vendido",0.65,IF(M101="Reservado",0.8,IF(M101="Histórico",0.55,1))))))</x:f>
        <x:v>0.25</x:v>
      </x:c>
      <x:c r="X101" t="str">
        <x:f>IF(A101="The View","Projeto",IF(W101&gt;=0.85,"A · Premium ativo",IF(W101&gt;=0.55,"B · Benchmark local","C · Histórico/secundário")))</x:f>
        <x:v>C · Histórico/secundário</x:v>
      </x:c>
      <x:c r="Y101" t="str">
        <x:f>IF(A101="The View","N/A",IF(AND(N101&lt;&gt;"",O101&lt;&gt;"",P101&lt;&gt;""),"Alta",IF(OR(N101&lt;&gt;"",O101&lt;&gt;"",P101&lt;&gt;""),"Média","Baixa")))</x:f>
        <x:v>Baixa</x:v>
      </x:c>
      <x:c r="Z101" t="str"/>
      <x:c r="AA101" t="str">
        <x:f>IF(A101="The View","Manter",IF(J101&lt;2026,"Atualizar preço/status",IF(Y101="Baixa","Adicionar fonte/URL/data",IF(W101&lt;0.55,"Rever comparabilidade","OK"))))</x:f>
        <x:v>Atualizar preço/status</x:v>
      </x:c>
      <x:c r="AB101" t="str">
        <x:f>IF(A101="The View","",IF(OR(J101&lt;2026,Y101="Baixa"),"Alta",IF(W101&lt;0.55,"Média","Baixa")))</x:f>
        <x:v>Alta</x:v>
      </x:c>
    </x:row>
    <x:row r="102">
      <x:c r="A102" s="1" t="s">
        <x:v>64</x:v>
      </x:c>
      <x:c r="B102" s="1" t="s">
        <x:v>89</x:v>
      </x:c>
      <x:c r="C102" s="1">
        <x:v>5</x:v>
      </x:c>
      <x:c r="D102" s="1" t="s">
        <x:v>47</x:v>
      </x:c>
      <x:c r="E102" s="1">
        <x:v>3</x:v>
      </x:c>
      <x:c r="F102" s="24">
        <x:v>130</x:v>
      </x:c>
      <x:c r="G102" s="24">
        <x:v>28</x:v>
      </x:c>
      <x:c r="H102" s="24">
        <x:v>158</x:v>
      </x:c>
      <x:c r="I102" s="26">
        <x:v>509850</x:v>
      </x:c>
      <x:c r="J102" s="1">
        <x:v>2024</x:v>
      </x:c>
      <x:c r="K102" s="26">
        <x:v>3921.9230769230771</x:v>
      </x:c>
      <x:c r="L102" s="26">
        <x:v>3226.8987341772149</x:v>
      </x:c>
      <x:c r="M102" t="str">
        <x:f>IF(A102="The View","Projeto",IF(J102&gt;=2026,"Ativo",IF(J102=2025,"Rever","Histórico")))</x:f>
        <x:v>Histórico</x:v>
      </x:c>
      <x:c r="N102" t="str"/>
      <x:c r="O102" t="str"/>
      <x:c r="P102" s="30" t="str"/>
      <x:c r="Q102" t="str">
        <x:f>IF(A102="The View","Projeto",IF(A102="Le Parc","Benchmark local",IF(OR(A102="Del Mar Waterfront",A102="Aura Living"),"Premium waterfront/marina","A classificar")))</x:f>
        <x:v>Benchmark local</x:v>
      </x:c>
      <x:c r="R102" t="str">
        <x:v>Nova construção</x:v>
      </x:c>
      <x:c r="S102" t="str"/>
      <x:c r="T102" t="str"/>
      <x:c r="U102" t="str"/>
      <x:c r="V102" t="str"/>
      <x:c r="W102" s="28" t="n">
        <x:f>IF(A102="The View",1,MAX(0.25,MIN(1,IF(J102&gt;=2026,1,IF(J102=2025,0.8,IF(J102=2024,0.45,0.3)))*IF(Q102="Premium waterfront/marina",1,IF(Q102="Benchmark local",0.7,0.6))*IF(M102="Vendido",0.65,IF(M102="Reservado",0.8,IF(M102="Histórico",0.55,1))))))</x:f>
        <x:v>0.25</x:v>
      </x:c>
      <x:c r="X102" t="str">
        <x:f>IF(A102="The View","Projeto",IF(W102&gt;=0.85,"A · Premium ativo",IF(W102&gt;=0.55,"B · Benchmark local","C · Histórico/secundário")))</x:f>
        <x:v>C · Histórico/secundário</x:v>
      </x:c>
      <x:c r="Y102" t="str">
        <x:f>IF(A102="The View","N/A",IF(AND(N102&lt;&gt;"",O102&lt;&gt;"",P102&lt;&gt;""),"Alta",IF(OR(N102&lt;&gt;"",O102&lt;&gt;"",P102&lt;&gt;""),"Média","Baixa")))</x:f>
        <x:v>Baixa</x:v>
      </x:c>
      <x:c r="Z102" t="str"/>
      <x:c r="AA102" t="str">
        <x:f>IF(A102="The View","Manter",IF(J102&lt;2026,"Atualizar preço/status",IF(Y102="Baixa","Adicionar fonte/URL/data",IF(W102&lt;0.55,"Rever comparabilidade","OK"))))</x:f>
        <x:v>Atualizar preço/status</x:v>
      </x:c>
      <x:c r="AB102" t="str">
        <x:f>IF(A102="The View","",IF(OR(J102&lt;2026,Y102="Baixa"),"Alta",IF(W102&lt;0.55,"Média","Baixa")))</x:f>
        <x:v>Alta</x:v>
      </x:c>
    </x:row>
    <x:row r="103">
      <x:c r="A103" s="1" t="s">
        <x:v>64</x:v>
      </x:c>
      <x:c r="B103" s="1" t="s">
        <x:v>90</x:v>
      </x:c>
      <x:c r="C103" s="1">
        <x:v>5</x:v>
      </x:c>
      <x:c r="D103" s="1" t="s">
        <x:v>25</x:v>
      </x:c>
      <x:c r="E103" s="1">
        <x:v>4</x:v>
      </x:c>
      <x:c r="F103" s="24">
        <x:v>65</x:v>
      </x:c>
      <x:c r="G103" s="24">
        <x:v>15</x:v>
      </x:c>
      <x:c r="H103" s="24">
        <x:v>80</x:v>
      </x:c>
      <x:c r="I103" s="26">
        <x:v>277200</x:v>
      </x:c>
      <x:c r="J103" s="1">
        <x:v>2024</x:v>
      </x:c>
      <x:c r="K103" s="26">
        <x:v>4264.6153846153848</x:v>
      </x:c>
      <x:c r="L103" s="26">
        <x:v>3465</x:v>
      </x:c>
      <x:c r="M103" t="str">
        <x:f>IF(A103="The View","Projeto",IF(J103&gt;=2026,"Ativo",IF(J103=2025,"Rever","Histórico")))</x:f>
        <x:v>Histórico</x:v>
      </x:c>
      <x:c r="N103" t="str"/>
      <x:c r="O103" t="str"/>
      <x:c r="P103" s="30" t="str"/>
      <x:c r="Q103" t="str">
        <x:f>IF(A103="The View","Projeto",IF(A103="Le Parc","Benchmark local",IF(OR(A103="Del Mar Waterfront",A103="Aura Living"),"Premium waterfront/marina","A classificar")))</x:f>
        <x:v>Benchmark local</x:v>
      </x:c>
      <x:c r="R103" t="str">
        <x:v>Nova construção</x:v>
      </x:c>
      <x:c r="S103" t="str"/>
      <x:c r="T103" t="str"/>
      <x:c r="U103" t="str"/>
      <x:c r="V103" t="str"/>
      <x:c r="W103" s="28" t="n">
        <x:f>IF(A103="The View",1,MAX(0.25,MIN(1,IF(J103&gt;=2026,1,IF(J103=2025,0.8,IF(J103=2024,0.45,0.3)))*IF(Q103="Premium waterfront/marina",1,IF(Q103="Benchmark local",0.7,0.6))*IF(M103="Vendido",0.65,IF(M103="Reservado",0.8,IF(M103="Histórico",0.55,1))))))</x:f>
        <x:v>0.25</x:v>
      </x:c>
      <x:c r="X103" t="str">
        <x:f>IF(A103="The View","Projeto",IF(W103&gt;=0.85,"A · Premium ativo",IF(W103&gt;=0.55,"B · Benchmark local","C · Histórico/secundário")))</x:f>
        <x:v>C · Histórico/secundário</x:v>
      </x:c>
      <x:c r="Y103" t="str">
        <x:f>IF(A103="The View","N/A",IF(AND(N103&lt;&gt;"",O103&lt;&gt;"",P103&lt;&gt;""),"Alta",IF(OR(N103&lt;&gt;"",O103&lt;&gt;"",P103&lt;&gt;""),"Média","Baixa")))</x:f>
        <x:v>Baixa</x:v>
      </x:c>
      <x:c r="Z103" t="str"/>
      <x:c r="AA103" t="str">
        <x:f>IF(A103="The View","Manter",IF(J103&lt;2026,"Atualizar preço/status",IF(Y103="Baixa","Adicionar fonte/URL/data",IF(W103&lt;0.55,"Rever comparabilidade","OK"))))</x:f>
        <x:v>Atualizar preço/status</x:v>
      </x:c>
      <x:c r="AB103" t="str">
        <x:f>IF(A103="The View","",IF(OR(J103&lt;2026,Y103="Baixa"),"Alta",IF(W103&lt;0.55,"Média","Baixa")))</x:f>
        <x:v>Alta</x:v>
      </x:c>
    </x:row>
    <x:row r="104">
      <x:c r="A104" s="1" t="s">
        <x:v>64</x:v>
      </x:c>
      <x:c r="B104" s="1" t="s">
        <x:v>91</x:v>
      </x:c>
      <x:c r="C104" s="1">
        <x:v>5</x:v>
      </x:c>
      <x:c r="D104" s="1" t="s">
        <x:v>47</x:v>
      </x:c>
      <x:c r="E104" s="1">
        <x:v>1</x:v>
      </x:c>
      <x:c r="F104" s="24">
        <x:v>126</x:v>
      </x:c>
      <x:c r="G104" s="24">
        <x:v>29</x:v>
      </x:c>
      <x:c r="H104" s="24">
        <x:v>155</x:v>
      </x:c>
      <x:c r="I104" s="26">
        <x:v>496650</x:v>
      </x:c>
      <x:c r="J104" s="1">
        <x:v>2024</x:v>
      </x:c>
      <x:c r="K104" s="26">
        <x:v>3941.666666666667</x:v>
      </x:c>
      <x:c r="L104" s="26">
        <x:v>3204.1935483870971</x:v>
      </x:c>
      <x:c r="M104" t="str">
        <x:f>IF(A104="The View","Projeto",IF(J104&gt;=2026,"Ativo",IF(J104=2025,"Rever","Histórico")))</x:f>
        <x:v>Histórico</x:v>
      </x:c>
      <x:c r="N104" t="str"/>
      <x:c r="O104" t="str"/>
      <x:c r="P104" s="30" t="str"/>
      <x:c r="Q104" t="str">
        <x:f>IF(A104="The View","Projeto",IF(A104="Le Parc","Benchmark local",IF(OR(A104="Del Mar Waterfront",A104="Aura Living"),"Premium waterfront/marina","A classificar")))</x:f>
        <x:v>Benchmark local</x:v>
      </x:c>
      <x:c r="R104" t="str">
        <x:v>Nova construção</x:v>
      </x:c>
      <x:c r="S104" t="str"/>
      <x:c r="T104" t="str"/>
      <x:c r="U104" t="str"/>
      <x:c r="V104" t="str"/>
      <x:c r="W104" s="28" t="n">
        <x:f>IF(A104="The View",1,MAX(0.25,MIN(1,IF(J104&gt;=2026,1,IF(J104=2025,0.8,IF(J104=2024,0.45,0.3)))*IF(Q104="Premium waterfront/marina",1,IF(Q104="Benchmark local",0.7,0.6))*IF(M104="Vendido",0.65,IF(M104="Reservado",0.8,IF(M104="Histórico",0.55,1))))))</x:f>
        <x:v>0.25</x:v>
      </x:c>
      <x:c r="X104" t="str">
        <x:f>IF(A104="The View","Projeto",IF(W104&gt;=0.85,"A · Premium ativo",IF(W104&gt;=0.55,"B · Benchmark local","C · Histórico/secundário")))</x:f>
        <x:v>C · Histórico/secundário</x:v>
      </x:c>
      <x:c r="Y104" t="str">
        <x:f>IF(A104="The View","N/A",IF(AND(N104&lt;&gt;"",O104&lt;&gt;"",P104&lt;&gt;""),"Alta",IF(OR(N104&lt;&gt;"",O104&lt;&gt;"",P104&lt;&gt;""),"Média","Baixa")))</x:f>
        <x:v>Baixa</x:v>
      </x:c>
      <x:c r="Z104" t="str"/>
      <x:c r="AA104" t="str">
        <x:f>IF(A104="The View","Manter",IF(J104&lt;2026,"Atualizar preço/status",IF(Y104="Baixa","Adicionar fonte/URL/data",IF(W104&lt;0.55,"Rever comparabilidade","OK"))))</x:f>
        <x:v>Atualizar preço/status</x:v>
      </x:c>
      <x:c r="AB104" t="str">
        <x:f>IF(A104="The View","",IF(OR(J104&lt;2026,Y104="Baixa"),"Alta",IF(W104&lt;0.55,"Média","Baixa")))</x:f>
        <x:v>Alta</x:v>
      </x:c>
    </x:row>
    <x:row r="105">
      <x:c r="A105" s="1" t="s">
        <x:v>64</x:v>
      </x:c>
      <x:c r="B105" s="1" t="s">
        <x:v>94</x:v>
      </x:c>
      <x:c r="C105" s="1">
        <x:v>6</x:v>
      </x:c>
      <x:c r="D105" s="1" t="s">
        <x:v>47</x:v>
      </x:c>
      <x:c r="E105" s="1">
        <x:v>3</x:v>
      </x:c>
      <x:c r="F105" s="24">
        <x:v>130</x:v>
      </x:c>
      <x:c r="G105" s="24">
        <x:v>28</x:v>
      </x:c>
      <x:c r="H105" s="24">
        <x:v>158</x:v>
      </x:c>
      <x:c r="I105" s="26">
        <x:v>520850</x:v>
      </x:c>
      <x:c r="J105" s="1">
        <x:v>2024</x:v>
      </x:c>
      <x:c r="K105" s="26">
        <x:v>4006.538461538461</x:v>
      </x:c>
      <x:c r="L105" s="26">
        <x:v>3296.5189873417721</x:v>
      </x:c>
      <x:c r="M105" t="str">
        <x:f>IF(A105="The View","Projeto",IF(J105&gt;=2026,"Ativo",IF(J105=2025,"Rever","Histórico")))</x:f>
        <x:v>Histórico</x:v>
      </x:c>
      <x:c r="N105" t="str"/>
      <x:c r="O105" t="str"/>
      <x:c r="P105" s="30" t="str"/>
      <x:c r="Q105" t="str">
        <x:f>IF(A105="The View","Projeto",IF(A105="Le Parc","Benchmark local",IF(OR(A105="Del Mar Waterfront",A105="Aura Living"),"Premium waterfront/marina","A classificar")))</x:f>
        <x:v>Benchmark local</x:v>
      </x:c>
      <x:c r="R105" t="str">
        <x:v>Nova construção</x:v>
      </x:c>
      <x:c r="S105" t="str"/>
      <x:c r="T105" t="str"/>
      <x:c r="U105" t="str"/>
      <x:c r="V105" t="str"/>
      <x:c r="W105" s="28" t="n">
        <x:f>IF(A105="The View",1,MAX(0.25,MIN(1,IF(J105&gt;=2026,1,IF(J105=2025,0.8,IF(J105=2024,0.45,0.3)))*IF(Q105="Premium waterfront/marina",1,IF(Q105="Benchmark local",0.7,0.6))*IF(M105="Vendido",0.65,IF(M105="Reservado",0.8,IF(M105="Histórico",0.55,1))))))</x:f>
        <x:v>0.25</x:v>
      </x:c>
      <x:c r="X105" t="str">
        <x:f>IF(A105="The View","Projeto",IF(W105&gt;=0.85,"A · Premium ativo",IF(W105&gt;=0.55,"B · Benchmark local","C · Histórico/secundário")))</x:f>
        <x:v>C · Histórico/secundário</x:v>
      </x:c>
      <x:c r="Y105" t="str">
        <x:f>IF(A105="The View","N/A",IF(AND(N105&lt;&gt;"",O105&lt;&gt;"",P105&lt;&gt;""),"Alta",IF(OR(N105&lt;&gt;"",O105&lt;&gt;"",P105&lt;&gt;""),"Média","Baixa")))</x:f>
        <x:v>Baixa</x:v>
      </x:c>
      <x:c r="Z105" t="str"/>
      <x:c r="AA105" t="str">
        <x:f>IF(A105="The View","Manter",IF(J105&lt;2026,"Atualizar preço/status",IF(Y105="Baixa","Adicionar fonte/URL/data",IF(W105&lt;0.55,"Rever comparabilidade","OK"))))</x:f>
        <x:v>Atualizar preço/status</x:v>
      </x:c>
      <x:c r="AB105" t="str">
        <x:f>IF(A105="The View","",IF(OR(J105&lt;2026,Y105="Baixa"),"Alta",IF(W105&lt;0.55,"Média","Baixa")))</x:f>
        <x:v>Alta</x:v>
      </x:c>
    </x:row>
    <x:row r="106">
      <x:c r="A106" s="1" t="s">
        <x:v>64</x:v>
      </x:c>
      <x:c r="B106" s="1" t="s">
        <x:v>95</x:v>
      </x:c>
      <x:c r="C106" s="1">
        <x:v>6</x:v>
      </x:c>
      <x:c r="D106" s="1" t="s">
        <x:v>25</x:v>
      </x:c>
      <x:c r="E106" s="1">
        <x:v>4</x:v>
      </x:c>
      <x:c r="F106" s="24">
        <x:v>65</x:v>
      </x:c>
      <x:c r="G106" s="24">
        <x:v>15</x:v>
      </x:c>
      <x:c r="H106" s="24">
        <x:v>80</x:v>
      </x:c>
      <x:c r="I106" s="26">
        <x:v>288200</x:v>
      </x:c>
      <x:c r="J106" s="1">
        <x:v>2024</x:v>
      </x:c>
      <x:c r="K106" s="26">
        <x:v>4433.8461538461543</x:v>
      </x:c>
      <x:c r="L106" s="26">
        <x:v>3602.5</x:v>
      </x:c>
      <x:c r="M106" t="str">
        <x:f>IF(A106="The View","Projeto",IF(J106&gt;=2026,"Ativo",IF(J106=2025,"Rever","Histórico")))</x:f>
        <x:v>Histórico</x:v>
      </x:c>
      <x:c r="N106" t="str"/>
      <x:c r="O106" t="str"/>
      <x:c r="P106" s="30" t="str"/>
      <x:c r="Q106" t="str">
        <x:f>IF(A106="The View","Projeto",IF(A106="Le Parc","Benchmark local",IF(OR(A106="Del Mar Waterfront",A106="Aura Living"),"Premium waterfront/marina","A classificar")))</x:f>
        <x:v>Benchmark local</x:v>
      </x:c>
      <x:c r="R106" t="str">
        <x:v>Nova construção</x:v>
      </x:c>
      <x:c r="S106" t="str"/>
      <x:c r="T106" t="str"/>
      <x:c r="U106" t="str"/>
      <x:c r="V106" t="str"/>
      <x:c r="W106" s="28" t="n">
        <x:f>IF(A106="The View",1,MAX(0.25,MIN(1,IF(J106&gt;=2026,1,IF(J106=2025,0.8,IF(J106=2024,0.45,0.3)))*IF(Q106="Premium waterfront/marina",1,IF(Q106="Benchmark local",0.7,0.6))*IF(M106="Vendido",0.65,IF(M106="Reservado",0.8,IF(M106="Histórico",0.55,1))))))</x:f>
        <x:v>0.25</x:v>
      </x:c>
      <x:c r="X106" t="str">
        <x:f>IF(A106="The View","Projeto",IF(W106&gt;=0.85,"A · Premium ativo",IF(W106&gt;=0.55,"B · Benchmark local","C · Histórico/secundário")))</x:f>
        <x:v>C · Histórico/secundário</x:v>
      </x:c>
      <x:c r="Y106" t="str">
        <x:f>IF(A106="The View","N/A",IF(AND(N106&lt;&gt;"",O106&lt;&gt;"",P106&lt;&gt;""),"Alta",IF(OR(N106&lt;&gt;"",O106&lt;&gt;"",P106&lt;&gt;""),"Média","Baixa")))</x:f>
        <x:v>Baixa</x:v>
      </x:c>
      <x:c r="Z106" t="str"/>
      <x:c r="AA106" t="str">
        <x:f>IF(A106="The View","Manter",IF(J106&lt;2026,"Atualizar preço/status",IF(Y106="Baixa","Adicionar fonte/URL/data",IF(W106&lt;0.55,"Rever comparabilidade","OK"))))</x:f>
        <x:v>Atualizar preço/status</x:v>
      </x:c>
      <x:c r="AB106" t="str">
        <x:f>IF(A106="The View","",IF(OR(J106&lt;2026,Y106="Baixa"),"Alta",IF(W106&lt;0.55,"Média","Baixa")))</x:f>
        <x:v>Alta</x:v>
      </x:c>
    </x:row>
    <x:row r="107">
      <x:c r="A107" s="1" t="s">
        <x:v>64</x:v>
      </x:c>
      <x:c r="B107" s="1" t="s">
        <x:v>96</x:v>
      </x:c>
      <x:c r="C107" s="1">
        <x:v>6</x:v>
      </x:c>
      <x:c r="D107" s="1" t="s">
        <x:v>47</x:v>
      </x:c>
      <x:c r="E107" s="1">
        <x:v>1</x:v>
      </x:c>
      <x:c r="F107" s="24">
        <x:v>126</x:v>
      </x:c>
      <x:c r="G107" s="24">
        <x:v>29</x:v>
      </x:c>
      <x:c r="H107" s="24">
        <x:v>155</x:v>
      </x:c>
      <x:c r="I107" s="26">
        <x:v>507650</x:v>
      </x:c>
      <x:c r="J107" s="1">
        <x:v>2024</x:v>
      </x:c>
      <x:c r="K107" s="26">
        <x:v>4028.968253968254</x:v>
      </x:c>
      <x:c r="L107" s="26">
        <x:v>3275.16129032258</x:v>
      </x:c>
      <x:c r="M107" t="str">
        <x:f>IF(A107="The View","Projeto",IF(J107&gt;=2026,"Ativo",IF(J107=2025,"Rever","Histórico")))</x:f>
        <x:v>Histórico</x:v>
      </x:c>
      <x:c r="N107" t="str"/>
      <x:c r="O107" t="str"/>
      <x:c r="P107" s="30" t="str"/>
      <x:c r="Q107" t="str">
        <x:f>IF(A107="The View","Projeto",IF(A107="Le Parc","Benchmark local",IF(OR(A107="Del Mar Waterfront",A107="Aura Living"),"Premium waterfront/marina","A classificar")))</x:f>
        <x:v>Benchmark local</x:v>
      </x:c>
      <x:c r="R107" t="str">
        <x:v>Nova construção</x:v>
      </x:c>
      <x:c r="S107" t="str"/>
      <x:c r="T107" t="str"/>
      <x:c r="U107" t="str"/>
      <x:c r="V107" t="str"/>
      <x:c r="W107" s="28" t="n">
        <x:f>IF(A107="The View",1,MAX(0.25,MIN(1,IF(J107&gt;=2026,1,IF(J107=2025,0.8,IF(J107=2024,0.45,0.3)))*IF(Q107="Premium waterfront/marina",1,IF(Q107="Benchmark local",0.7,0.6))*IF(M107="Vendido",0.65,IF(M107="Reservado",0.8,IF(M107="Histórico",0.55,1))))))</x:f>
        <x:v>0.25</x:v>
      </x:c>
      <x:c r="X107" t="str">
        <x:f>IF(A107="The View","Projeto",IF(W107&gt;=0.85,"A · Premium ativo",IF(W107&gt;=0.55,"B · Benchmark local","C · Histórico/secundário")))</x:f>
        <x:v>C · Histórico/secundário</x:v>
      </x:c>
      <x:c r="Y107" t="str">
        <x:f>IF(A107="The View","N/A",IF(AND(N107&lt;&gt;"",O107&lt;&gt;"",P107&lt;&gt;""),"Alta",IF(OR(N107&lt;&gt;"",O107&lt;&gt;"",P107&lt;&gt;""),"Média","Baixa")))</x:f>
        <x:v>Baixa</x:v>
      </x:c>
      <x:c r="Z107" t="str"/>
      <x:c r="AA107" t="str">
        <x:f>IF(A107="The View","Manter",IF(J107&lt;2026,"Atualizar preço/status",IF(Y107="Baixa","Adicionar fonte/URL/data",IF(W107&lt;0.55,"Rever comparabilidade","OK"))))</x:f>
        <x:v>Atualizar preço/status</x:v>
      </x:c>
      <x:c r="AB107" t="str">
        <x:f>IF(A107="The View","",IF(OR(J107&lt;2026,Y107="Baixa"),"Alta",IF(W107&lt;0.55,"Média","Baixa")))</x:f>
        <x:v>Alta</x:v>
      </x:c>
    </x:row>
    <x:row r="108">
      <x:c r="A108" s="1" t="s">
        <x:v>99</x:v>
      </x:c>
      <x:c r="B108" s="1" t="s">
        <x:v>100</x:v>
      </x:c>
      <x:c r="C108" s="1">
        <x:v>1</x:v>
      </x:c>
      <x:c r="D108" s="1" t="s">
        <x:v>25</x:v>
      </x:c>
      <x:c r="E108" s="1">
        <x:v>1</x:v>
      </x:c>
      <x:c r="F108" s="24">
        <x:v>99.74</x:v>
      </x:c>
      <x:c r="G108" s="24">
        <x:v>43.37</x:v>
      </x:c>
      <x:c r="H108" s="24">
        <x:v>143.11000000000001</x:v>
      </x:c>
      <x:c r="I108" s="26">
        <x:v>545000</x:v>
      </x:c>
      <x:c r="J108" s="1">
        <x:v>2026</x:v>
      </x:c>
      <x:c r="K108" s="26">
        <x:v>5464.2069380389012</x:v>
      </x:c>
      <x:c r="L108" s="26">
        <x:v>3808.259380895815</x:v>
      </x:c>
      <x:c r="M108" t="str">
        <x:f>IF(A108="The View","Projeto",IF(J108&gt;=2026,"Ativo",IF(J108=2025,"Rever","Histórico")))</x:f>
        <x:v>Projeto</x:v>
      </x:c>
      <x:c r="N108" t="str"/>
      <x:c r="O108" t="str"/>
      <x:c r="P108" s="30" t="str"/>
      <x:c r="Q108" t="str">
        <x:f>IF(A108="The View","Projeto",IF(A108="Le Parc","Benchmark local",IF(OR(A108="Del Mar Waterfront",A108="Aura Living"),"Premium waterfront/marina","A classificar")))</x:f>
        <x:v>Projeto</x:v>
      </x:c>
      <x:c r="R108" t="str">
        <x:v>Nova construção</x:v>
      </x:c>
      <x:c r="S108" t="str"/>
      <x:c r="T108" t="str"/>
      <x:c r="U108" t="str"/>
      <x:c r="V108" t="str"/>
      <x:c r="W108" s="28" t="n">
        <x:f>IF(A108="The View",1,MAX(0.25,MIN(1,IF(J108&gt;=2026,1,IF(J108=2025,0.8,IF(J108=2024,0.45,0.3)))*IF(Q108="Premium waterfront/marina",1,IF(Q108="Benchmark local",0.7,0.6))*IF(M108="Vendido",0.65,IF(M108="Reservado",0.8,IF(M108="Histórico",0.55,1))))))</x:f>
        <x:v>1</x:v>
      </x:c>
      <x:c r="X108" t="str">
        <x:f>IF(A108="The View","Projeto",IF(W108&gt;=0.85,"A · Premium ativo",IF(W108&gt;=0.55,"B · Benchmark local","C · Histórico/secundário")))</x:f>
        <x:v>Projeto</x:v>
      </x:c>
      <x:c r="Y108" t="str">
        <x:f>IF(A108="The View","N/A",IF(AND(N108&lt;&gt;"",O108&lt;&gt;"",P108&lt;&gt;""),"Alta",IF(OR(N108&lt;&gt;"",O108&lt;&gt;"",P108&lt;&gt;""),"Média","Baixa")))</x:f>
        <x:v>N/A</x:v>
      </x:c>
      <x:c r="Z108" t="str"/>
      <x:c r="AA108" t="str">
        <x:f>IF(A108="The View","Manter",IF(J108&lt;2026,"Atualizar preço/status",IF(Y108="Baixa","Adicionar fonte/URL/data",IF(W108&lt;0.55,"Rever comparabilidade","OK"))))</x:f>
        <x:v>Manter</x:v>
      </x:c>
      <x:c r="AB108" t="str">
        <x:f>IF(A108="The View","",IF(OR(J108&lt;2026,Y108="Baixa"),"Alta",IF(W108&lt;0.55,"Média","Baixa")))</x:f>
      </x:c>
    </x:row>
    <x:row r="109">
      <x:c r="A109" s="1" t="s">
        <x:v>99</x:v>
      </x:c>
      <x:c r="B109" s="1" t="s">
        <x:v>101</x:v>
      </x:c>
      <x:c r="C109" s="1">
        <x:v>1</x:v>
      </x:c>
      <x:c r="D109" s="1" t="s">
        <x:v>15</x:v>
      </x:c>
      <x:c r="E109" s="1">
        <x:v>2</x:v>
      </x:c>
      <x:c r="F109" s="24">
        <x:v>123.72</x:v>
      </x:c>
      <x:c r="G109" s="24">
        <x:v>41.1</x:v>
      </x:c>
      <x:c r="H109" s="24">
        <x:v>164.82</x:v>
      </x:c>
      <x:c r="I109" s="26">
        <x:v>593000</x:v>
      </x:c>
      <x:c r="J109" s="1">
        <x:v>2026</x:v>
      </x:c>
      <x:c r="K109" s="26">
        <x:v>4793.0811509860978</x:v>
      </x:c>
      <x:c r="L109" s="26">
        <x:v>3597.864336852324</x:v>
      </x:c>
      <x:c r="M109" t="str">
        <x:f>IF(A109="The View","Projeto",IF(J109&gt;=2026,"Ativo",IF(J109=2025,"Rever","Histórico")))</x:f>
        <x:v>Projeto</x:v>
      </x:c>
      <x:c r="N109" t="str"/>
      <x:c r="O109" t="str"/>
      <x:c r="P109" s="30" t="str"/>
      <x:c r="Q109" t="str">
        <x:f>IF(A109="The View","Projeto",IF(A109="Le Parc","Benchmark local",IF(OR(A109="Del Mar Waterfront",A109="Aura Living"),"Premium waterfront/marina","A classificar")))</x:f>
        <x:v>Projeto</x:v>
      </x:c>
      <x:c r="R109" t="str">
        <x:v>Nova construção</x:v>
      </x:c>
      <x:c r="S109" t="str"/>
      <x:c r="T109" t="str"/>
      <x:c r="U109" t="str"/>
      <x:c r="V109" t="str"/>
      <x:c r="W109" s="28" t="n">
        <x:f>IF(A109="The View",1,MAX(0.25,MIN(1,IF(J109&gt;=2026,1,IF(J109=2025,0.8,IF(J109=2024,0.45,0.3)))*IF(Q109="Premium waterfront/marina",1,IF(Q109="Benchmark local",0.7,0.6))*IF(M109="Vendido",0.65,IF(M109="Reservado",0.8,IF(M109="Histórico",0.55,1))))))</x:f>
        <x:v>1</x:v>
      </x:c>
      <x:c r="X109" t="str">
        <x:f>IF(A109="The View","Projeto",IF(W109&gt;=0.85,"A · Premium ativo",IF(W109&gt;=0.55,"B · Benchmark local","C · Histórico/secundário")))</x:f>
        <x:v>Projeto</x:v>
      </x:c>
      <x:c r="Y109" t="str">
        <x:f>IF(A109="The View","N/A",IF(AND(N109&lt;&gt;"",O109&lt;&gt;"",P109&lt;&gt;""),"Alta",IF(OR(N109&lt;&gt;"",O109&lt;&gt;"",P109&lt;&gt;""),"Média","Baixa")))</x:f>
        <x:v>N/A</x:v>
      </x:c>
      <x:c r="Z109" t="str"/>
      <x:c r="AA109" t="str">
        <x:f>IF(A109="The View","Manter",IF(J109&lt;2026,"Atualizar preço/status",IF(Y109="Baixa","Adicionar fonte/URL/data",IF(W109&lt;0.55,"Rever comparabilidade","OK"))))</x:f>
        <x:v>Manter</x:v>
      </x:c>
      <x:c r="AB109" t="str">
        <x:f>IF(A109="The View","",IF(OR(J109&lt;2026,Y109="Baixa"),"Alta",IF(W109&lt;0.55,"Média","Baixa")))</x:f>
      </x:c>
    </x:row>
    <x:row r="110">
      <x:c r="A110" s="1" t="s">
        <x:v>99</x:v>
      </x:c>
      <x:c r="B110" s="1" t="s">
        <x:v>102</x:v>
      </x:c>
      <x:c r="C110" s="1">
        <x:v>1</x:v>
      </x:c>
      <x:c r="D110" s="1" t="s">
        <x:v>25</x:v>
      </x:c>
      <x:c r="E110" s="1">
        <x:v>4</x:v>
      </x:c>
      <x:c r="F110" s="24">
        <x:v>77.56</x:v>
      </x:c>
      <x:c r="G110" s="24">
        <x:v>16</x:v>
      </x:c>
      <x:c r="H110" s="24">
        <x:v>93.56</x:v>
      </x:c>
      <x:c r="I110" s="26">
        <x:v>380000</x:v>
      </x:c>
      <x:c r="J110" s="1">
        <x:v>2026</x:v>
      </x:c>
      <x:c r="K110" s="26">
        <x:v>4899.4326972666322</x:v>
      </x:c>
      <x:c r="L110" s="26">
        <x:v>4061.5647712697728</x:v>
      </x:c>
      <x:c r="M110" t="str">
        <x:f>IF(A110="The View","Projeto",IF(J110&gt;=2026,"Ativo",IF(J110=2025,"Rever","Histórico")))</x:f>
        <x:v>Projeto</x:v>
      </x:c>
      <x:c r="N110" t="str"/>
      <x:c r="O110" t="str"/>
      <x:c r="P110" s="30" t="str"/>
      <x:c r="Q110" t="str">
        <x:f>IF(A110="The View","Projeto",IF(A110="Le Parc","Benchmark local",IF(OR(A110="Del Mar Waterfront",A110="Aura Living"),"Premium waterfront/marina","A classificar")))</x:f>
        <x:v>Projeto</x:v>
      </x:c>
      <x:c r="R110" t="str">
        <x:v>Nova construção</x:v>
      </x:c>
      <x:c r="S110" t="str"/>
      <x:c r="T110" t="str"/>
      <x:c r="U110" t="str"/>
      <x:c r="V110" t="str"/>
      <x:c r="W110" s="28" t="n">
        <x:f>IF(A110="The View",1,MAX(0.25,MIN(1,IF(J110&gt;=2026,1,IF(J110=2025,0.8,IF(J110=2024,0.45,0.3)))*IF(Q110="Premium waterfront/marina",1,IF(Q110="Benchmark local",0.7,0.6))*IF(M110="Vendido",0.65,IF(M110="Reservado",0.8,IF(M110="Histórico",0.55,1))))))</x:f>
        <x:v>1</x:v>
      </x:c>
      <x:c r="X110" t="str">
        <x:f>IF(A110="The View","Projeto",IF(W110&gt;=0.85,"A · Premium ativo",IF(W110&gt;=0.55,"B · Benchmark local","C · Histórico/secundário")))</x:f>
        <x:v>Projeto</x:v>
      </x:c>
      <x:c r="Y110" t="str">
        <x:f>IF(A110="The View","N/A",IF(AND(N110&lt;&gt;"",O110&lt;&gt;"",P110&lt;&gt;""),"Alta",IF(OR(N110&lt;&gt;"",O110&lt;&gt;"",P110&lt;&gt;""),"Média","Baixa")))</x:f>
        <x:v>N/A</x:v>
      </x:c>
      <x:c r="Z110" t="str"/>
      <x:c r="AA110" t="str">
        <x:f>IF(A110="The View","Manter",IF(J110&lt;2026,"Atualizar preço/status",IF(Y110="Baixa","Adicionar fonte/URL/data",IF(W110&lt;0.55,"Rever comparabilidade","OK"))))</x:f>
        <x:v>Manter</x:v>
      </x:c>
      <x:c r="AB110" t="str">
        <x:f>IF(A110="The View","",IF(OR(J110&lt;2026,Y110="Baixa"),"Alta",IF(W110&lt;0.55,"Média","Baixa")))</x:f>
      </x:c>
    </x:row>
    <x:row r="111">
      <x:c r="A111" s="1" t="s">
        <x:v>99</x:v>
      </x:c>
      <x:c r="B111" s="1" t="s">
        <x:v>103</x:v>
      </x:c>
      <x:c r="C111" s="1">
        <x:v>1</x:v>
      </x:c>
      <x:c r="D111" s="1" t="s">
        <x:v>104</x:v>
      </x:c>
      <x:c r="E111" s="1">
        <x:v>4</x:v>
      </x:c>
      <x:c r="F111" s="24">
        <x:v>102.52</x:v>
      </x:c>
      <x:c r="G111" s="24">
        <x:v>15.48</x:v>
      </x:c>
      <x:c r="H111" s="24">
        <x:v>118</x:v>
      </x:c>
      <x:c r="I111" s="26">
        <x:v>475000</x:v>
      </x:c>
      <x:c r="J111" s="1">
        <x:v>2026</x:v>
      </x:c>
      <x:c r="K111" s="26">
        <x:v>4633.2422941865007</x:v>
      </x:c>
      <x:c r="L111" s="26">
        <x:v>4025.4237288135591</x:v>
      </x:c>
      <x:c r="M111" t="str">
        <x:f>IF(A111="The View","Projeto",IF(J111&gt;=2026,"Ativo",IF(J111=2025,"Rever","Histórico")))</x:f>
        <x:v>Projeto</x:v>
      </x:c>
      <x:c r="N111" t="str"/>
      <x:c r="O111" t="str"/>
      <x:c r="P111" s="30" t="str"/>
      <x:c r="Q111" t="str">
        <x:f>IF(A111="The View","Projeto",IF(A111="Le Parc","Benchmark local",IF(OR(A111="Del Mar Waterfront",A111="Aura Living"),"Premium waterfront/marina","A classificar")))</x:f>
        <x:v>Projeto</x:v>
      </x:c>
      <x:c r="R111" t="str">
        <x:v>Nova construção</x:v>
      </x:c>
      <x:c r="S111" t="str"/>
      <x:c r="T111" t="str"/>
      <x:c r="U111" t="str"/>
      <x:c r="V111" t="str"/>
      <x:c r="W111" s="28" t="n">
        <x:f>IF(A111="The View",1,MAX(0.25,MIN(1,IF(J111&gt;=2026,1,IF(J111=2025,0.8,IF(J111=2024,0.45,0.3)))*IF(Q111="Premium waterfront/marina",1,IF(Q111="Benchmark local",0.7,0.6))*IF(M111="Vendido",0.65,IF(M111="Reservado",0.8,IF(M111="Histórico",0.55,1))))))</x:f>
        <x:v>1</x:v>
      </x:c>
      <x:c r="X111" t="str">
        <x:f>IF(A111="The View","Projeto",IF(W111&gt;=0.85,"A · Premium ativo",IF(W111&gt;=0.55,"B · Benchmark local","C · Histórico/secundário")))</x:f>
        <x:v>Projeto</x:v>
      </x:c>
      <x:c r="Y111" t="str">
        <x:f>IF(A111="The View","N/A",IF(AND(N111&lt;&gt;"",O111&lt;&gt;"",P111&lt;&gt;""),"Alta",IF(OR(N111&lt;&gt;"",O111&lt;&gt;"",P111&lt;&gt;""),"Média","Baixa")))</x:f>
        <x:v>N/A</x:v>
      </x:c>
      <x:c r="Z111" t="str"/>
      <x:c r="AA111" t="str">
        <x:f>IF(A111="The View","Manter",IF(J111&lt;2026,"Atualizar preço/status",IF(Y111="Baixa","Adicionar fonte/URL/data",IF(W111&lt;0.55,"Rever comparabilidade","OK"))))</x:f>
        <x:v>Manter</x:v>
      </x:c>
      <x:c r="AB111" t="str">
        <x:f>IF(A111="The View","",IF(OR(J111&lt;2026,Y111="Baixa"),"Alta",IF(W111&lt;0.55,"Média","Baixa")))</x:f>
      </x:c>
    </x:row>
    <x:row r="112">
      <x:c r="A112" s="1" t="s">
        <x:v>99</x:v>
      </x:c>
      <x:c r="B112" s="1" t="s">
        <x:v>105</x:v>
      </x:c>
      <x:c r="C112" s="1">
        <x:v>1</x:v>
      </x:c>
      <x:c r="D112" s="1" t="s">
        <x:v>104</x:v>
      </x:c>
      <x:c r="E112" s="1">
        <x:v>4</x:v>
      </x:c>
      <x:c r="F112" s="24">
        <x:v>97.5</x:v>
      </x:c>
      <x:c r="G112" s="24">
        <x:v>15.7</x:v>
      </x:c>
      <x:c r="H112" s="24">
        <x:v>113.2</x:v>
      </x:c>
      <x:c r="I112" s="26">
        <x:v>450000</x:v>
      </x:c>
      <x:c r="J112" s="1">
        <x:v>2026</x:v>
      </x:c>
      <x:c r="K112" s="26">
        <x:v>4615.3846153846152</x:v>
      </x:c>
      <x:c r="L112" s="26">
        <x:v>3975.2650176678439</x:v>
      </x:c>
      <x:c r="M112" t="str">
        <x:f>IF(A112="The View","Projeto",IF(J112&gt;=2026,"Ativo",IF(J112=2025,"Rever","Histórico")))</x:f>
        <x:v>Projeto</x:v>
      </x:c>
      <x:c r="N112" t="str"/>
      <x:c r="O112" t="str"/>
      <x:c r="P112" s="30" t="str"/>
      <x:c r="Q112" t="str">
        <x:f>IF(A112="The View","Projeto",IF(A112="Le Parc","Benchmark local",IF(OR(A112="Del Mar Waterfront",A112="Aura Living"),"Premium waterfront/marina","A classificar")))</x:f>
        <x:v>Projeto</x:v>
      </x:c>
      <x:c r="R112" t="str">
        <x:v>Nova construção</x:v>
      </x:c>
      <x:c r="S112" t="str"/>
      <x:c r="T112" t="str"/>
      <x:c r="U112" t="str"/>
      <x:c r="V112" t="str"/>
      <x:c r="W112" s="28" t="n">
        <x:f>IF(A112="The View",1,MAX(0.25,MIN(1,IF(J112&gt;=2026,1,IF(J112=2025,0.8,IF(J112=2024,0.45,0.3)))*IF(Q112="Premium waterfront/marina",1,IF(Q112="Benchmark local",0.7,0.6))*IF(M112="Vendido",0.65,IF(M112="Reservado",0.8,IF(M112="Histórico",0.55,1))))))</x:f>
        <x:v>1</x:v>
      </x:c>
      <x:c r="X112" t="str">
        <x:f>IF(A112="The View","Projeto",IF(W112&gt;=0.85,"A · Premium ativo",IF(W112&gt;=0.55,"B · Benchmark local","C · Histórico/secundário")))</x:f>
        <x:v>Projeto</x:v>
      </x:c>
      <x:c r="Y112" t="str">
        <x:f>IF(A112="The View","N/A",IF(AND(N112&lt;&gt;"",O112&lt;&gt;"",P112&lt;&gt;""),"Alta",IF(OR(N112&lt;&gt;"",O112&lt;&gt;"",P112&lt;&gt;""),"Média","Baixa")))</x:f>
        <x:v>N/A</x:v>
      </x:c>
      <x:c r="Z112" t="str"/>
      <x:c r="AA112" t="str">
        <x:f>IF(A112="The View","Manter",IF(J112&lt;2026,"Atualizar preço/status",IF(Y112="Baixa","Adicionar fonte/URL/data",IF(W112&lt;0.55,"Rever comparabilidade","OK"))))</x:f>
        <x:v>Manter</x:v>
      </x:c>
      <x:c r="AB112" t="str">
        <x:f>IF(A112="The View","",IF(OR(J112&lt;2026,Y112="Baixa"),"Alta",IF(W112&lt;0.55,"Média","Baixa")))</x:f>
      </x:c>
    </x:row>
    <x:row r="113">
      <x:c r="A113" s="1" t="s">
        <x:v>99</x:v>
      </x:c>
      <x:c r="B113" s="1" t="s">
        <x:v>106</x:v>
      </x:c>
      <x:c r="C113" s="1">
        <x:v>1</x:v>
      </x:c>
      <x:c r="D113" s="1" t="s">
        <x:v>107</x:v>
      </x:c>
      <x:c r="E113" s="1">
        <x:v>3</x:v>
      </x:c>
      <x:c r="F113" s="24">
        <x:v>131.19999999999999</x:v>
      </x:c>
      <x:c r="G113" s="24">
        <x:v>31.68</x:v>
      </x:c>
      <x:c r="H113" s="24">
        <x:v>162.88</x:v>
      </x:c>
      <x:c r="I113" s="26">
        <x:v>600000</x:v>
      </x:c>
      <x:c r="J113" s="1">
        <x:v>2026</x:v>
      </x:c>
      <x:c r="K113" s="26">
        <x:v>4573.1707317073178</x:v>
      </x:c>
      <x:c r="L113" s="26">
        <x:v>3683.6935166994108</x:v>
      </x:c>
      <x:c r="M113" t="str">
        <x:f>IF(A113="The View","Projeto",IF(J113&gt;=2026,"Ativo",IF(J113=2025,"Rever","Histórico")))</x:f>
        <x:v>Projeto</x:v>
      </x:c>
      <x:c r="N113" t="str"/>
      <x:c r="O113" t="str"/>
      <x:c r="P113" s="30" t="str"/>
      <x:c r="Q113" t="str">
        <x:f>IF(A113="The View","Projeto",IF(A113="Le Parc","Benchmark local",IF(OR(A113="Del Mar Waterfront",A113="Aura Living"),"Premium waterfront/marina","A classificar")))</x:f>
        <x:v>Projeto</x:v>
      </x:c>
      <x:c r="R113" t="str">
        <x:v>Nova construção</x:v>
      </x:c>
      <x:c r="S113" t="str"/>
      <x:c r="T113" t="str"/>
      <x:c r="U113" t="str"/>
      <x:c r="V113" t="str"/>
      <x:c r="W113" s="28" t="n">
        <x:f>IF(A113="The View",1,MAX(0.25,MIN(1,IF(J113&gt;=2026,1,IF(J113=2025,0.8,IF(J113=2024,0.45,0.3)))*IF(Q113="Premium waterfront/marina",1,IF(Q113="Benchmark local",0.7,0.6))*IF(M113="Vendido",0.65,IF(M113="Reservado",0.8,IF(M113="Histórico",0.55,1))))))</x:f>
        <x:v>1</x:v>
      </x:c>
      <x:c r="X113" t="str">
        <x:f>IF(A113="The View","Projeto",IF(W113&gt;=0.85,"A · Premium ativo",IF(W113&gt;=0.55,"B · Benchmark local","C · Histórico/secundário")))</x:f>
        <x:v>Projeto</x:v>
      </x:c>
      <x:c r="Y113" t="str">
        <x:f>IF(A113="The View","N/A",IF(AND(N113&lt;&gt;"",O113&lt;&gt;"",P113&lt;&gt;""),"Alta",IF(OR(N113&lt;&gt;"",O113&lt;&gt;"",P113&lt;&gt;""),"Média","Baixa")))</x:f>
        <x:v>N/A</x:v>
      </x:c>
      <x:c r="Z113" t="str"/>
      <x:c r="AA113" t="str">
        <x:f>IF(A113="The View","Manter",IF(J113&lt;2026,"Atualizar preço/status",IF(Y113="Baixa","Adicionar fonte/URL/data",IF(W113&lt;0.55,"Rever comparabilidade","OK"))))</x:f>
        <x:v>Manter</x:v>
      </x:c>
      <x:c r="AB113" t="str">
        <x:f>IF(A113="The View","",IF(OR(J113&lt;2026,Y113="Baixa"),"Alta",IF(W113&lt;0.55,"Média","Baixa")))</x:f>
      </x:c>
    </x:row>
    <x:row r="114">
      <x:c r="A114" s="1" t="s">
        <x:v>99</x:v>
      </x:c>
      <x:c r="B114" s="1" t="s">
        <x:v>108</x:v>
      </x:c>
      <x:c r="C114" s="1">
        <x:v>1</x:v>
      </x:c>
      <x:c r="D114" s="1" t="s">
        <x:v>15</x:v>
      </x:c>
      <x:c r="E114" s="1">
        <x:v>3</x:v>
      </x:c>
      <x:c r="F114" s="24">
        <x:v>105.04</x:v>
      </x:c>
      <x:c r="G114" s="24">
        <x:v>39.29</x:v>
      </x:c>
      <x:c r="H114" s="24">
        <x:v>144.33000000000001</x:v>
      </x:c>
      <x:c r="I114" s="26">
        <x:v>507000</x:v>
      </x:c>
      <x:c r="J114" s="1">
        <x:v>2026</x:v>
      </x:c>
      <x:c r="K114" s="26">
        <x:v>4826.7326732673264</x:v>
      </x:c>
      <x:c r="L114" s="26">
        <x:v>3512.783205154853</x:v>
      </x:c>
      <x:c r="M114" t="str">
        <x:f>IF(A114="The View","Projeto",IF(J114&gt;=2026,"Ativo",IF(J114=2025,"Rever","Histórico")))</x:f>
        <x:v>Projeto</x:v>
      </x:c>
      <x:c r="N114" t="str"/>
      <x:c r="O114" t="str"/>
      <x:c r="P114" s="30" t="str"/>
      <x:c r="Q114" t="str">
        <x:f>IF(A114="The View","Projeto",IF(A114="Le Parc","Benchmark local",IF(OR(A114="Del Mar Waterfront",A114="Aura Living"),"Premium waterfront/marina","A classificar")))</x:f>
        <x:v>Projeto</x:v>
      </x:c>
      <x:c r="R114" t="str">
        <x:v>Nova construção</x:v>
      </x:c>
      <x:c r="S114" t="str"/>
      <x:c r="T114" t="str"/>
      <x:c r="U114" t="str"/>
      <x:c r="V114" t="str"/>
      <x:c r="W114" s="28" t="n">
        <x:f>IF(A114="The View",1,MAX(0.25,MIN(1,IF(J114&gt;=2026,1,IF(J114=2025,0.8,IF(J114=2024,0.45,0.3)))*IF(Q114="Premium waterfront/marina",1,IF(Q114="Benchmark local",0.7,0.6))*IF(M114="Vendido",0.65,IF(M114="Reservado",0.8,IF(M114="Histórico",0.55,1))))))</x:f>
        <x:v>1</x:v>
      </x:c>
      <x:c r="X114" t="str">
        <x:f>IF(A114="The View","Projeto",IF(W114&gt;=0.85,"A · Premium ativo",IF(W114&gt;=0.55,"B · Benchmark local","C · Histórico/secundário")))</x:f>
        <x:v>Projeto</x:v>
      </x:c>
      <x:c r="Y114" t="str">
        <x:f>IF(A114="The View","N/A",IF(AND(N114&lt;&gt;"",O114&lt;&gt;"",P114&lt;&gt;""),"Alta",IF(OR(N114&lt;&gt;"",O114&lt;&gt;"",P114&lt;&gt;""),"Média","Baixa")))</x:f>
        <x:v>N/A</x:v>
      </x:c>
      <x:c r="Z114" t="str"/>
      <x:c r="AA114" t="str">
        <x:f>IF(A114="The View","Manter",IF(J114&lt;2026,"Atualizar preço/status",IF(Y114="Baixa","Adicionar fonte/URL/data",IF(W114&lt;0.55,"Rever comparabilidade","OK"))))</x:f>
        <x:v>Manter</x:v>
      </x:c>
      <x:c r="AB114" t="str">
        <x:f>IF(A114="The View","",IF(OR(J114&lt;2026,Y114="Baixa"),"Alta",IF(W114&lt;0.55,"Média","Baixa")))</x:f>
      </x:c>
    </x:row>
    <x:row r="115">
      <x:c r="A115" s="1" t="s">
        <x:v>99</x:v>
      </x:c>
      <x:c r="B115" s="1" t="s">
        <x:v>109</x:v>
      </x:c>
      <x:c r="C115" s="1">
        <x:v>1</x:v>
      </x:c>
      <x:c r="D115" s="1" t="s">
        <x:v>25</x:v>
      </x:c>
      <x:c r="E115" s="1">
        <x:v>3</x:v>
      </x:c>
      <x:c r="F115" s="24">
        <x:v>53.33</x:v>
      </x:c>
      <x:c r="G115" s="24">
        <x:v>20.67</x:v>
      </x:c>
      <x:c r="H115" s="24">
        <x:v>74</x:v>
      </x:c>
      <x:c r="I115" s="26">
        <x:v>380000</x:v>
      </x:c>
      <x:c r="J115" s="1">
        <x:v>2026</x:v>
      </x:c>
      <x:c r="K115" s="26">
        <x:v>7125.4453403337711</x:v>
      </x:c>
      <x:c r="L115" s="26">
        <x:v>5135.135135135135</x:v>
      </x:c>
      <x:c r="M115" t="str">
        <x:f>IF(A115="The View","Projeto",IF(J115&gt;=2026,"Ativo",IF(J115=2025,"Rever","Histórico")))</x:f>
        <x:v>Projeto</x:v>
      </x:c>
      <x:c r="N115" t="str"/>
      <x:c r="O115" t="str"/>
      <x:c r="P115" s="30" t="str"/>
      <x:c r="Q115" t="str">
        <x:f>IF(A115="The View","Projeto",IF(A115="Le Parc","Benchmark local",IF(OR(A115="Del Mar Waterfront",A115="Aura Living"),"Premium waterfront/marina","A classificar")))</x:f>
        <x:v>Projeto</x:v>
      </x:c>
      <x:c r="R115" t="str">
        <x:v>Nova construção</x:v>
      </x:c>
      <x:c r="S115" t="str"/>
      <x:c r="T115" t="str"/>
      <x:c r="U115" t="str"/>
      <x:c r="V115" t="str"/>
      <x:c r="W115" s="28" t="n">
        <x:f>IF(A115="The View",1,MAX(0.25,MIN(1,IF(J115&gt;=2026,1,IF(J115=2025,0.8,IF(J115=2024,0.45,0.3)))*IF(Q115="Premium waterfront/marina",1,IF(Q115="Benchmark local",0.7,0.6))*IF(M115="Vendido",0.65,IF(M115="Reservado",0.8,IF(M115="Histórico",0.55,1))))))</x:f>
        <x:v>1</x:v>
      </x:c>
      <x:c r="X115" t="str">
        <x:f>IF(A115="The View","Projeto",IF(W115&gt;=0.85,"A · Premium ativo",IF(W115&gt;=0.55,"B · Benchmark local","C · Histórico/secundário")))</x:f>
        <x:v>Projeto</x:v>
      </x:c>
      <x:c r="Y115" t="str">
        <x:f>IF(A115="The View","N/A",IF(AND(N115&lt;&gt;"",O115&lt;&gt;"",P115&lt;&gt;""),"Alta",IF(OR(N115&lt;&gt;"",O115&lt;&gt;"",P115&lt;&gt;""),"Média","Baixa")))</x:f>
        <x:v>N/A</x:v>
      </x:c>
      <x:c r="Z115" t="str"/>
      <x:c r="AA115" t="str">
        <x:f>IF(A115="The View","Manter",IF(J115&lt;2026,"Atualizar preço/status",IF(Y115="Baixa","Adicionar fonte/URL/data",IF(W115&lt;0.55,"Rever comparabilidade","OK"))))</x:f>
        <x:v>Manter</x:v>
      </x:c>
      <x:c r="AB115" t="str">
        <x:f>IF(A115="The View","",IF(OR(J115&lt;2026,Y115="Baixa"),"Alta",IF(W115&lt;0.55,"Média","Baixa")))</x:f>
      </x:c>
    </x:row>
    <x:row r="116">
      <x:c r="A116" s="1" t="s">
        <x:v>99</x:v>
      </x:c>
      <x:c r="B116" s="1" t="s">
        <x:v>110</x:v>
      </x:c>
      <x:c r="C116" s="1">
        <x:v>2</x:v>
      </x:c>
      <x:c r="D116" s="1" t="s">
        <x:v>47</x:v>
      </x:c>
      <x:c r="E116" s="1">
        <x:v>1</x:v>
      </x:c>
      <x:c r="F116" s="24">
        <x:v>157.13999999999999</x:v>
      </x:c>
      <x:c r="G116" s="24">
        <x:v>64.62</x:v>
      </x:c>
      <x:c r="H116" s="24">
        <x:v>221.76</x:v>
      </x:c>
      <x:c r="I116" s="26">
        <x:v>880000</x:v>
      </x:c>
      <x:c r="J116" s="1">
        <x:v>2026</x:v>
      </x:c>
      <x:c r="K116" s="26">
        <x:v>5600.1018200330918</x:v>
      </x:c>
      <x:c r="L116" s="26">
        <x:v>3968.2539682539682</x:v>
      </x:c>
      <x:c r="M116" t="str">
        <x:f>IF(A116="The View","Projeto",IF(J116&gt;=2026,"Ativo",IF(J116=2025,"Rever","Histórico")))</x:f>
        <x:v>Projeto</x:v>
      </x:c>
      <x:c r="N116" t="str"/>
      <x:c r="O116" t="str"/>
      <x:c r="P116" s="30" t="str"/>
      <x:c r="Q116" t="str">
        <x:f>IF(A116="The View","Projeto",IF(A116="Le Parc","Benchmark local",IF(OR(A116="Del Mar Waterfront",A116="Aura Living"),"Premium waterfront/marina","A classificar")))</x:f>
        <x:v>Projeto</x:v>
      </x:c>
      <x:c r="R116" t="str">
        <x:v>Nova construção</x:v>
      </x:c>
      <x:c r="S116" t="str"/>
      <x:c r="T116" t="str"/>
      <x:c r="U116" t="str"/>
      <x:c r="V116" t="str"/>
      <x:c r="W116" s="28" t="n">
        <x:f>IF(A116="The View",1,MAX(0.25,MIN(1,IF(J116&gt;=2026,1,IF(J116=2025,0.8,IF(J116=2024,0.45,0.3)))*IF(Q116="Premium waterfront/marina",1,IF(Q116="Benchmark local",0.7,0.6))*IF(M116="Vendido",0.65,IF(M116="Reservado",0.8,IF(M116="Histórico",0.55,1))))))</x:f>
        <x:v>1</x:v>
      </x:c>
      <x:c r="X116" t="str">
        <x:f>IF(A116="The View","Projeto",IF(W116&gt;=0.85,"A · Premium ativo",IF(W116&gt;=0.55,"B · Benchmark local","C · Histórico/secundário")))</x:f>
        <x:v>Projeto</x:v>
      </x:c>
      <x:c r="Y116" t="str">
        <x:f>IF(A116="The View","N/A",IF(AND(N116&lt;&gt;"",O116&lt;&gt;"",P116&lt;&gt;""),"Alta",IF(OR(N116&lt;&gt;"",O116&lt;&gt;"",P116&lt;&gt;""),"Média","Baixa")))</x:f>
        <x:v>N/A</x:v>
      </x:c>
      <x:c r="Z116" t="str"/>
      <x:c r="AA116" t="str">
        <x:f>IF(A116="The View","Manter",IF(J116&lt;2026,"Atualizar preço/status",IF(Y116="Baixa","Adicionar fonte/URL/data",IF(W116&lt;0.55,"Rever comparabilidade","OK"))))</x:f>
        <x:v>Manter</x:v>
      </x:c>
      <x:c r="AB116" t="str">
        <x:f>IF(A116="The View","",IF(OR(J116&lt;2026,Y116="Baixa"),"Alta",IF(W116&lt;0.55,"Média","Baixa")))</x:f>
      </x:c>
    </x:row>
    <x:row r="117">
      <x:c r="A117" s="1" t="s">
        <x:v>99</x:v>
      </x:c>
      <x:c r="B117" s="1" t="s">
        <x:v>111</x:v>
      </x:c>
      <x:c r="C117" s="1">
        <x:v>2</x:v>
      </x:c>
      <x:c r="D117" s="1" t="s">
        <x:v>15</x:v>
      </x:c>
      <x:c r="E117" s="1">
        <x:v>2</x:v>
      </x:c>
      <x:c r="F117" s="24">
        <x:v>124.52</x:v>
      </x:c>
      <x:c r="G117" s="24">
        <x:v>40.97</x:v>
      </x:c>
      <x:c r="H117" s="24">
        <x:v>165.49</x:v>
      </x:c>
      <x:c r="I117" s="26">
        <x:v>610000</x:v>
      </x:c>
      <x:c r="J117" s="1">
        <x:v>2026</x:v>
      </x:c>
      <x:c r="K117" s="26">
        <x:v>4898.8114359139099</x:v>
      </x:c>
      <x:c r="L117" s="26">
        <x:v>3686.023324672185</x:v>
      </x:c>
      <x:c r="M117" t="str">
        <x:f>IF(A117="The View","Projeto",IF(J117&gt;=2026,"Ativo",IF(J117=2025,"Rever","Histórico")))</x:f>
        <x:v>Projeto</x:v>
      </x:c>
      <x:c r="N117" t="str"/>
      <x:c r="O117" t="str"/>
      <x:c r="P117" s="30" t="str"/>
      <x:c r="Q117" t="str">
        <x:f>IF(A117="The View","Projeto",IF(A117="Le Parc","Benchmark local",IF(OR(A117="Del Mar Waterfront",A117="Aura Living"),"Premium waterfront/marina","A classificar")))</x:f>
        <x:v>Projeto</x:v>
      </x:c>
      <x:c r="R117" t="str">
        <x:v>Nova construção</x:v>
      </x:c>
      <x:c r="S117" t="str"/>
      <x:c r="T117" t="str"/>
      <x:c r="U117" t="str"/>
      <x:c r="V117" t="str"/>
      <x:c r="W117" s="28" t="n">
        <x:f>IF(A117="The View",1,MAX(0.25,MIN(1,IF(J117&gt;=2026,1,IF(J117=2025,0.8,IF(J117=2024,0.45,0.3)))*IF(Q117="Premium waterfront/marina",1,IF(Q117="Benchmark local",0.7,0.6))*IF(M117="Vendido",0.65,IF(M117="Reservado",0.8,IF(M117="Histórico",0.55,1))))))</x:f>
        <x:v>1</x:v>
      </x:c>
      <x:c r="X117" t="str">
        <x:f>IF(A117="The View","Projeto",IF(W117&gt;=0.85,"A · Premium ativo",IF(W117&gt;=0.55,"B · Benchmark local","C · Histórico/secundário")))</x:f>
        <x:v>Projeto</x:v>
      </x:c>
      <x:c r="Y117" t="str">
        <x:f>IF(A117="The View","N/A",IF(AND(N117&lt;&gt;"",O117&lt;&gt;"",P117&lt;&gt;""),"Alta",IF(OR(N117&lt;&gt;"",O117&lt;&gt;"",P117&lt;&gt;""),"Média","Baixa")))</x:f>
        <x:v>N/A</x:v>
      </x:c>
      <x:c r="Z117" t="str"/>
      <x:c r="AA117" t="str">
        <x:f>IF(A117="The View","Manter",IF(J117&lt;2026,"Atualizar preço/status",IF(Y117="Baixa","Adicionar fonte/URL/data",IF(W117&lt;0.55,"Rever comparabilidade","OK"))))</x:f>
        <x:v>Manter</x:v>
      </x:c>
      <x:c r="AB117" t="str">
        <x:f>IF(A117="The View","",IF(OR(J117&lt;2026,Y117="Baixa"),"Alta",IF(W117&lt;0.55,"Média","Baixa")))</x:f>
      </x:c>
    </x:row>
    <x:row r="118">
      <x:c r="A118" s="1" t="s">
        <x:v>99</x:v>
      </x:c>
      <x:c r="B118" s="1" t="s">
        <x:v>112</x:v>
      </x:c>
      <x:c r="C118" s="1">
        <x:v>2</x:v>
      </x:c>
      <x:c r="D118" s="1" t="s">
        <x:v>25</x:v>
      </x:c>
      <x:c r="E118" s="1">
        <x:v>4</x:v>
      </x:c>
      <x:c r="F118" s="24">
        <x:v>76.7</x:v>
      </x:c>
      <x:c r="G118" s="24">
        <x:v>16.96</x:v>
      </x:c>
      <x:c r="H118" s="24">
        <x:v>93.66</x:v>
      </x:c>
      <x:c r="I118" s="26">
        <x:v>387000</x:v>
      </x:c>
      <x:c r="J118" s="1">
        <x:v>2026</x:v>
      </x:c>
      <x:c r="K118" s="26">
        <x:v>5045.6323337679269</x:v>
      </x:c>
      <x:c r="L118" s="26">
        <x:v>4131.9666880205004</x:v>
      </x:c>
      <x:c r="M118" t="str">
        <x:f>IF(A118="The View","Projeto",IF(J118&gt;=2026,"Ativo",IF(J118=2025,"Rever","Histórico")))</x:f>
        <x:v>Projeto</x:v>
      </x:c>
      <x:c r="N118" t="str"/>
      <x:c r="O118" t="str"/>
      <x:c r="P118" s="30" t="str"/>
      <x:c r="Q118" t="str">
        <x:f>IF(A118="The View","Projeto",IF(A118="Le Parc","Benchmark local",IF(OR(A118="Del Mar Waterfront",A118="Aura Living"),"Premium waterfront/marina","A classificar")))</x:f>
        <x:v>Projeto</x:v>
      </x:c>
      <x:c r="R118" t="str">
        <x:v>Nova construção</x:v>
      </x:c>
      <x:c r="S118" t="str"/>
      <x:c r="T118" t="str"/>
      <x:c r="U118" t="str"/>
      <x:c r="V118" t="str"/>
      <x:c r="W118" s="28" t="n">
        <x:f>IF(A118="The View",1,MAX(0.25,MIN(1,IF(J118&gt;=2026,1,IF(J118=2025,0.8,IF(J118=2024,0.45,0.3)))*IF(Q118="Premium waterfront/marina",1,IF(Q118="Benchmark local",0.7,0.6))*IF(M118="Vendido",0.65,IF(M118="Reservado",0.8,IF(M118="Histórico",0.55,1))))))</x:f>
        <x:v>1</x:v>
      </x:c>
      <x:c r="X118" t="str">
        <x:f>IF(A118="The View","Projeto",IF(W118&gt;=0.85,"A · Premium ativo",IF(W118&gt;=0.55,"B · Benchmark local","C · Histórico/secundário")))</x:f>
        <x:v>Projeto</x:v>
      </x:c>
      <x:c r="Y118" t="str">
        <x:f>IF(A118="The View","N/A",IF(AND(N118&lt;&gt;"",O118&lt;&gt;"",P118&lt;&gt;""),"Alta",IF(OR(N118&lt;&gt;"",O118&lt;&gt;"",P118&lt;&gt;""),"Média","Baixa")))</x:f>
        <x:v>N/A</x:v>
      </x:c>
      <x:c r="Z118" t="str"/>
      <x:c r="AA118" t="str">
        <x:f>IF(A118="The View","Manter",IF(J118&lt;2026,"Atualizar preço/status",IF(Y118="Baixa","Adicionar fonte/URL/data",IF(W118&lt;0.55,"Rever comparabilidade","OK"))))</x:f>
        <x:v>Manter</x:v>
      </x:c>
      <x:c r="AB118" t="str">
        <x:f>IF(A118="The View","",IF(OR(J118&lt;2026,Y118="Baixa"),"Alta",IF(W118&lt;0.55,"Média","Baixa")))</x:f>
      </x:c>
    </x:row>
    <x:row r="119">
      <x:c r="A119" s="1" t="s">
        <x:v>99</x:v>
      </x:c>
      <x:c r="B119" s="1" t="s">
        <x:v>113</x:v>
      </x:c>
      <x:c r="C119" s="1">
        <x:v>2</x:v>
      </x:c>
      <x:c r="D119" s="1" t="s">
        <x:v>104</x:v>
      </x:c>
      <x:c r="E119" s="1">
        <x:v>4</x:v>
      </x:c>
      <x:c r="F119" s="24">
        <x:v>90.43</x:v>
      </x:c>
      <x:c r="G119" s="24">
        <x:v>27.07</x:v>
      </x:c>
      <x:c r="H119" s="24">
        <x:v>117.5</x:v>
      </x:c>
      <x:c r="I119" s="26">
        <x:v>428000</x:v>
      </x:c>
      <x:c r="J119" s="1">
        <x:v>2026</x:v>
      </x:c>
      <x:c r="K119" s="26">
        <x:v>4732.942607541745</x:v>
      </x:c>
      <x:c r="L119" s="26">
        <x:v>3642.5531914893618</x:v>
      </x:c>
      <x:c r="M119" t="str">
        <x:f>IF(A119="The View","Projeto",IF(J119&gt;=2026,"Ativo",IF(J119=2025,"Rever","Histórico")))</x:f>
        <x:v>Projeto</x:v>
      </x:c>
      <x:c r="N119" t="str"/>
      <x:c r="O119" t="str"/>
      <x:c r="P119" s="30" t="str"/>
      <x:c r="Q119" t="str">
        <x:f>IF(A119="The View","Projeto",IF(A119="Le Parc","Benchmark local",IF(OR(A119="Del Mar Waterfront",A119="Aura Living"),"Premium waterfront/marina","A classificar")))</x:f>
        <x:v>Projeto</x:v>
      </x:c>
      <x:c r="R119" t="str">
        <x:v>Nova construção</x:v>
      </x:c>
      <x:c r="S119" t="str"/>
      <x:c r="T119" t="str"/>
      <x:c r="U119" t="str"/>
      <x:c r="V119" t="str"/>
      <x:c r="W119" s="28" t="n">
        <x:f>IF(A119="The View",1,MAX(0.25,MIN(1,IF(J119&gt;=2026,1,IF(J119=2025,0.8,IF(J119=2024,0.45,0.3)))*IF(Q119="Premium waterfront/marina",1,IF(Q119="Benchmark local",0.7,0.6))*IF(M119="Vendido",0.65,IF(M119="Reservado",0.8,IF(M119="Histórico",0.55,1))))))</x:f>
        <x:v>1</x:v>
      </x:c>
      <x:c r="X119" t="str">
        <x:f>IF(A119="The View","Projeto",IF(W119&gt;=0.85,"A · Premium ativo",IF(W119&gt;=0.55,"B · Benchmark local","C · Histórico/secundário")))</x:f>
        <x:v>Projeto</x:v>
      </x:c>
      <x:c r="Y119" t="str">
        <x:f>IF(A119="The View","N/A",IF(AND(N119&lt;&gt;"",O119&lt;&gt;"",P119&lt;&gt;""),"Alta",IF(OR(N119&lt;&gt;"",O119&lt;&gt;"",P119&lt;&gt;""),"Média","Baixa")))</x:f>
        <x:v>N/A</x:v>
      </x:c>
      <x:c r="Z119" t="str"/>
      <x:c r="AA119" t="str">
        <x:f>IF(A119="The View","Manter",IF(J119&lt;2026,"Atualizar preço/status",IF(Y119="Baixa","Adicionar fonte/URL/data",IF(W119&lt;0.55,"Rever comparabilidade","OK"))))</x:f>
        <x:v>Manter</x:v>
      </x:c>
      <x:c r="AB119" t="str">
        <x:f>IF(A119="The View","",IF(OR(J119&lt;2026,Y119="Baixa"),"Alta",IF(W119&lt;0.55,"Média","Baixa")))</x:f>
      </x:c>
    </x:row>
    <x:row r="120">
      <x:c r="A120" s="1" t="s">
        <x:v>99</x:v>
      </x:c>
      <x:c r="B120" s="1" t="s">
        <x:v>114</x:v>
      </x:c>
      <x:c r="C120" s="1">
        <x:v>2</x:v>
      </x:c>
      <x:c r="D120" s="1" t="s">
        <x:v>104</x:v>
      </x:c>
      <x:c r="E120" s="1">
        <x:v>4</x:v>
      </x:c>
      <x:c r="F120" s="24">
        <x:v>87</x:v>
      </x:c>
      <x:c r="G120" s="24">
        <x:v>22.5</x:v>
      </x:c>
      <x:c r="H120" s="24">
        <x:v>109.5</x:v>
      </x:c>
      <x:c r="I120" s="26">
        <x:v>413000</x:v>
      </x:c>
      <x:c r="J120" s="1">
        <x:v>2026</x:v>
      </x:c>
      <x:c r="K120" s="26">
        <x:v>4747.1264367816093</x:v>
      </x:c>
      <x:c r="L120" s="26">
        <x:v>3771.6894977168949</x:v>
      </x:c>
      <x:c r="M120" t="str">
        <x:f>IF(A120="The View","Projeto",IF(J120&gt;=2026,"Ativo",IF(J120=2025,"Rever","Histórico")))</x:f>
        <x:v>Projeto</x:v>
      </x:c>
      <x:c r="N120" t="str"/>
      <x:c r="O120" t="str"/>
      <x:c r="P120" s="30" t="str"/>
      <x:c r="Q120" t="str">
        <x:f>IF(A120="The View","Projeto",IF(A120="Le Parc","Benchmark local",IF(OR(A120="Del Mar Waterfront",A120="Aura Living"),"Premium waterfront/marina","A classificar")))</x:f>
        <x:v>Projeto</x:v>
      </x:c>
      <x:c r="R120" t="str">
        <x:v>Nova construção</x:v>
      </x:c>
      <x:c r="S120" t="str"/>
      <x:c r="T120" t="str"/>
      <x:c r="U120" t="str"/>
      <x:c r="V120" t="str"/>
      <x:c r="W120" s="28" t="n">
        <x:f>IF(A120="The View",1,MAX(0.25,MIN(1,IF(J120&gt;=2026,1,IF(J120=2025,0.8,IF(J120=2024,0.45,0.3)))*IF(Q120="Premium waterfront/marina",1,IF(Q120="Benchmark local",0.7,0.6))*IF(M120="Vendido",0.65,IF(M120="Reservado",0.8,IF(M120="Histórico",0.55,1))))))</x:f>
        <x:v>1</x:v>
      </x:c>
      <x:c r="X120" t="str">
        <x:f>IF(A120="The View","Projeto",IF(W120&gt;=0.85,"A · Premium ativo",IF(W120&gt;=0.55,"B · Benchmark local","C · Histórico/secundário")))</x:f>
        <x:v>Projeto</x:v>
      </x:c>
      <x:c r="Y120" t="str">
        <x:f>IF(A120="The View","N/A",IF(AND(N120&lt;&gt;"",O120&lt;&gt;"",P120&lt;&gt;""),"Alta",IF(OR(N120&lt;&gt;"",O120&lt;&gt;"",P120&lt;&gt;""),"Média","Baixa")))</x:f>
        <x:v>N/A</x:v>
      </x:c>
      <x:c r="Z120" t="str"/>
      <x:c r="AA120" t="str">
        <x:f>IF(A120="The View","Manter",IF(J120&lt;2026,"Atualizar preço/status",IF(Y120="Baixa","Adicionar fonte/URL/data",IF(W120&lt;0.55,"Rever comparabilidade","OK"))))</x:f>
        <x:v>Manter</x:v>
      </x:c>
      <x:c r="AB120" t="str">
        <x:f>IF(A120="The View","",IF(OR(J120&lt;2026,Y120="Baixa"),"Alta",IF(W120&lt;0.55,"Média","Baixa")))</x:f>
      </x:c>
    </x:row>
    <x:row r="121">
      <x:c r="A121" s="1" t="s">
        <x:v>99</x:v>
      </x:c>
      <x:c r="B121" s="1" t="s">
        <x:v>115</x:v>
      </x:c>
      <x:c r="C121" s="1">
        <x:v>2</x:v>
      </x:c>
      <x:c r="D121" s="1" t="s">
        <x:v>15</x:v>
      </x:c>
      <x:c r="E121" s="1">
        <x:v>3</x:v>
      </x:c>
      <x:c r="F121" s="24">
        <x:v>119.59</x:v>
      </x:c>
      <x:c r="G121" s="24">
        <x:v>43.18</x:v>
      </x:c>
      <x:c r="H121" s="24">
        <x:v>162.77000000000001</x:v>
      </x:c>
      <x:c r="I121" s="26">
        <x:v>582000</x:v>
      </x:c>
      <x:c r="J121" s="1">
        <x:v>2026</x:v>
      </x:c>
      <x:c r="K121" s="26">
        <x:v>4866.6276444518771</x:v>
      </x:c>
      <x:c r="L121" s="26">
        <x:v>3575.5974688210358</x:v>
      </x:c>
      <x:c r="M121" t="str">
        <x:f>IF(A121="The View","Projeto",IF(J121&gt;=2026,"Ativo",IF(J121=2025,"Rever","Histórico")))</x:f>
        <x:v>Projeto</x:v>
      </x:c>
      <x:c r="N121" t="str"/>
      <x:c r="O121" t="str"/>
      <x:c r="P121" s="30" t="str"/>
      <x:c r="Q121" t="str">
        <x:f>IF(A121="The View","Projeto",IF(A121="Le Parc","Benchmark local",IF(OR(A121="Del Mar Waterfront",A121="Aura Living"),"Premium waterfront/marina","A classificar")))</x:f>
        <x:v>Projeto</x:v>
      </x:c>
      <x:c r="R121" t="str">
        <x:v>Nova construção</x:v>
      </x:c>
      <x:c r="S121" t="str"/>
      <x:c r="T121" t="str"/>
      <x:c r="U121" t="str"/>
      <x:c r="V121" t="str"/>
      <x:c r="W121" s="28" t="n">
        <x:f>IF(A121="The View",1,MAX(0.25,MIN(1,IF(J121&gt;=2026,1,IF(J121=2025,0.8,IF(J121=2024,0.45,0.3)))*IF(Q121="Premium waterfront/marina",1,IF(Q121="Benchmark local",0.7,0.6))*IF(M121="Vendido",0.65,IF(M121="Reservado",0.8,IF(M121="Histórico",0.55,1))))))</x:f>
        <x:v>1</x:v>
      </x:c>
      <x:c r="X121" t="str">
        <x:f>IF(A121="The View","Projeto",IF(W121&gt;=0.85,"A · Premium ativo",IF(W121&gt;=0.55,"B · Benchmark local","C · Histórico/secundário")))</x:f>
        <x:v>Projeto</x:v>
      </x:c>
      <x:c r="Y121" t="str">
        <x:f>IF(A121="The View","N/A",IF(AND(N121&lt;&gt;"",O121&lt;&gt;"",P121&lt;&gt;""),"Alta",IF(OR(N121&lt;&gt;"",O121&lt;&gt;"",P121&lt;&gt;""),"Média","Baixa")))</x:f>
        <x:v>N/A</x:v>
      </x:c>
      <x:c r="Z121" t="str"/>
      <x:c r="AA121" t="str">
        <x:f>IF(A121="The View","Manter",IF(J121&lt;2026,"Atualizar preço/status",IF(Y121="Baixa","Adicionar fonte/URL/data",IF(W121&lt;0.55,"Rever comparabilidade","OK"))))</x:f>
        <x:v>Manter</x:v>
      </x:c>
      <x:c r="AB121" t="str">
        <x:f>IF(A121="The View","",IF(OR(J121&lt;2026,Y121="Baixa"),"Alta",IF(W121&lt;0.55,"Média","Baixa")))</x:f>
      </x:c>
    </x:row>
    <x:row r="122">
      <x:c r="A122" s="1" t="s">
        <x:v>99</x:v>
      </x:c>
      <x:c r="B122" s="1" t="s">
        <x:v>116</x:v>
      </x:c>
      <x:c r="C122" s="1">
        <x:v>2</x:v>
      </x:c>
      <x:c r="D122" s="1" t="s">
        <x:v>15</x:v>
      </x:c>
      <x:c r="E122" s="1">
        <x:v>3</x:v>
      </x:c>
      <x:c r="F122" s="24">
        <x:v>104.88</x:v>
      </x:c>
      <x:c r="G122" s="24">
        <x:v>39.35</x:v>
      </x:c>
      <x:c r="H122" s="24">
        <x:v>144.22999999999999</x:v>
      </x:c>
      <x:c r="I122" s="26">
        <x:v>561000</x:v>
      </x:c>
      <x:c r="J122" s="1">
        <x:v>2026</x:v>
      </x:c>
      <x:c r="K122" s="26">
        <x:v>5348.9702517162477</x:v>
      </x:c>
      <x:c r="L122" s="26">
        <x:v>3889.6207446439721</x:v>
      </x:c>
      <x:c r="M122" t="str">
        <x:f>IF(A122="The View","Projeto",IF(J122&gt;=2026,"Ativo",IF(J122=2025,"Rever","Histórico")))</x:f>
        <x:v>Projeto</x:v>
      </x:c>
      <x:c r="N122" t="str"/>
      <x:c r="O122" t="str"/>
      <x:c r="P122" s="30" t="str"/>
      <x:c r="Q122" t="str">
        <x:f>IF(A122="The View","Projeto",IF(A122="Le Parc","Benchmark local",IF(OR(A122="Del Mar Waterfront",A122="Aura Living"),"Premium waterfront/marina","A classificar")))</x:f>
        <x:v>Projeto</x:v>
      </x:c>
      <x:c r="R122" t="str">
        <x:v>Nova construção</x:v>
      </x:c>
      <x:c r="S122" t="str"/>
      <x:c r="T122" t="str"/>
      <x:c r="U122" t="str"/>
      <x:c r="V122" t="str"/>
      <x:c r="W122" s="28" t="n">
        <x:f>IF(A122="The View",1,MAX(0.25,MIN(1,IF(J122&gt;=2026,1,IF(J122=2025,0.8,IF(J122=2024,0.45,0.3)))*IF(Q122="Premium waterfront/marina",1,IF(Q122="Benchmark local",0.7,0.6))*IF(M122="Vendido",0.65,IF(M122="Reservado",0.8,IF(M122="Histórico",0.55,1))))))</x:f>
        <x:v>1</x:v>
      </x:c>
      <x:c r="X122" t="str">
        <x:f>IF(A122="The View","Projeto",IF(W122&gt;=0.85,"A · Premium ativo",IF(W122&gt;=0.55,"B · Benchmark local","C · Histórico/secundário")))</x:f>
        <x:v>Projeto</x:v>
      </x:c>
      <x:c r="Y122" t="str">
        <x:f>IF(A122="The View","N/A",IF(AND(N122&lt;&gt;"",O122&lt;&gt;"",P122&lt;&gt;""),"Alta",IF(OR(N122&lt;&gt;"",O122&lt;&gt;"",P122&lt;&gt;""),"Média","Baixa")))</x:f>
        <x:v>N/A</x:v>
      </x:c>
      <x:c r="Z122" t="str"/>
      <x:c r="AA122" t="str">
        <x:f>IF(A122="The View","Manter",IF(J122&lt;2026,"Atualizar preço/status",IF(Y122="Baixa","Adicionar fonte/URL/data",IF(W122&lt;0.55,"Rever comparabilidade","OK"))))</x:f>
        <x:v>Manter</x:v>
      </x:c>
      <x:c r="AB122" t="str">
        <x:f>IF(A122="The View","",IF(OR(J122&lt;2026,Y122="Baixa"),"Alta",IF(W122&lt;0.55,"Média","Baixa")))</x:f>
      </x:c>
    </x:row>
    <x:row r="123">
      <x:c r="A123" s="1" t="s">
        <x:v>99</x:v>
      </x:c>
      <x:c r="B123" s="1" t="s">
        <x:v>117</x:v>
      </x:c>
      <x:c r="C123" s="1">
        <x:v>3</x:v>
      </x:c>
      <x:c r="D123" s="1" t="s">
        <x:v>47</x:v>
      </x:c>
      <x:c r="E123" s="1">
        <x:v>1</x:v>
      </x:c>
      <x:c r="F123" s="24">
        <x:v>158</x:v>
      </x:c>
      <x:c r="G123" s="24">
        <x:v>65.349999999999994</x:v>
      </x:c>
      <x:c r="H123" s="24">
        <x:v>223.35</x:v>
      </x:c>
      <x:c r="I123" s="26">
        <x:v>950000</x:v>
      </x:c>
      <x:c r="J123" s="1">
        <x:v>2026</x:v>
      </x:c>
      <x:c r="K123" s="26">
        <x:v>6012.658227848101</x:v>
      </x:c>
      <x:c r="L123" s="26">
        <x:v>4253.4139243340051</x:v>
      </x:c>
      <x:c r="M123" t="str">
        <x:f>IF(A123="The View","Projeto",IF(J123&gt;=2026,"Ativo",IF(J123=2025,"Rever","Histórico")))</x:f>
        <x:v>Projeto</x:v>
      </x:c>
      <x:c r="N123" t="str"/>
      <x:c r="O123" t="str"/>
      <x:c r="P123" s="30" t="str"/>
      <x:c r="Q123" t="str">
        <x:f>IF(A123="The View","Projeto",IF(A123="Le Parc","Benchmark local",IF(OR(A123="Del Mar Waterfront",A123="Aura Living"),"Premium waterfront/marina","A classificar")))</x:f>
        <x:v>Projeto</x:v>
      </x:c>
      <x:c r="R123" t="str">
        <x:v>Nova construção</x:v>
      </x:c>
      <x:c r="S123" t="str"/>
      <x:c r="T123" t="str"/>
      <x:c r="U123" t="str"/>
      <x:c r="V123" t="str"/>
      <x:c r="W123" s="28" t="n">
        <x:f>IF(A123="The View",1,MAX(0.25,MIN(1,IF(J123&gt;=2026,1,IF(J123=2025,0.8,IF(J123=2024,0.45,0.3)))*IF(Q123="Premium waterfront/marina",1,IF(Q123="Benchmark local",0.7,0.6))*IF(M123="Vendido",0.65,IF(M123="Reservado",0.8,IF(M123="Histórico",0.55,1))))))</x:f>
        <x:v>1</x:v>
      </x:c>
      <x:c r="X123" t="str">
        <x:f>IF(A123="The View","Projeto",IF(W123&gt;=0.85,"A · Premium ativo",IF(W123&gt;=0.55,"B · Benchmark local","C · Histórico/secundário")))</x:f>
        <x:v>Projeto</x:v>
      </x:c>
      <x:c r="Y123" t="str">
        <x:f>IF(A123="The View","N/A",IF(AND(N123&lt;&gt;"",O123&lt;&gt;"",P123&lt;&gt;""),"Alta",IF(OR(N123&lt;&gt;"",O123&lt;&gt;"",P123&lt;&gt;""),"Média","Baixa")))</x:f>
        <x:v>N/A</x:v>
      </x:c>
      <x:c r="Z123" t="str"/>
      <x:c r="AA123" t="str">
        <x:f>IF(A123="The View","Manter",IF(J123&lt;2026,"Atualizar preço/status",IF(Y123="Baixa","Adicionar fonte/URL/data",IF(W123&lt;0.55,"Rever comparabilidade","OK"))))</x:f>
        <x:v>Manter</x:v>
      </x:c>
      <x:c r="AB123" t="str">
        <x:f>IF(A123="The View","",IF(OR(J123&lt;2026,Y123="Baixa"),"Alta",IF(W123&lt;0.55,"Média","Baixa")))</x:f>
      </x:c>
    </x:row>
    <x:row r="124">
      <x:c r="A124" s="1" t="s">
        <x:v>99</x:v>
      </x:c>
      <x:c r="B124" s="1" t="s">
        <x:v>118</x:v>
      </x:c>
      <x:c r="C124" s="1">
        <x:v>3</x:v>
      </x:c>
      <x:c r="D124" s="1" t="s">
        <x:v>15</x:v>
      </x:c>
      <x:c r="E124" s="1">
        <x:v>2</x:v>
      </x:c>
      <x:c r="F124" s="24">
        <x:v>126.7</x:v>
      </x:c>
      <x:c r="G124" s="24">
        <x:v>41.5</x:v>
      </x:c>
      <x:c r="H124" s="24">
        <x:v>168.2</x:v>
      </x:c>
      <x:c r="I124" s="26">
        <x:v>622000</x:v>
      </x:c>
      <x:c r="J124" s="1">
        <x:v>2026</x:v>
      </x:c>
      <x:c r="K124" s="26">
        <x:v>4909.2344119968429</x:v>
      </x:c>
      <x:c r="L124" s="26">
        <x:v>3697.9785969084428</x:v>
      </x:c>
      <x:c r="M124" t="str">
        <x:f>IF(A124="The View","Projeto",IF(J124&gt;=2026,"Ativo",IF(J124=2025,"Rever","Histórico")))</x:f>
        <x:v>Projeto</x:v>
      </x:c>
      <x:c r="N124" t="str"/>
      <x:c r="O124" t="str"/>
      <x:c r="P124" s="30" t="str"/>
      <x:c r="Q124" t="str">
        <x:f>IF(A124="The View","Projeto",IF(A124="Le Parc","Benchmark local",IF(OR(A124="Del Mar Waterfront",A124="Aura Living"),"Premium waterfront/marina","A classificar")))</x:f>
        <x:v>Projeto</x:v>
      </x:c>
      <x:c r="R124" t="str">
        <x:v>Nova construção</x:v>
      </x:c>
      <x:c r="S124" t="str"/>
      <x:c r="T124" t="str"/>
      <x:c r="U124" t="str"/>
      <x:c r="V124" t="str"/>
      <x:c r="W124" s="28" t="n">
        <x:f>IF(A124="The View",1,MAX(0.25,MIN(1,IF(J124&gt;=2026,1,IF(J124=2025,0.8,IF(J124=2024,0.45,0.3)))*IF(Q124="Premium waterfront/marina",1,IF(Q124="Benchmark local",0.7,0.6))*IF(M124="Vendido",0.65,IF(M124="Reservado",0.8,IF(M124="Histórico",0.55,1))))))</x:f>
        <x:v>1</x:v>
      </x:c>
      <x:c r="X124" t="str">
        <x:f>IF(A124="The View","Projeto",IF(W124&gt;=0.85,"A · Premium ativo",IF(W124&gt;=0.55,"B · Benchmark local","C · Histórico/secundário")))</x:f>
        <x:v>Projeto</x:v>
      </x:c>
      <x:c r="Y124" t="str">
        <x:f>IF(A124="The View","N/A",IF(AND(N124&lt;&gt;"",O124&lt;&gt;"",P124&lt;&gt;""),"Alta",IF(OR(N124&lt;&gt;"",O124&lt;&gt;"",P124&lt;&gt;""),"Média","Baixa")))</x:f>
        <x:v>N/A</x:v>
      </x:c>
      <x:c r="Z124" t="str"/>
      <x:c r="AA124" t="str">
        <x:f>IF(A124="The View","Manter",IF(J124&lt;2026,"Atualizar preço/status",IF(Y124="Baixa","Adicionar fonte/URL/data",IF(W124&lt;0.55,"Rever comparabilidade","OK"))))</x:f>
        <x:v>Manter</x:v>
      </x:c>
      <x:c r="AB124" t="str">
        <x:f>IF(A124="The View","",IF(OR(J124&lt;2026,Y124="Baixa"),"Alta",IF(W124&lt;0.55,"Média","Baixa")))</x:f>
      </x:c>
    </x:row>
    <x:row r="125">
      <x:c r="A125" s="1" t="s">
        <x:v>99</x:v>
      </x:c>
      <x:c r="B125" s="1" t="s">
        <x:v>119</x:v>
      </x:c>
      <x:c r="C125" s="1">
        <x:v>3</x:v>
      </x:c>
      <x:c r="D125" s="1" t="s">
        <x:v>25</x:v>
      </x:c>
      <x:c r="E125" s="1">
        <x:v>4</x:v>
      </x:c>
      <x:c r="F125" s="24">
        <x:v>77.81</x:v>
      </x:c>
      <x:c r="G125" s="24">
        <x:v>16.41</x:v>
      </x:c>
      <x:c r="H125" s="24">
        <x:v>94.22</x:v>
      </x:c>
      <x:c r="I125" s="26">
        <x:v>393000</x:v>
      </x:c>
      <x:c r="J125" s="1">
        <x:v>2026</x:v>
      </x:c>
      <x:c r="K125" s="26">
        <x:v>5050.764683202673</x:v>
      </x:c>
      <x:c r="L125" s="26">
        <x:v>4171.0889407769046</x:v>
      </x:c>
      <x:c r="M125" t="str">
        <x:f>IF(A125="The View","Projeto",IF(J125&gt;=2026,"Ativo",IF(J125=2025,"Rever","Histórico")))</x:f>
        <x:v>Projeto</x:v>
      </x:c>
      <x:c r="N125" t="str"/>
      <x:c r="O125" t="str"/>
      <x:c r="P125" s="30" t="str"/>
      <x:c r="Q125" t="str">
        <x:f>IF(A125="The View","Projeto",IF(A125="Le Parc","Benchmark local",IF(OR(A125="Del Mar Waterfront",A125="Aura Living"),"Premium waterfront/marina","A classificar")))</x:f>
        <x:v>Projeto</x:v>
      </x:c>
      <x:c r="R125" t="str">
        <x:v>Nova construção</x:v>
      </x:c>
      <x:c r="S125" t="str"/>
      <x:c r="T125" t="str"/>
      <x:c r="U125" t="str"/>
      <x:c r="V125" t="str"/>
      <x:c r="W125" s="28" t="n">
        <x:f>IF(A125="The View",1,MAX(0.25,MIN(1,IF(J125&gt;=2026,1,IF(J125=2025,0.8,IF(J125=2024,0.45,0.3)))*IF(Q125="Premium waterfront/marina",1,IF(Q125="Benchmark local",0.7,0.6))*IF(M125="Vendido",0.65,IF(M125="Reservado",0.8,IF(M125="Histórico",0.55,1))))))</x:f>
        <x:v>1</x:v>
      </x:c>
      <x:c r="X125" t="str">
        <x:f>IF(A125="The View","Projeto",IF(W125&gt;=0.85,"A · Premium ativo",IF(W125&gt;=0.55,"B · Benchmark local","C · Histórico/secundário")))</x:f>
        <x:v>Projeto</x:v>
      </x:c>
      <x:c r="Y125" t="str">
        <x:f>IF(A125="The View","N/A",IF(AND(N125&lt;&gt;"",O125&lt;&gt;"",P125&lt;&gt;""),"Alta",IF(OR(N125&lt;&gt;"",O125&lt;&gt;"",P125&lt;&gt;""),"Média","Baixa")))</x:f>
        <x:v>N/A</x:v>
      </x:c>
      <x:c r="Z125" t="str"/>
      <x:c r="AA125" t="str">
        <x:f>IF(A125="The View","Manter",IF(J125&lt;2026,"Atualizar preço/status",IF(Y125="Baixa","Adicionar fonte/URL/data",IF(W125&lt;0.55,"Rever comparabilidade","OK"))))</x:f>
        <x:v>Manter</x:v>
      </x:c>
      <x:c r="AB125" t="str">
        <x:f>IF(A125="The View","",IF(OR(J125&lt;2026,Y125="Baixa"),"Alta",IF(W125&lt;0.55,"Média","Baixa")))</x:f>
      </x:c>
    </x:row>
    <x:row r="126">
      <x:c r="A126" s="1" t="s">
        <x:v>99</x:v>
      </x:c>
      <x:c r="B126" s="1" t="s">
        <x:v>120</x:v>
      </x:c>
      <x:c r="C126" s="1">
        <x:v>3</x:v>
      </x:c>
      <x:c r="D126" s="1" t="s">
        <x:v>25</x:v>
      </x:c>
      <x:c r="E126" s="1">
        <x:v>4</x:v>
      </x:c>
      <x:c r="F126" s="24">
        <x:v>70.180000000000007</x:v>
      </x:c>
      <x:c r="G126" s="24">
        <x:v>24.21</x:v>
      </x:c>
      <x:c r="H126" s="24">
        <x:v>94.390000000000015</x:v>
      </x:c>
      <x:c r="I126" s="26">
        <x:v>434000</x:v>
      </x:c>
      <x:c r="J126" s="1">
        <x:v>2026</x:v>
      </x:c>
      <x:c r="K126" s="26">
        <x:v>6184.0980336278126</x:v>
      </x:c>
      <x:c r="L126" s="26">
        <x:v>4597.9446975315177</x:v>
      </x:c>
      <x:c r="M126" t="str">
        <x:f>IF(A126="The View","Projeto",IF(J126&gt;=2026,"Ativo",IF(J126=2025,"Rever","Histórico")))</x:f>
        <x:v>Projeto</x:v>
      </x:c>
      <x:c r="N126" t="str"/>
      <x:c r="O126" t="str"/>
      <x:c r="P126" s="30" t="str"/>
      <x:c r="Q126" t="str">
        <x:f>IF(A126="The View","Projeto",IF(A126="Le Parc","Benchmark local",IF(OR(A126="Del Mar Waterfront",A126="Aura Living"),"Premium waterfront/marina","A classificar")))</x:f>
        <x:v>Projeto</x:v>
      </x:c>
      <x:c r="R126" t="str">
        <x:v>Nova construção</x:v>
      </x:c>
      <x:c r="S126" t="str"/>
      <x:c r="T126" t="str"/>
      <x:c r="U126" t="str"/>
      <x:c r="V126" t="str"/>
      <x:c r="W126" s="28" t="n">
        <x:f>IF(A126="The View",1,MAX(0.25,MIN(1,IF(J126&gt;=2026,1,IF(J126=2025,0.8,IF(J126=2024,0.45,0.3)))*IF(Q126="Premium waterfront/marina",1,IF(Q126="Benchmark local",0.7,0.6))*IF(M126="Vendido",0.65,IF(M126="Reservado",0.8,IF(M126="Histórico",0.55,1))))))</x:f>
        <x:v>1</x:v>
      </x:c>
      <x:c r="X126" t="str">
        <x:f>IF(A126="The View","Projeto",IF(W126&gt;=0.85,"A · Premium ativo",IF(W126&gt;=0.55,"B · Benchmark local","C · Histórico/secundário")))</x:f>
        <x:v>Projeto</x:v>
      </x:c>
      <x:c r="Y126" t="str">
        <x:f>IF(A126="The View","N/A",IF(AND(N126&lt;&gt;"",O126&lt;&gt;"",P126&lt;&gt;""),"Alta",IF(OR(N126&lt;&gt;"",O126&lt;&gt;"",P126&lt;&gt;""),"Média","Baixa")))</x:f>
        <x:v>N/A</x:v>
      </x:c>
      <x:c r="Z126" t="str"/>
      <x:c r="AA126" t="str">
        <x:f>IF(A126="The View","Manter",IF(J126&lt;2026,"Atualizar preço/status",IF(Y126="Baixa","Adicionar fonte/URL/data",IF(W126&lt;0.55,"Rever comparabilidade","OK"))))</x:f>
        <x:v>Manter</x:v>
      </x:c>
      <x:c r="AB126" t="str">
        <x:f>IF(A126="The View","",IF(OR(J126&lt;2026,Y126="Baixa"),"Alta",IF(W126&lt;0.55,"Média","Baixa")))</x:f>
      </x:c>
    </x:row>
    <x:row r="127">
      <x:c r="A127" s="1" t="s">
        <x:v>99</x:v>
      </x:c>
      <x:c r="B127" s="1" t="s">
        <x:v>121</x:v>
      </x:c>
      <x:c r="C127" s="1">
        <x:v>3</x:v>
      </x:c>
      <x:c r="D127" s="1" t="s">
        <x:v>25</x:v>
      </x:c>
      <x:c r="E127" s="1">
        <x:v>4</x:v>
      </x:c>
      <x:c r="F127" s="24">
        <x:v>66.5</x:v>
      </x:c>
      <x:c r="G127" s="24">
        <x:v>24.04</x:v>
      </x:c>
      <x:c r="H127" s="24">
        <x:v>90.539999999999992</x:v>
      </x:c>
      <x:c r="I127" s="26">
        <x:v>422000</x:v>
      </x:c>
      <x:c r="J127" s="1">
        <x:v>2026</x:v>
      </x:c>
      <x:c r="K127" s="26">
        <x:v>6345.8646616541346</x:v>
      </x:c>
      <x:c r="L127" s="26">
        <x:v>4660.9233487961128</x:v>
      </x:c>
      <x:c r="M127" t="str">
        <x:f>IF(A127="The View","Projeto",IF(J127&gt;=2026,"Ativo",IF(J127=2025,"Rever","Histórico")))</x:f>
        <x:v>Projeto</x:v>
      </x:c>
      <x:c r="N127" t="str"/>
      <x:c r="O127" t="str"/>
      <x:c r="P127" s="30" t="str"/>
      <x:c r="Q127" t="str">
        <x:f>IF(A127="The View","Projeto",IF(A127="Le Parc","Benchmark local",IF(OR(A127="Del Mar Waterfront",A127="Aura Living"),"Premium waterfront/marina","A classificar")))</x:f>
        <x:v>Projeto</x:v>
      </x:c>
      <x:c r="R127" t="str">
        <x:v>Nova construção</x:v>
      </x:c>
      <x:c r="S127" t="str"/>
      <x:c r="T127" t="str"/>
      <x:c r="U127" t="str"/>
      <x:c r="V127" t="str"/>
      <x:c r="W127" s="28" t="n">
        <x:f>IF(A127="The View",1,MAX(0.25,MIN(1,IF(J127&gt;=2026,1,IF(J127=2025,0.8,IF(J127=2024,0.45,0.3)))*IF(Q127="Premium waterfront/marina",1,IF(Q127="Benchmark local",0.7,0.6))*IF(M127="Vendido",0.65,IF(M127="Reservado",0.8,IF(M127="Histórico",0.55,1))))))</x:f>
        <x:v>1</x:v>
      </x:c>
      <x:c r="X127" t="str">
        <x:f>IF(A127="The View","Projeto",IF(W127&gt;=0.85,"A · Premium ativo",IF(W127&gt;=0.55,"B · Benchmark local","C · Histórico/secundário")))</x:f>
        <x:v>Projeto</x:v>
      </x:c>
      <x:c r="Y127" t="str">
        <x:f>IF(A127="The View","N/A",IF(AND(N127&lt;&gt;"",O127&lt;&gt;"",P127&lt;&gt;""),"Alta",IF(OR(N127&lt;&gt;"",O127&lt;&gt;"",P127&lt;&gt;""),"Média","Baixa")))</x:f>
        <x:v>N/A</x:v>
      </x:c>
      <x:c r="Z127" t="str"/>
      <x:c r="AA127" t="str">
        <x:f>IF(A127="The View","Manter",IF(J127&lt;2026,"Atualizar preço/status",IF(Y127="Baixa","Adicionar fonte/URL/data",IF(W127&lt;0.55,"Rever comparabilidade","OK"))))</x:f>
        <x:v>Manter</x:v>
      </x:c>
      <x:c r="AB127" t="str">
        <x:f>IF(A127="The View","",IF(OR(J127&lt;2026,Y127="Baixa"),"Alta",IF(W127&lt;0.55,"Média","Baixa")))</x:f>
      </x:c>
    </x:row>
    <x:row r="128">
      <x:c r="A128" s="1" t="s">
        <x:v>99</x:v>
      </x:c>
      <x:c r="B128" s="1" t="s">
        <x:v>122</x:v>
      </x:c>
      <x:c r="C128" s="1">
        <x:v>3</x:v>
      </x:c>
      <x:c r="D128" s="1" t="s">
        <x:v>15</x:v>
      </x:c>
      <x:c r="E128" s="1">
        <x:v>3</x:v>
      </x:c>
      <x:c r="F128" s="24">
        <x:v>99.63</x:v>
      </x:c>
      <x:c r="G128" s="24">
        <x:v>39.96</x:v>
      </x:c>
      <x:c r="H128" s="24">
        <x:v>139.59</x:v>
      </x:c>
      <x:c r="I128" s="26">
        <x:v>593000</x:v>
      </x:c>
      <x:c r="J128" s="1">
        <x:v>2026</x:v>
      </x:c>
      <x:c r="K128" s="26">
        <x:v>5952.0224831877949</x:v>
      </x:c>
      <x:c r="L128" s="26">
        <x:v>4248.1553119850987</x:v>
      </x:c>
      <x:c r="M128" t="str">
        <x:f>IF(A128="The View","Projeto",IF(J128&gt;=2026,"Ativo",IF(J128=2025,"Rever","Histórico")))</x:f>
        <x:v>Projeto</x:v>
      </x:c>
      <x:c r="N128" t="str"/>
      <x:c r="O128" t="str"/>
      <x:c r="P128" s="30" t="str"/>
      <x:c r="Q128" t="str">
        <x:f>IF(A128="The View","Projeto",IF(A128="Le Parc","Benchmark local",IF(OR(A128="Del Mar Waterfront",A128="Aura Living"),"Premium waterfront/marina","A classificar")))</x:f>
        <x:v>Projeto</x:v>
      </x:c>
      <x:c r="R128" t="str">
        <x:v>Nova construção</x:v>
      </x:c>
      <x:c r="S128" t="str"/>
      <x:c r="T128" t="str"/>
      <x:c r="U128" t="str"/>
      <x:c r="V128" t="str"/>
      <x:c r="W128" s="28" t="n">
        <x:f>IF(A128="The View",1,MAX(0.25,MIN(1,IF(J128&gt;=2026,1,IF(J128=2025,0.8,IF(J128=2024,0.45,0.3)))*IF(Q128="Premium waterfront/marina",1,IF(Q128="Benchmark local",0.7,0.6))*IF(M128="Vendido",0.65,IF(M128="Reservado",0.8,IF(M128="Histórico",0.55,1))))))</x:f>
        <x:v>1</x:v>
      </x:c>
      <x:c r="X128" t="str">
        <x:f>IF(A128="The View","Projeto",IF(W128&gt;=0.85,"A · Premium ativo",IF(W128&gt;=0.55,"B · Benchmark local","C · Histórico/secundário")))</x:f>
        <x:v>Projeto</x:v>
      </x:c>
      <x:c r="Y128" t="str">
        <x:f>IF(A128="The View","N/A",IF(AND(N128&lt;&gt;"",O128&lt;&gt;"",P128&lt;&gt;""),"Alta",IF(OR(N128&lt;&gt;"",O128&lt;&gt;"",P128&lt;&gt;""),"Média","Baixa")))</x:f>
        <x:v>N/A</x:v>
      </x:c>
      <x:c r="Z128" t="str"/>
      <x:c r="AA128" t="str">
        <x:f>IF(A128="The View","Manter",IF(J128&lt;2026,"Atualizar preço/status",IF(Y128="Baixa","Adicionar fonte/URL/data",IF(W128&lt;0.55,"Rever comparabilidade","OK"))))</x:f>
        <x:v>Manter</x:v>
      </x:c>
      <x:c r="AB128" t="str">
        <x:f>IF(A128="The View","",IF(OR(J128&lt;2026,Y128="Baixa"),"Alta",IF(W128&lt;0.55,"Média","Baixa")))</x:f>
      </x:c>
    </x:row>
    <x:row r="129">
      <x:c r="A129" s="1" t="s">
        <x:v>99</x:v>
      </x:c>
      <x:c r="B129" s="1" t="s">
        <x:v>123</x:v>
      </x:c>
      <x:c r="C129" s="1">
        <x:v>3</x:v>
      </x:c>
      <x:c r="D129" s="1" t="s">
        <x:v>15</x:v>
      </x:c>
      <x:c r="E129" s="1">
        <x:v>3</x:v>
      </x:c>
      <x:c r="F129" s="24">
        <x:v>106.74</x:v>
      </x:c>
      <x:c r="G129" s="24">
        <x:v>40</x:v>
      </x:c>
      <x:c r="H129" s="24">
        <x:v>146.74</x:v>
      </x:c>
      <x:c r="I129" s="26">
        <x:v>568000</x:v>
      </x:c>
      <x:c r="J129" s="1">
        <x:v>2026</x:v>
      </x:c>
      <x:c r="K129" s="26">
        <x:v>5321.3415776653565</x:v>
      </x:c>
      <x:c r="L129" s="26">
        <x:v>3870.7918767888782</x:v>
      </x:c>
      <x:c r="M129" t="str">
        <x:f>IF(A129="The View","Projeto",IF(J129&gt;=2026,"Ativo",IF(J129=2025,"Rever","Histórico")))</x:f>
        <x:v>Projeto</x:v>
      </x:c>
      <x:c r="N129" t="str"/>
      <x:c r="O129" t="str"/>
      <x:c r="P129" s="30" t="str"/>
      <x:c r="Q129" t="str">
        <x:f>IF(A129="The View","Projeto",IF(A129="Le Parc","Benchmark local",IF(OR(A129="Del Mar Waterfront",A129="Aura Living"),"Premium waterfront/marina","A classificar")))</x:f>
        <x:v>Projeto</x:v>
      </x:c>
      <x:c r="R129" t="str">
        <x:v>Nova construção</x:v>
      </x:c>
      <x:c r="S129" t="str"/>
      <x:c r="T129" t="str"/>
      <x:c r="U129" t="str"/>
      <x:c r="V129" t="str"/>
      <x:c r="W129" s="28" t="n">
        <x:f>IF(A129="The View",1,MAX(0.25,MIN(1,IF(J129&gt;=2026,1,IF(J129=2025,0.8,IF(J129=2024,0.45,0.3)))*IF(Q129="Premium waterfront/marina",1,IF(Q129="Benchmark local",0.7,0.6))*IF(M129="Vendido",0.65,IF(M129="Reservado",0.8,IF(M129="Histórico",0.55,1))))))</x:f>
        <x:v>1</x:v>
      </x:c>
      <x:c r="X129" t="str">
        <x:f>IF(A129="The View","Projeto",IF(W129&gt;=0.85,"A · Premium ativo",IF(W129&gt;=0.55,"B · Benchmark local","C · Histórico/secundário")))</x:f>
        <x:v>Projeto</x:v>
      </x:c>
      <x:c r="Y129" t="str">
        <x:f>IF(A129="The View","N/A",IF(AND(N129&lt;&gt;"",O129&lt;&gt;"",P129&lt;&gt;""),"Alta",IF(OR(N129&lt;&gt;"",O129&lt;&gt;"",P129&lt;&gt;""),"Média","Baixa")))</x:f>
        <x:v>N/A</x:v>
      </x:c>
      <x:c r="Z129" t="str"/>
      <x:c r="AA129" t="str">
        <x:f>IF(A129="The View","Manter",IF(J129&lt;2026,"Atualizar preço/status",IF(Y129="Baixa","Adicionar fonte/URL/data",IF(W129&lt;0.55,"Rever comparabilidade","OK"))))</x:f>
        <x:v>Manter</x:v>
      </x:c>
      <x:c r="AB129" t="str">
        <x:f>IF(A129="The View","",IF(OR(J129&lt;2026,Y129="Baixa"),"Alta",IF(W129&lt;0.55,"Média","Baixa")))</x:f>
      </x:c>
    </x:row>
    <x:row r="130">
      <x:c r="A130" s="1" t="s">
        <x:v>99</x:v>
      </x:c>
      <x:c r="B130" s="1" t="s">
        <x:v>124</x:v>
      </x:c>
      <x:c r="C130" s="1">
        <x:v>4</x:v>
      </x:c>
      <x:c r="D130" s="1" t="s">
        <x:v>15</x:v>
      </x:c>
      <x:c r="E130" s="1">
        <x:v>1</x:v>
      </x:c>
      <x:c r="F130" s="24">
        <x:v>108.2</x:v>
      </x:c>
      <x:c r="G130" s="24">
        <x:v>46.71</x:v>
      </x:c>
      <x:c r="H130" s="24">
        <x:v>154.91</x:v>
      </x:c>
      <x:c r="I130" s="26">
        <x:v>900000</x:v>
      </x:c>
      <x:c r="J130" s="1">
        <x:v>2026</x:v>
      </x:c>
      <x:c r="K130" s="26">
        <x:v>8317.9297597042514</x:v>
      </x:c>
      <x:c r="L130" s="26">
        <x:v>5809.8250597120914</x:v>
      </x:c>
      <x:c r="M130" t="str">
        <x:f>IF(A130="The View","Projeto",IF(J130&gt;=2026,"Ativo",IF(J130=2025,"Rever","Histórico")))</x:f>
        <x:v>Projeto</x:v>
      </x:c>
      <x:c r="N130" t="str"/>
      <x:c r="O130" t="str"/>
      <x:c r="P130" s="30" t="str"/>
      <x:c r="Q130" t="str">
        <x:f>IF(A130="The View","Projeto",IF(A130="Le Parc","Benchmark local",IF(OR(A130="Del Mar Waterfront",A130="Aura Living"),"Premium waterfront/marina","A classificar")))</x:f>
        <x:v>Projeto</x:v>
      </x:c>
      <x:c r="R130" t="str">
        <x:v>Nova construção</x:v>
      </x:c>
      <x:c r="S130" t="str"/>
      <x:c r="T130" t="str"/>
      <x:c r="U130" t="str"/>
      <x:c r="V130" t="str"/>
      <x:c r="W130" s="28" t="n">
        <x:f>IF(A130="The View",1,MAX(0.25,MIN(1,IF(J130&gt;=2026,1,IF(J130=2025,0.8,IF(J130=2024,0.45,0.3)))*IF(Q130="Premium waterfront/marina",1,IF(Q130="Benchmark local",0.7,0.6))*IF(M130="Vendido",0.65,IF(M130="Reservado",0.8,IF(M130="Histórico",0.55,1))))))</x:f>
        <x:v>1</x:v>
      </x:c>
      <x:c r="X130" t="str">
        <x:f>IF(A130="The View","Projeto",IF(W130&gt;=0.85,"A · Premium ativo",IF(W130&gt;=0.55,"B · Benchmark local","C · Histórico/secundário")))</x:f>
        <x:v>Projeto</x:v>
      </x:c>
      <x:c r="Y130" t="str">
        <x:f>IF(A130="The View","N/A",IF(AND(N130&lt;&gt;"",O130&lt;&gt;"",P130&lt;&gt;""),"Alta",IF(OR(N130&lt;&gt;"",O130&lt;&gt;"",P130&lt;&gt;""),"Média","Baixa")))</x:f>
        <x:v>N/A</x:v>
      </x:c>
      <x:c r="Z130" t="str"/>
      <x:c r="AA130" t="str">
        <x:f>IF(A130="The View","Manter",IF(J130&lt;2026,"Atualizar preço/status",IF(Y130="Baixa","Adicionar fonte/URL/data",IF(W130&lt;0.55,"Rever comparabilidade","OK"))))</x:f>
        <x:v>Manter</x:v>
      </x:c>
      <x:c r="AB130" t="str">
        <x:f>IF(A130="The View","",IF(OR(J130&lt;2026,Y130="Baixa"),"Alta",IF(W130&lt;0.55,"Média","Baixa")))</x:f>
      </x:c>
    </x:row>
    <x:row r="131">
      <x:c r="A131" s="1" t="s">
        <x:v>99</x:v>
      </x:c>
      <x:c r="B131" s="1" t="s">
        <x:v>125</x:v>
      </x:c>
      <x:c r="C131" s="1">
        <x:v>4</x:v>
      </x:c>
      <x:c r="D131" s="1" t="s">
        <x:v>15</x:v>
      </x:c>
      <x:c r="E131" s="1">
        <x:v>2</x:v>
      </x:c>
      <x:c r="F131" s="24">
        <x:v>122.1</x:v>
      </x:c>
      <x:c r="G131" s="24">
        <x:v>40.82</x:v>
      </x:c>
      <x:c r="H131" s="24">
        <x:v>162.91999999999999</x:v>
      </x:c>
      <x:c r="I131" s="26">
        <x:v>629000</x:v>
      </x:c>
      <x:c r="J131" s="1">
        <x:v>2026</x:v>
      </x:c>
      <x:c r="K131" s="26">
        <x:v>5151.515151515152</x:v>
      </x:c>
      <x:c r="L131" s="26">
        <x:v>3860.7905720599069</x:v>
      </x:c>
      <x:c r="M131" t="str">
        <x:f>IF(A131="The View","Projeto",IF(J131&gt;=2026,"Ativo",IF(J131=2025,"Rever","Histórico")))</x:f>
        <x:v>Projeto</x:v>
      </x:c>
      <x:c r="N131" t="str"/>
      <x:c r="O131" t="str"/>
      <x:c r="P131" s="30" t="str"/>
      <x:c r="Q131" t="str">
        <x:f>IF(A131="The View","Projeto",IF(A131="Le Parc","Benchmark local",IF(OR(A131="Del Mar Waterfront",A131="Aura Living"),"Premium waterfront/marina","A classificar")))</x:f>
        <x:v>Projeto</x:v>
      </x:c>
      <x:c r="R131" t="str">
        <x:v>Nova construção</x:v>
      </x:c>
      <x:c r="S131" t="str"/>
      <x:c r="T131" t="str"/>
      <x:c r="U131" t="str"/>
      <x:c r="V131" t="str"/>
      <x:c r="W131" s="28" t="n">
        <x:f>IF(A131="The View",1,MAX(0.25,MIN(1,IF(J131&gt;=2026,1,IF(J131=2025,0.8,IF(J131=2024,0.45,0.3)))*IF(Q131="Premium waterfront/marina",1,IF(Q131="Benchmark local",0.7,0.6))*IF(M131="Vendido",0.65,IF(M131="Reservado",0.8,IF(M131="Histórico",0.55,1))))))</x:f>
        <x:v>1</x:v>
      </x:c>
      <x:c r="X131" t="str">
        <x:f>IF(A131="The View","Projeto",IF(W131&gt;=0.85,"A · Premium ativo",IF(W131&gt;=0.55,"B · Benchmark local","C · Histórico/secundário")))</x:f>
        <x:v>Projeto</x:v>
      </x:c>
      <x:c r="Y131" t="str">
        <x:f>IF(A131="The View","N/A",IF(AND(N131&lt;&gt;"",O131&lt;&gt;"",P131&lt;&gt;""),"Alta",IF(OR(N131&lt;&gt;"",O131&lt;&gt;"",P131&lt;&gt;""),"Média","Baixa")))</x:f>
        <x:v>N/A</x:v>
      </x:c>
      <x:c r="Z131" t="str"/>
      <x:c r="AA131" t="str">
        <x:f>IF(A131="The View","Manter",IF(J131&lt;2026,"Atualizar preço/status",IF(Y131="Baixa","Adicionar fonte/URL/data",IF(W131&lt;0.55,"Rever comparabilidade","OK"))))</x:f>
        <x:v>Manter</x:v>
      </x:c>
      <x:c r="AB131" t="str">
        <x:f>IF(A131="The View","",IF(OR(J131&lt;2026,Y131="Baixa"),"Alta",IF(W131&lt;0.55,"Média","Baixa")))</x:f>
      </x:c>
    </x:row>
    <x:row r="132">
      <x:c r="A132" s="1" t="s">
        <x:v>99</x:v>
      </x:c>
      <x:c r="B132" s="1" t="s">
        <x:v>126</x:v>
      </x:c>
      <x:c r="C132" s="1">
        <x:v>4</x:v>
      </x:c>
      <x:c r="D132" s="1" t="s">
        <x:v>25</x:v>
      </x:c>
      <x:c r="E132" s="1">
        <x:v>4</x:v>
      </x:c>
      <x:c r="F132" s="24">
        <x:v>76.48</x:v>
      </x:c>
      <x:c r="G132" s="24">
        <x:v>16.22</x:v>
      </x:c>
      <x:c r="H132" s="24">
        <x:v>92.7</x:v>
      </x:c>
      <x:c r="I132" s="26">
        <x:v>401000</x:v>
      </x:c>
      <x:c r="J132" s="1">
        <x:v>2026</x:v>
      </x:c>
      <x:c r="K132" s="26">
        <x:v>5243.2008368200832</x:v>
      </x:c>
      <x:c r="L132" s="26">
        <x:v>4325.7820927723842</x:v>
      </x:c>
      <x:c r="M132" t="str">
        <x:f>IF(A132="The View","Projeto",IF(J132&gt;=2026,"Ativo",IF(J132=2025,"Rever","Histórico")))</x:f>
        <x:v>Projeto</x:v>
      </x:c>
      <x:c r="N132" t="str"/>
      <x:c r="O132" t="str"/>
      <x:c r="P132" s="30" t="str"/>
      <x:c r="Q132" t="str">
        <x:f>IF(A132="The View","Projeto",IF(A132="Le Parc","Benchmark local",IF(OR(A132="Del Mar Waterfront",A132="Aura Living"),"Premium waterfront/marina","A classificar")))</x:f>
        <x:v>Projeto</x:v>
      </x:c>
      <x:c r="R132" t="str">
        <x:v>Nova construção</x:v>
      </x:c>
      <x:c r="S132" t="str"/>
      <x:c r="T132" t="str"/>
      <x:c r="U132" t="str"/>
      <x:c r="V132" t="str"/>
      <x:c r="W132" s="28" t="n">
        <x:f>IF(A132="The View",1,MAX(0.25,MIN(1,IF(J132&gt;=2026,1,IF(J132=2025,0.8,IF(J132=2024,0.45,0.3)))*IF(Q132="Premium waterfront/marina",1,IF(Q132="Benchmark local",0.7,0.6))*IF(M132="Vendido",0.65,IF(M132="Reservado",0.8,IF(M132="Histórico",0.55,1))))))</x:f>
        <x:v>1</x:v>
      </x:c>
      <x:c r="X132" t="str">
        <x:f>IF(A132="The View","Projeto",IF(W132&gt;=0.85,"A · Premium ativo",IF(W132&gt;=0.55,"B · Benchmark local","C · Histórico/secundário")))</x:f>
        <x:v>Projeto</x:v>
      </x:c>
      <x:c r="Y132" t="str">
        <x:f>IF(A132="The View","N/A",IF(AND(N132&lt;&gt;"",O132&lt;&gt;"",P132&lt;&gt;""),"Alta",IF(OR(N132&lt;&gt;"",O132&lt;&gt;"",P132&lt;&gt;""),"Média","Baixa")))</x:f>
        <x:v>N/A</x:v>
      </x:c>
      <x:c r="Z132" t="str"/>
      <x:c r="AA132" t="str">
        <x:f>IF(A132="The View","Manter",IF(J132&lt;2026,"Atualizar preço/status",IF(Y132="Baixa","Adicionar fonte/URL/data",IF(W132&lt;0.55,"Rever comparabilidade","OK"))))</x:f>
        <x:v>Manter</x:v>
      </x:c>
      <x:c r="AB132" t="str">
        <x:f>IF(A132="The View","",IF(OR(J132&lt;2026,Y132="Baixa"),"Alta",IF(W132&lt;0.55,"Média","Baixa")))</x:f>
      </x:c>
    </x:row>
    <x:row r="133">
      <x:c r="A133" s="1" t="s">
        <x:v>99</x:v>
      </x:c>
      <x:c r="B133" s="1" t="s">
        <x:v>127</x:v>
      </x:c>
      <x:c r="C133" s="1">
        <x:v>4</x:v>
      </x:c>
      <x:c r="D133" s="1" t="s">
        <x:v>15</x:v>
      </x:c>
      <x:c r="E133" s="1">
        <x:v>3</x:v>
      </x:c>
      <x:c r="F133" s="24">
        <x:v>96.66</x:v>
      </x:c>
      <x:c r="G133" s="24">
        <x:v>40.67</x:v>
      </x:c>
      <x:c r="H133" s="24">
        <x:v>137.33000000000001</x:v>
      </x:c>
      <x:c r="I133" s="26">
        <x:v>576000</x:v>
      </x:c>
      <x:c r="J133" s="1">
        <x:v>2026</x:v>
      </x:c>
      <x:c r="K133" s="26">
        <x:v>5959.0316573556802</x:v>
      </x:c>
      <x:c r="L133" s="26">
        <x:v>4194.276560110683</x:v>
      </x:c>
      <x:c r="M133" t="str">
        <x:f>IF(A133="The View","Projeto",IF(J133&gt;=2026,"Ativo",IF(J133=2025,"Rever","Histórico")))</x:f>
        <x:v>Projeto</x:v>
      </x:c>
      <x:c r="N133" t="str"/>
      <x:c r="O133" t="str"/>
      <x:c r="P133" s="30" t="str"/>
      <x:c r="Q133" t="str">
        <x:f>IF(A133="The View","Projeto",IF(A133="Le Parc","Benchmark local",IF(OR(A133="Del Mar Waterfront",A133="Aura Living"),"Premium waterfront/marina","A classificar")))</x:f>
        <x:v>Projeto</x:v>
      </x:c>
      <x:c r="R133" t="str">
        <x:v>Nova construção</x:v>
      </x:c>
      <x:c r="S133" t="str"/>
      <x:c r="T133" t="str"/>
      <x:c r="U133" t="str"/>
      <x:c r="V133" t="str"/>
      <x:c r="W133" s="28" t="n">
        <x:f>IF(A133="The View",1,MAX(0.25,MIN(1,IF(J133&gt;=2026,1,IF(J133=2025,0.8,IF(J133=2024,0.45,0.3)))*IF(Q133="Premium waterfront/marina",1,IF(Q133="Benchmark local",0.7,0.6))*IF(M133="Vendido",0.65,IF(M133="Reservado",0.8,IF(M133="Histórico",0.55,1))))))</x:f>
        <x:v>1</x:v>
      </x:c>
      <x:c r="X133" t="str">
        <x:f>IF(A133="The View","Projeto",IF(W133&gt;=0.85,"A · Premium ativo",IF(W133&gt;=0.55,"B · Benchmark local","C · Histórico/secundário")))</x:f>
        <x:v>Projeto</x:v>
      </x:c>
      <x:c r="Y133" t="str">
        <x:f>IF(A133="The View","N/A",IF(AND(N133&lt;&gt;"",O133&lt;&gt;"",P133&lt;&gt;""),"Alta",IF(OR(N133&lt;&gt;"",O133&lt;&gt;"",P133&lt;&gt;""),"Média","Baixa")))</x:f>
        <x:v>N/A</x:v>
      </x:c>
      <x:c r="Z133" t="str"/>
      <x:c r="AA133" t="str">
        <x:f>IF(A133="The View","Manter",IF(J133&lt;2026,"Atualizar preço/status",IF(Y133="Baixa","Adicionar fonte/URL/data",IF(W133&lt;0.55,"Rever comparabilidade","OK"))))</x:f>
        <x:v>Manter</x:v>
      </x:c>
      <x:c r="AB133" t="str">
        <x:f>IF(A133="The View","",IF(OR(J133&lt;2026,Y133="Baixa"),"Alta",IF(W133&lt;0.55,"Média","Baixa")))</x:f>
      </x:c>
    </x:row>
    <x:row r="134">
      <x:c r="A134" s="1" t="s">
        <x:v>99</x:v>
      </x:c>
      <x:c r="B134" s="1" t="s">
        <x:v>128</x:v>
      </x:c>
      <x:c r="C134" s="1">
        <x:v>4</x:v>
      </x:c>
      <x:c r="D134" s="1" t="s">
        <x:v>25</x:v>
      </x:c>
      <x:c r="E134" s="1">
        <x:v>4</x:v>
      </x:c>
      <x:c r="F134" s="24">
        <x:v>69.790000000000006</x:v>
      </x:c>
      <x:c r="G134" s="24">
        <x:v>39.35</x:v>
      </x:c>
      <x:c r="H134" s="24">
        <x:v>109.14</x:v>
      </x:c>
      <x:c r="I134" s="26">
        <x:v>369000</x:v>
      </x:c>
      <x:c r="J134" s="1">
        <x:v>2026</x:v>
      </x:c>
      <x:c r="K134" s="26">
        <x:v>5287.2904427568419</x:v>
      </x:c>
      <x:c r="L134" s="26">
        <x:v>3380.9785596481579</x:v>
      </x:c>
      <x:c r="M134" t="str">
        <x:f>IF(A134="The View","Projeto",IF(J134&gt;=2026,"Ativo",IF(J134=2025,"Rever","Histórico")))</x:f>
        <x:v>Projeto</x:v>
      </x:c>
      <x:c r="N134" t="str"/>
      <x:c r="O134" t="str"/>
      <x:c r="P134" s="30" t="str"/>
      <x:c r="Q134" t="str">
        <x:f>IF(A134="The View","Projeto",IF(A134="Le Parc","Benchmark local",IF(OR(A134="Del Mar Waterfront",A134="Aura Living"),"Premium waterfront/marina","A classificar")))</x:f>
        <x:v>Projeto</x:v>
      </x:c>
      <x:c r="R134" t="str">
        <x:v>Nova construção</x:v>
      </x:c>
      <x:c r="S134" t="str"/>
      <x:c r="T134" t="str"/>
      <x:c r="U134" t="str"/>
      <x:c r="V134" t="str"/>
      <x:c r="W134" s="28" t="n">
        <x:f>IF(A134="The View",1,MAX(0.25,MIN(1,IF(J134&gt;=2026,1,IF(J134=2025,0.8,IF(J134=2024,0.45,0.3)))*IF(Q134="Premium waterfront/marina",1,IF(Q134="Benchmark local",0.7,0.6))*IF(M134="Vendido",0.65,IF(M134="Reservado",0.8,IF(M134="Histórico",0.55,1))))))</x:f>
        <x:v>1</x:v>
      </x:c>
      <x:c r="X134" t="str">
        <x:f>IF(A134="The View","Projeto",IF(W134&gt;=0.85,"A · Premium ativo",IF(W134&gt;=0.55,"B · Benchmark local","C · Histórico/secundário")))</x:f>
        <x:v>Projeto</x:v>
      </x:c>
      <x:c r="Y134" t="str">
        <x:f>IF(A134="The View","N/A",IF(AND(N134&lt;&gt;"",O134&lt;&gt;"",P134&lt;&gt;""),"Alta",IF(OR(N134&lt;&gt;"",O134&lt;&gt;"",P134&lt;&gt;""),"Média","Baixa")))</x:f>
        <x:v>N/A</x:v>
      </x:c>
      <x:c r="Z134" t="str"/>
      <x:c r="AA134" t="str">
        <x:f>IF(A134="The View","Manter",IF(J134&lt;2026,"Atualizar preço/status",IF(Y134="Baixa","Adicionar fonte/URL/data",IF(W134&lt;0.55,"Rever comparabilidade","OK"))))</x:f>
        <x:v>Manter</x:v>
      </x:c>
      <x:c r="AB134" t="str">
        <x:f>IF(A134="The View","",IF(OR(J134&lt;2026,Y134="Baixa"),"Alta",IF(W134&lt;0.55,"Média","Baixa")))</x:f>
      </x:c>
    </x:row>
    <x:row r="135">
      <x:c r="A135" s="1" t="s">
        <x:v>99</x:v>
      </x:c>
      <x:c r="B135" s="1" t="s">
        <x:v>129</x:v>
      </x:c>
      <x:c r="C135" s="1">
        <x:v>4</x:v>
      </x:c>
      <x:c r="D135" s="1" t="s">
        <x:v>25</x:v>
      </x:c>
      <x:c r="E135" s="1">
        <x:v>3</x:v>
      </x:c>
      <x:c r="F135" s="24">
        <x:v>70.86</x:v>
      </x:c>
      <x:c r="G135" s="24">
        <x:v>41.86</x:v>
      </x:c>
      <x:c r="H135" s="24">
        <x:v>112.72</x:v>
      </x:c>
      <x:c r="I135" s="26">
        <x:v>435000</x:v>
      </x:c>
      <x:c r="J135" s="1">
        <x:v>2026</x:v>
      </x:c>
      <x:c r="K135" s="26">
        <x:v>6138.8653683319226</x:v>
      </x:c>
      <x:c r="L135" s="26">
        <x:v>3859.1199432221429</x:v>
      </x:c>
      <x:c r="M135" t="str">
        <x:f>IF(A135="The View","Projeto",IF(J135&gt;=2026,"Ativo",IF(J135=2025,"Rever","Histórico")))</x:f>
        <x:v>Projeto</x:v>
      </x:c>
      <x:c r="N135" t="str"/>
      <x:c r="O135" t="str"/>
      <x:c r="P135" s="30" t="str"/>
      <x:c r="Q135" t="str">
        <x:f>IF(A135="The View","Projeto",IF(A135="Le Parc","Benchmark local",IF(OR(A135="Del Mar Waterfront",A135="Aura Living"),"Premium waterfront/marina","A classificar")))</x:f>
        <x:v>Projeto</x:v>
      </x:c>
      <x:c r="R135" t="str">
        <x:v>Nova construção</x:v>
      </x:c>
      <x:c r="S135" t="str"/>
      <x:c r="T135" t="str"/>
      <x:c r="U135" t="str"/>
      <x:c r="V135" t="str"/>
      <x:c r="W135" s="28" t="n">
        <x:f>IF(A135="The View",1,MAX(0.25,MIN(1,IF(J135&gt;=2026,1,IF(J135=2025,0.8,IF(J135=2024,0.45,0.3)))*IF(Q135="Premium waterfront/marina",1,IF(Q135="Benchmark local",0.7,0.6))*IF(M135="Vendido",0.65,IF(M135="Reservado",0.8,IF(M135="Histórico",0.55,1))))))</x:f>
        <x:v>1</x:v>
      </x:c>
      <x:c r="X135" t="str">
        <x:f>IF(A135="The View","Projeto",IF(W135&gt;=0.85,"A · Premium ativo",IF(W135&gt;=0.55,"B · Benchmark local","C · Histórico/secundário")))</x:f>
        <x:v>Projeto</x:v>
      </x:c>
      <x:c r="Y135" t="str">
        <x:f>IF(A135="The View","N/A",IF(AND(N135&lt;&gt;"",O135&lt;&gt;"",P135&lt;&gt;""),"Alta",IF(OR(N135&lt;&gt;"",O135&lt;&gt;"",P135&lt;&gt;""),"Média","Baixa")))</x:f>
        <x:v>N/A</x:v>
      </x:c>
      <x:c r="Z135" t="str"/>
      <x:c r="AA135" t="str">
        <x:f>IF(A135="The View","Manter",IF(J135&lt;2026,"Atualizar preço/status",IF(Y135="Baixa","Adicionar fonte/URL/data",IF(W135&lt;0.55,"Rever comparabilidade","OK"))))</x:f>
        <x:v>Manter</x:v>
      </x:c>
      <x:c r="AB135" t="str">
        <x:f>IF(A135="The View","",IF(OR(J135&lt;2026,Y135="Baixa"),"Alta",IF(W135&lt;0.55,"Média","Baixa")))</x:f>
      </x:c>
    </x:row>
    <x:row r="136">
      <x:c r="A136" s="1" t="s">
        <x:v>99</x:v>
      </x:c>
      <x:c r="B136" s="1" t="s">
        <x:v>130</x:v>
      </x:c>
      <x:c r="C136" s="1">
        <x:v>4</x:v>
      </x:c>
      <x:c r="D136" s="1" t="s">
        <x:v>25</x:v>
      </x:c>
      <x:c r="E136" s="1">
        <x:v>3</x:v>
      </x:c>
      <x:c r="F136" s="24">
        <x:v>72.45</x:v>
      </x:c>
      <x:c r="G136" s="24">
        <x:v>29.56</x:v>
      </x:c>
      <x:c r="H136" s="24">
        <x:v>102.01</x:v>
      </x:c>
      <x:c r="I136" s="26">
        <x:v>454000</x:v>
      </x:c>
      <x:c r="J136" s="1">
        <x:v>2026</x:v>
      </x:c>
      <x:c r="K136" s="26">
        <x:v>6266.3906142167007</x:v>
      </x:c>
      <x:c r="L136" s="26">
        <x:v>4450.5440643074207</x:v>
      </x:c>
      <x:c r="M136" t="str">
        <x:f>IF(A136="The View","Projeto",IF(J136&gt;=2026,"Ativo",IF(J136=2025,"Rever","Histórico")))</x:f>
        <x:v>Projeto</x:v>
      </x:c>
      <x:c r="N136" t="str"/>
      <x:c r="O136" t="str"/>
      <x:c r="P136" s="30" t="str"/>
      <x:c r="Q136" t="str">
        <x:f>IF(A136="The View","Projeto",IF(A136="Le Parc","Benchmark local",IF(OR(A136="Del Mar Waterfront",A136="Aura Living"),"Premium waterfront/marina","A classificar")))</x:f>
        <x:v>Projeto</x:v>
      </x:c>
      <x:c r="R136" t="str">
        <x:v>Nova construção</x:v>
      </x:c>
      <x:c r="S136" t="str"/>
      <x:c r="T136" t="str"/>
      <x:c r="U136" t="str"/>
      <x:c r="V136" t="str"/>
      <x:c r="W136" s="28" t="n">
        <x:f>IF(A136="The View",1,MAX(0.25,MIN(1,IF(J136&gt;=2026,1,IF(J136=2025,0.8,IF(J136=2024,0.45,0.3)))*IF(Q136="Premium waterfront/marina",1,IF(Q136="Benchmark local",0.7,0.6))*IF(M136="Vendido",0.65,IF(M136="Reservado",0.8,IF(M136="Histórico",0.55,1))))))</x:f>
        <x:v>1</x:v>
      </x:c>
      <x:c r="X136" t="str">
        <x:f>IF(A136="The View","Projeto",IF(W136&gt;=0.85,"A · Premium ativo",IF(W136&gt;=0.55,"B · Benchmark local","C · Histórico/secundário")))</x:f>
        <x:v>Projeto</x:v>
      </x:c>
      <x:c r="Y136" t="str">
        <x:f>IF(A136="The View","N/A",IF(AND(N136&lt;&gt;"",O136&lt;&gt;"",P136&lt;&gt;""),"Alta",IF(OR(N136&lt;&gt;"",O136&lt;&gt;"",P136&lt;&gt;""),"Média","Baixa")))</x:f>
        <x:v>N/A</x:v>
      </x:c>
      <x:c r="Z136" t="str"/>
      <x:c r="AA136" t="str">
        <x:f>IF(A136="The View","Manter",IF(J136&lt;2026,"Atualizar preço/status",IF(Y136="Baixa","Adicionar fonte/URL/data",IF(W136&lt;0.55,"Rever comparabilidade","OK"))))</x:f>
        <x:v>Manter</x:v>
      </x:c>
      <x:c r="AB136" t="str">
        <x:f>IF(A136="The View","",IF(OR(J136&lt;2026,Y136="Baixa"),"Alta",IF(W136&lt;0.55,"Média","Baixa")))</x:f>
      </x:c>
    </x:row>
    <x:row r="137">
      <x:c r="A137" s="1" t="s">
        <x:v>99</x:v>
      </x:c>
      <x:c r="B137" s="1" t="s">
        <x:v>131</x:v>
      </x:c>
      <x:c r="C137" s="1">
        <x:v>5</x:v>
      </x:c>
      <x:c r="D137" s="1" t="s">
        <x:v>15</x:v>
      </x:c>
      <x:c r="E137" s="1">
        <x:v>1</x:v>
      </x:c>
      <x:c r="F137" s="24">
        <x:v>108.04</x:v>
      </x:c>
      <x:c r="G137" s="24">
        <x:v>46.81</x:v>
      </x:c>
      <x:c r="H137" s="24">
        <x:v>154.85</x:v>
      </x:c>
      <x:c r="I137" s="26">
        <x:v>1050000</x:v>
      </x:c>
      <x:c r="J137" s="1">
        <x:v>2026</x:v>
      </x:c>
      <x:c r="K137" s="26">
        <x:v>9718.6227323213625</x:v>
      </x:c>
      <x:c r="L137" s="26">
        <x:v>6780.7555699063596</x:v>
      </x:c>
      <x:c r="M137" t="str">
        <x:f>IF(A137="The View","Projeto",IF(J137&gt;=2026,"Ativo",IF(J137=2025,"Rever","Histórico")))</x:f>
        <x:v>Projeto</x:v>
      </x:c>
      <x:c r="N137" t="str"/>
      <x:c r="O137" t="str"/>
      <x:c r="P137" s="30" t="str"/>
      <x:c r="Q137" t="str">
        <x:f>IF(A137="The View","Projeto",IF(A137="Le Parc","Benchmark local",IF(OR(A137="Del Mar Waterfront",A137="Aura Living"),"Premium waterfront/marina","A classificar")))</x:f>
        <x:v>Projeto</x:v>
      </x:c>
      <x:c r="R137" t="str">
        <x:v>Nova construção</x:v>
      </x:c>
      <x:c r="S137" t="str"/>
      <x:c r="T137" t="str"/>
      <x:c r="U137" t="str"/>
      <x:c r="V137" t="str"/>
      <x:c r="W137" s="28" t="n">
        <x:f>IF(A137="The View",1,MAX(0.25,MIN(1,IF(J137&gt;=2026,1,IF(J137=2025,0.8,IF(J137=2024,0.45,0.3)))*IF(Q137="Premium waterfront/marina",1,IF(Q137="Benchmark local",0.7,0.6))*IF(M137="Vendido",0.65,IF(M137="Reservado",0.8,IF(M137="Histórico",0.55,1))))))</x:f>
        <x:v>1</x:v>
      </x:c>
      <x:c r="X137" t="str">
        <x:f>IF(A137="The View","Projeto",IF(W137&gt;=0.85,"A · Premium ativo",IF(W137&gt;=0.55,"B · Benchmark local","C · Histórico/secundário")))</x:f>
        <x:v>Projeto</x:v>
      </x:c>
      <x:c r="Y137" t="str">
        <x:f>IF(A137="The View","N/A",IF(AND(N137&lt;&gt;"",O137&lt;&gt;"",P137&lt;&gt;""),"Alta",IF(OR(N137&lt;&gt;"",O137&lt;&gt;"",P137&lt;&gt;""),"Média","Baixa")))</x:f>
        <x:v>N/A</x:v>
      </x:c>
      <x:c r="Z137" t="str"/>
      <x:c r="AA137" t="str">
        <x:f>IF(A137="The View","Manter",IF(J137&lt;2026,"Atualizar preço/status",IF(Y137="Baixa","Adicionar fonte/URL/data",IF(W137&lt;0.55,"Rever comparabilidade","OK"))))</x:f>
        <x:v>Manter</x:v>
      </x:c>
      <x:c r="AB137" t="str">
        <x:f>IF(A137="The View","",IF(OR(J137&lt;2026,Y137="Baixa"),"Alta",IF(W137&lt;0.55,"Média","Baixa")))</x:f>
      </x:c>
    </x:row>
    <x:row r="138">
      <x:c r="A138" s="1" t="s">
        <x:v>99</x:v>
      </x:c>
      <x:c r="B138" s="1" t="s">
        <x:v>132</x:v>
      </x:c>
      <x:c r="C138" s="1">
        <x:v>5</x:v>
      </x:c>
      <x:c r="D138" s="1" t="s">
        <x:v>15</x:v>
      </x:c>
      <x:c r="E138" s="1">
        <x:v>2</x:v>
      </x:c>
      <x:c r="F138" s="24">
        <x:v>121.8</x:v>
      </x:c>
      <x:c r="G138" s="24">
        <x:v>40.799999999999997</x:v>
      </x:c>
      <x:c r="H138" s="24">
        <x:v>162.6</x:v>
      </x:c>
      <x:c r="I138" s="26">
        <x:v>641000</x:v>
      </x:c>
      <x:c r="J138" s="1">
        <x:v>2026</x:v>
      </x:c>
      <x:c r="K138" s="26">
        <x:v>5262.7257799671597</x:v>
      </x:c>
      <x:c r="L138" s="26">
        <x:v>3942.1894218942189</x:v>
      </x:c>
      <x:c r="M138" t="str">
        <x:f>IF(A138="The View","Projeto",IF(J138&gt;=2026,"Ativo",IF(J138=2025,"Rever","Histórico")))</x:f>
        <x:v>Projeto</x:v>
      </x:c>
      <x:c r="N138" t="str"/>
      <x:c r="O138" t="str"/>
      <x:c r="P138" s="30" t="str"/>
      <x:c r="Q138" t="str">
        <x:f>IF(A138="The View","Projeto",IF(A138="Le Parc","Benchmark local",IF(OR(A138="Del Mar Waterfront",A138="Aura Living"),"Premium waterfront/marina","A classificar")))</x:f>
        <x:v>Projeto</x:v>
      </x:c>
      <x:c r="R138" t="str">
        <x:v>Nova construção</x:v>
      </x:c>
      <x:c r="S138" t="str"/>
      <x:c r="T138" t="str"/>
      <x:c r="U138" t="str"/>
      <x:c r="V138" t="str"/>
      <x:c r="W138" s="28" t="n">
        <x:f>IF(A138="The View",1,MAX(0.25,MIN(1,IF(J138&gt;=2026,1,IF(J138=2025,0.8,IF(J138=2024,0.45,0.3)))*IF(Q138="Premium waterfront/marina",1,IF(Q138="Benchmark local",0.7,0.6))*IF(M138="Vendido",0.65,IF(M138="Reservado",0.8,IF(M138="Histórico",0.55,1))))))</x:f>
        <x:v>1</x:v>
      </x:c>
      <x:c r="X138" t="str">
        <x:f>IF(A138="The View","Projeto",IF(W138&gt;=0.85,"A · Premium ativo",IF(W138&gt;=0.55,"B · Benchmark local","C · Histórico/secundário")))</x:f>
        <x:v>Projeto</x:v>
      </x:c>
      <x:c r="Y138" t="str">
        <x:f>IF(A138="The View","N/A",IF(AND(N138&lt;&gt;"",O138&lt;&gt;"",P138&lt;&gt;""),"Alta",IF(OR(N138&lt;&gt;"",O138&lt;&gt;"",P138&lt;&gt;""),"Média","Baixa")))</x:f>
        <x:v>N/A</x:v>
      </x:c>
      <x:c r="Z138" t="str"/>
      <x:c r="AA138" t="str">
        <x:f>IF(A138="The View","Manter",IF(J138&lt;2026,"Atualizar preço/status",IF(Y138="Baixa","Adicionar fonte/URL/data",IF(W138&lt;0.55,"Rever comparabilidade","OK"))))</x:f>
        <x:v>Manter</x:v>
      </x:c>
      <x:c r="AB138" t="str">
        <x:f>IF(A138="The View","",IF(OR(J138&lt;2026,Y138="Baixa"),"Alta",IF(W138&lt;0.55,"Média","Baixa")))</x:f>
      </x:c>
    </x:row>
    <x:row r="139">
      <x:c r="A139" s="1" t="s">
        <x:v>99</x:v>
      </x:c>
      <x:c r="B139" s="1" t="s">
        <x:v>133</x:v>
      </x:c>
      <x:c r="C139" s="1">
        <x:v>5</x:v>
      </x:c>
      <x:c r="D139" s="1" t="s">
        <x:v>25</x:v>
      </x:c>
      <x:c r="E139" s="1">
        <x:v>4</x:v>
      </x:c>
      <x:c r="F139" s="24">
        <x:v>76.2</x:v>
      </x:c>
      <x:c r="G139" s="24">
        <x:v>16.260000000000002</x:v>
      </x:c>
      <x:c r="H139" s="24">
        <x:v>92.460000000000008</x:v>
      </x:c>
      <x:c r="I139" s="26">
        <x:v>408000</x:v>
      </x:c>
      <x:c r="J139" s="1">
        <x:v>2026</x:v>
      </x:c>
      <x:c r="K139" s="26">
        <x:v>5354.3307086614168</x:v>
      </x:c>
      <x:c r="L139" s="26">
        <x:v>4412.719013627514</x:v>
      </x:c>
      <x:c r="M139" t="str">
        <x:f>IF(A139="The View","Projeto",IF(J139&gt;=2026,"Ativo",IF(J139=2025,"Rever","Histórico")))</x:f>
        <x:v>Projeto</x:v>
      </x:c>
      <x:c r="N139" t="str"/>
      <x:c r="O139" t="str"/>
      <x:c r="P139" s="30" t="str"/>
      <x:c r="Q139" t="str">
        <x:f>IF(A139="The View","Projeto",IF(A139="Le Parc","Benchmark local",IF(OR(A139="Del Mar Waterfront",A139="Aura Living"),"Premium waterfront/marina","A classificar")))</x:f>
        <x:v>Projeto</x:v>
      </x:c>
      <x:c r="R139" t="str">
        <x:v>Nova construção</x:v>
      </x:c>
      <x:c r="S139" t="str"/>
      <x:c r="T139" t="str"/>
      <x:c r="U139" t="str"/>
      <x:c r="V139" t="str"/>
      <x:c r="W139" s="28" t="n">
        <x:f>IF(A139="The View",1,MAX(0.25,MIN(1,IF(J139&gt;=2026,1,IF(J139=2025,0.8,IF(J139=2024,0.45,0.3)))*IF(Q139="Premium waterfront/marina",1,IF(Q139="Benchmark local",0.7,0.6))*IF(M139="Vendido",0.65,IF(M139="Reservado",0.8,IF(M139="Histórico",0.55,1))))))</x:f>
        <x:v>1</x:v>
      </x:c>
      <x:c r="X139" t="str">
        <x:f>IF(A139="The View","Projeto",IF(W139&gt;=0.85,"A · Premium ativo",IF(W139&gt;=0.55,"B · Benchmark local","C · Histórico/secundário")))</x:f>
        <x:v>Projeto</x:v>
      </x:c>
      <x:c r="Y139" t="str">
        <x:f>IF(A139="The View","N/A",IF(AND(N139&lt;&gt;"",O139&lt;&gt;"",P139&lt;&gt;""),"Alta",IF(OR(N139&lt;&gt;"",O139&lt;&gt;"",P139&lt;&gt;""),"Média","Baixa")))</x:f>
        <x:v>N/A</x:v>
      </x:c>
      <x:c r="Z139" t="str"/>
      <x:c r="AA139" t="str">
        <x:f>IF(A139="The View","Manter",IF(J139&lt;2026,"Atualizar preço/status",IF(Y139="Baixa","Adicionar fonte/URL/data",IF(W139&lt;0.55,"Rever comparabilidade","OK"))))</x:f>
        <x:v>Manter</x:v>
      </x:c>
      <x:c r="AB139" t="str">
        <x:f>IF(A139="The View","",IF(OR(J139&lt;2026,Y139="Baixa"),"Alta",IF(W139&lt;0.55,"Média","Baixa")))</x:f>
      </x:c>
    </x:row>
    <x:row r="140">
      <x:c r="A140" s="1" t="s">
        <x:v>99</x:v>
      </x:c>
      <x:c r="B140" s="1" t="s">
        <x:v>134</x:v>
      </x:c>
      <x:c r="C140" s="1">
        <x:v>5</x:v>
      </x:c>
      <x:c r="D140" s="1" t="s">
        <x:v>15</x:v>
      </x:c>
      <x:c r="E140" s="1">
        <x:v>3</x:v>
      </x:c>
      <x:c r="F140" s="24">
        <x:v>84.63</x:v>
      </x:c>
      <x:c r="G140" s="24">
        <x:v>41.85</x:v>
      </x:c>
      <x:c r="H140" s="24">
        <x:v>126.48</x:v>
      </x:c>
      <x:c r="I140" s="26">
        <x:v>585000</x:v>
      </x:c>
      <x:c r="J140" s="1">
        <x:v>2026</x:v>
      </x:c>
      <x:c r="K140" s="26">
        <x:v>6912.442396313364</x:v>
      </x:c>
      <x:c r="L140" s="26">
        <x:v>4625.2371916508546</x:v>
      </x:c>
      <x:c r="M140" t="str">
        <x:f>IF(A140="The View","Projeto",IF(J140&gt;=2026,"Ativo",IF(J140=2025,"Rever","Histórico")))</x:f>
        <x:v>Projeto</x:v>
      </x:c>
      <x:c r="N140" t="str"/>
      <x:c r="O140" t="str"/>
      <x:c r="P140" s="30" t="str"/>
      <x:c r="Q140" t="str">
        <x:f>IF(A140="The View","Projeto",IF(A140="Le Parc","Benchmark local",IF(OR(A140="Del Mar Waterfront",A140="Aura Living"),"Premium waterfront/marina","A classificar")))</x:f>
        <x:v>Projeto</x:v>
      </x:c>
      <x:c r="R140" t="str">
        <x:v>Nova construção</x:v>
      </x:c>
      <x:c r="S140" t="str"/>
      <x:c r="T140" t="str"/>
      <x:c r="U140" t="str"/>
      <x:c r="V140" t="str"/>
      <x:c r="W140" s="28" t="n">
        <x:f>IF(A140="The View",1,MAX(0.25,MIN(1,IF(J140&gt;=2026,1,IF(J140=2025,0.8,IF(J140=2024,0.45,0.3)))*IF(Q140="Premium waterfront/marina",1,IF(Q140="Benchmark local",0.7,0.6))*IF(M140="Vendido",0.65,IF(M140="Reservado",0.8,IF(M140="Histórico",0.55,1))))))</x:f>
        <x:v>1</x:v>
      </x:c>
      <x:c r="X140" t="str">
        <x:f>IF(A140="The View","Projeto",IF(W140&gt;=0.85,"A · Premium ativo",IF(W140&gt;=0.55,"B · Benchmark local","C · Histórico/secundário")))</x:f>
        <x:v>Projeto</x:v>
      </x:c>
      <x:c r="Y140" t="str">
        <x:f>IF(A140="The View","N/A",IF(AND(N140&lt;&gt;"",O140&lt;&gt;"",P140&lt;&gt;""),"Alta",IF(OR(N140&lt;&gt;"",O140&lt;&gt;"",P140&lt;&gt;""),"Média","Baixa")))</x:f>
        <x:v>N/A</x:v>
      </x:c>
      <x:c r="Z140" t="str"/>
      <x:c r="AA140" t="str">
        <x:f>IF(A140="The View","Manter",IF(J140&lt;2026,"Atualizar preço/status",IF(Y140="Baixa","Adicionar fonte/URL/data",IF(W140&lt;0.55,"Rever comparabilidade","OK"))))</x:f>
        <x:v>Manter</x:v>
      </x:c>
      <x:c r="AB140" t="str">
        <x:f>IF(A140="The View","",IF(OR(J140&lt;2026,Y140="Baixa"),"Alta",IF(W140&lt;0.55,"Média","Baixa")))</x:f>
      </x:c>
    </x:row>
    <x:row r="141">
      <x:c r="A141" s="1" t="s">
        <x:v>99</x:v>
      </x:c>
      <x:c r="B141" s="1" t="s">
        <x:v>135</x:v>
      </x:c>
      <x:c r="C141" s="1">
        <x:v>5</x:v>
      </x:c>
      <x:c r="D141" s="1" t="s">
        <x:v>15</x:v>
      </x:c>
      <x:c r="E141" s="1">
        <x:v>3</x:v>
      </x:c>
      <x:c r="F141" s="24">
        <x:v>102.95</x:v>
      </x:c>
      <x:c r="G141" s="24">
        <x:v>70.23</x:v>
      </x:c>
      <x:c r="H141" s="24">
        <x:v>173.18</x:v>
      </x:c>
      <x:c r="I141" s="26">
        <x:v>633000</x:v>
      </x:c>
      <x:c r="J141" s="1">
        <x:v>2026</x:v>
      </x:c>
      <x:c r="K141" s="26">
        <x:v>6148.6158329286063</x:v>
      </x:c>
      <x:c r="L141" s="26">
        <x:v>3655.1564845825151</x:v>
      </x:c>
      <x:c r="M141" t="str">
        <x:f>IF(A141="The View","Projeto",IF(J141&gt;=2026,"Ativo",IF(J141=2025,"Rever","Histórico")))</x:f>
        <x:v>Projeto</x:v>
      </x:c>
      <x:c r="N141" t="str"/>
      <x:c r="O141" t="str"/>
      <x:c r="P141" s="30" t="str"/>
      <x:c r="Q141" t="str">
        <x:f>IF(A141="The View","Projeto",IF(A141="Le Parc","Benchmark local",IF(OR(A141="Del Mar Waterfront",A141="Aura Living"),"Premium waterfront/marina","A classificar")))</x:f>
        <x:v>Projeto</x:v>
      </x:c>
      <x:c r="R141" t="str">
        <x:v>Nova construção</x:v>
      </x:c>
      <x:c r="S141" t="str"/>
      <x:c r="T141" t="str"/>
      <x:c r="U141" t="str"/>
      <x:c r="V141" t="str"/>
      <x:c r="W141" s="28" t="n">
        <x:f>IF(A141="The View",1,MAX(0.25,MIN(1,IF(J141&gt;=2026,1,IF(J141=2025,0.8,IF(J141=2024,0.45,0.3)))*IF(Q141="Premium waterfront/marina",1,IF(Q141="Benchmark local",0.7,0.6))*IF(M141="Vendido",0.65,IF(M141="Reservado",0.8,IF(M141="Histórico",0.55,1))))))</x:f>
        <x:v>1</x:v>
      </x:c>
      <x:c r="X141" t="str">
        <x:f>IF(A141="The View","Projeto",IF(W141&gt;=0.85,"A · Premium ativo",IF(W141&gt;=0.55,"B · Benchmark local","C · Histórico/secundário")))</x:f>
        <x:v>Projeto</x:v>
      </x:c>
      <x:c r="Y141" t="str">
        <x:f>IF(A141="The View","N/A",IF(AND(N141&lt;&gt;"",O141&lt;&gt;"",P141&lt;&gt;""),"Alta",IF(OR(N141&lt;&gt;"",O141&lt;&gt;"",P141&lt;&gt;""),"Média","Baixa")))</x:f>
        <x:v>N/A</x:v>
      </x:c>
      <x:c r="Z141" t="str"/>
      <x:c r="AA141" t="str">
        <x:f>IF(A141="The View","Manter",IF(J141&lt;2026,"Atualizar preço/status",IF(Y141="Baixa","Adicionar fonte/URL/data",IF(W141&lt;0.55,"Rever comparabilidade","OK"))))</x:f>
        <x:v>Manter</x:v>
      </x:c>
      <x:c r="AB141" t="str">
        <x:f>IF(A141="The View","",IF(OR(J141&lt;2026,Y141="Baixa"),"Alta",IF(W141&lt;0.55,"Média","Baixa")))</x:f>
      </x:c>
    </x:row>
    <x:row r="142">
      <x:c r="A142" s="1" t="s">
        <x:v>99</x:v>
      </x:c>
      <x:c r="B142" s="1" t="s">
        <x:v>136</x:v>
      </x:c>
      <x:c r="C142" s="1">
        <x:v>5</x:v>
      </x:c>
      <x:c r="D142" s="1" t="s">
        <x:v>137</x:v>
      </x:c>
      <x:c r="E142" s="1">
        <x:v>3</x:v>
      </x:c>
      <x:c r="F142" s="24">
        <x:v>82.42</x:v>
      </x:c>
      <x:c r="G142" s="24">
        <x:v>71.8</x:v>
      </x:c>
      <x:c r="H142" s="24">
        <x:v>154.22</x:v>
      </x:c>
      <x:c r="I142" s="26">
        <x:v>551000</x:v>
      </x:c>
      <x:c r="J142" s="1">
        <x:v>2026</x:v>
      </x:c>
      <x:c r="K142" s="26">
        <x:v>6685.2705653967478</x:v>
      </x:c>
      <x:c r="L142" s="26">
        <x:v>3572.8180521333161</x:v>
      </x:c>
      <x:c r="M142" t="str">
        <x:f>IF(A142="The View","Projeto",IF(J142&gt;=2026,"Ativo",IF(J142=2025,"Rever","Histórico")))</x:f>
        <x:v>Projeto</x:v>
      </x:c>
      <x:c r="N142" t="str"/>
      <x:c r="O142" t="str"/>
      <x:c r="P142" s="30" t="str"/>
      <x:c r="Q142" t="str">
        <x:f>IF(A142="The View","Projeto",IF(A142="Le Parc","Benchmark local",IF(OR(A142="Del Mar Waterfront",A142="Aura Living"),"Premium waterfront/marina","A classificar")))</x:f>
        <x:v>Projeto</x:v>
      </x:c>
      <x:c r="R142" t="str">
        <x:v>Nova construção</x:v>
      </x:c>
      <x:c r="S142" t="str"/>
      <x:c r="T142" t="str"/>
      <x:c r="U142" t="str"/>
      <x:c r="V142" t="str"/>
      <x:c r="W142" s="28" t="n">
        <x:f>IF(A142="The View",1,MAX(0.25,MIN(1,IF(J142&gt;=2026,1,IF(J142=2025,0.8,IF(J142=2024,0.45,0.3)))*IF(Q142="Premium waterfront/marina",1,IF(Q142="Benchmark local",0.7,0.6))*IF(M142="Vendido",0.65,IF(M142="Reservado",0.8,IF(M142="Histórico",0.55,1))))))</x:f>
        <x:v>1</x:v>
      </x:c>
      <x:c r="X142" t="str">
        <x:f>IF(A142="The View","Projeto",IF(W142&gt;=0.85,"A · Premium ativo",IF(W142&gt;=0.55,"B · Benchmark local","C · Histórico/secundário")))</x:f>
        <x:v>Projeto</x:v>
      </x:c>
      <x:c r="Y142" t="str">
        <x:f>IF(A142="The View","N/A",IF(AND(N142&lt;&gt;"",O142&lt;&gt;"",P142&lt;&gt;""),"Alta",IF(OR(N142&lt;&gt;"",O142&lt;&gt;"",P142&lt;&gt;""),"Média","Baixa")))</x:f>
        <x:v>N/A</x:v>
      </x:c>
      <x:c r="Z142" t="str"/>
      <x:c r="AA142" t="str">
        <x:f>IF(A142="The View","Manter",IF(J142&lt;2026,"Atualizar preço/status",IF(Y142="Baixa","Adicionar fonte/URL/data",IF(W142&lt;0.55,"Rever comparabilidade","OK"))))</x:f>
        <x:v>Manter</x:v>
      </x:c>
      <x:c r="AB142" t="str">
        <x:f>IF(A142="The View","",IF(OR(J142&lt;2026,Y142="Baixa"),"Alta",IF(W142&lt;0.55,"Média","Baixa")))</x:f>
      </x:c>
    </x:row>
    <x:row r="143">
      <x:c r="A143" s="1" t="s">
        <x:v>99</x:v>
      </x:c>
      <x:c r="B143" s="1" t="s">
        <x:v>138</x:v>
      </x:c>
      <x:c r="C143" s="1">
        <x:v>6</x:v>
      </x:c>
      <x:c r="D143" s="1" t="s">
        <x:v>47</x:v>
      </x:c>
      <x:c r="E143" s="1">
        <x:v>1</x:v>
      </x:c>
      <x:c r="F143" s="24">
        <x:v>152.80000000000001</x:v>
      </x:c>
      <x:c r="G143" s="24">
        <x:v>64.459999999999994</x:v>
      </x:c>
      <x:c r="H143" s="24">
        <x:v>217.26</x:v>
      </x:c>
      <x:c r="I143" s="26">
        <x:v>1450000</x:v>
      </x:c>
      <x:c r="J143" s="1">
        <x:v>2026</x:v>
      </x:c>
      <x:c r="K143" s="26">
        <x:v>9489.5287958115168</x:v>
      </x:c>
      <x:c r="L143" s="26">
        <x:v>6674.0311147933353</x:v>
      </x:c>
      <x:c r="M143" t="str">
        <x:f>IF(A143="The View","Projeto",IF(J143&gt;=2026,"Ativo",IF(J143=2025,"Rever","Histórico")))</x:f>
        <x:v>Projeto</x:v>
      </x:c>
      <x:c r="N143" t="str"/>
      <x:c r="O143" t="str"/>
      <x:c r="P143" s="30" t="str"/>
      <x:c r="Q143" t="str">
        <x:f>IF(A143="The View","Projeto",IF(A143="Le Parc","Benchmark local",IF(OR(A143="Del Mar Waterfront",A143="Aura Living"),"Premium waterfront/marina","A classificar")))</x:f>
        <x:v>Projeto</x:v>
      </x:c>
      <x:c r="R143" t="str">
        <x:v>Nova construção</x:v>
      </x:c>
      <x:c r="S143" t="str"/>
      <x:c r="T143" t="str"/>
      <x:c r="U143" t="str"/>
      <x:c r="V143" t="str"/>
      <x:c r="W143" s="28" t="n">
        <x:f>IF(A143="The View",1,MAX(0.25,MIN(1,IF(J143&gt;=2026,1,IF(J143=2025,0.8,IF(J143=2024,0.45,0.3)))*IF(Q143="Premium waterfront/marina",1,IF(Q143="Benchmark local",0.7,0.6))*IF(M143="Vendido",0.65,IF(M143="Reservado",0.8,IF(M143="Histórico",0.55,1))))))</x:f>
        <x:v>1</x:v>
      </x:c>
      <x:c r="X143" t="str">
        <x:f>IF(A143="The View","Projeto",IF(W143&gt;=0.85,"A · Premium ativo",IF(W143&gt;=0.55,"B · Benchmark local","C · Histórico/secundário")))</x:f>
        <x:v>Projeto</x:v>
      </x:c>
      <x:c r="Y143" t="str">
        <x:f>IF(A143="The View","N/A",IF(AND(N143&lt;&gt;"",O143&lt;&gt;"",P143&lt;&gt;""),"Alta",IF(OR(N143&lt;&gt;"",O143&lt;&gt;"",P143&lt;&gt;""),"Média","Baixa")))</x:f>
        <x:v>N/A</x:v>
      </x:c>
      <x:c r="Z143" t="str"/>
      <x:c r="AA143" t="str">
        <x:f>IF(A143="The View","Manter",IF(J143&lt;2026,"Atualizar preço/status",IF(Y143="Baixa","Adicionar fonte/URL/data",IF(W143&lt;0.55,"Rever comparabilidade","OK"))))</x:f>
        <x:v>Manter</x:v>
      </x:c>
      <x:c r="AB143" t="str">
        <x:f>IF(A143="The View","",IF(OR(J143&lt;2026,Y143="Baixa"),"Alta",IF(W143&lt;0.55,"Média","Baixa")))</x:f>
      </x:c>
    </x:row>
    <x:row r="144">
      <x:c r="A144" s="1" t="s">
        <x:v>99</x:v>
      </x:c>
      <x:c r="B144" s="1" t="s">
        <x:v>139</x:v>
      </x:c>
      <x:c r="C144" s="1">
        <x:v>6</x:v>
      </x:c>
      <x:c r="D144" s="1" t="s">
        <x:v>15</x:v>
      </x:c>
      <x:c r="E144" s="1">
        <x:v>2</x:v>
      </x:c>
      <x:c r="F144" s="24">
        <x:v>123.81</x:v>
      </x:c>
      <x:c r="G144" s="24">
        <x:v>40.74</x:v>
      </x:c>
      <x:c r="H144" s="24">
        <x:v>164.55</x:v>
      </x:c>
      <x:c r="I144" s="26">
        <x:v>1100000</x:v>
      </x:c>
      <x:c r="J144" s="1">
        <x:v>2026</x:v>
      </x:c>
      <x:c r="K144" s="26">
        <x:v>8884.5812131491803</x:v>
      </x:c>
      <x:c r="L144" s="26">
        <x:v>6684.898207231844</x:v>
      </x:c>
      <x:c r="M144" t="str">
        <x:f>IF(A144="The View","Projeto",IF(J144&gt;=2026,"Ativo",IF(J144=2025,"Rever","Histórico")))</x:f>
        <x:v>Projeto</x:v>
      </x:c>
      <x:c r="N144" t="str"/>
      <x:c r="O144" t="str"/>
      <x:c r="P144" s="30" t="str"/>
      <x:c r="Q144" t="str">
        <x:f>IF(A144="The View","Projeto",IF(A144="Le Parc","Benchmark local",IF(OR(A144="Del Mar Waterfront",A144="Aura Living"),"Premium waterfront/marina","A classificar")))</x:f>
        <x:v>Projeto</x:v>
      </x:c>
      <x:c r="R144" t="str">
        <x:v>Nova construção</x:v>
      </x:c>
      <x:c r="S144" t="str"/>
      <x:c r="T144" t="str"/>
      <x:c r="U144" t="str"/>
      <x:c r="V144" t="str"/>
      <x:c r="W144" s="28" t="n">
        <x:f>IF(A144="The View",1,MAX(0.25,MIN(1,IF(J144&gt;=2026,1,IF(J144=2025,0.8,IF(J144=2024,0.45,0.3)))*IF(Q144="Premium waterfront/marina",1,IF(Q144="Benchmark local",0.7,0.6))*IF(M144="Vendido",0.65,IF(M144="Reservado",0.8,IF(M144="Histórico",0.55,1))))))</x:f>
        <x:v>1</x:v>
      </x:c>
      <x:c r="X144" t="str">
        <x:f>IF(A144="The View","Projeto",IF(W144&gt;=0.85,"A · Premium ativo",IF(W144&gt;=0.55,"B · Benchmark local","C · Histórico/secundário")))</x:f>
        <x:v>Projeto</x:v>
      </x:c>
      <x:c r="Y144" t="str">
        <x:f>IF(A144="The View","N/A",IF(AND(N144&lt;&gt;"",O144&lt;&gt;"",P144&lt;&gt;""),"Alta",IF(OR(N144&lt;&gt;"",O144&lt;&gt;"",P144&lt;&gt;""),"Média","Baixa")))</x:f>
        <x:v>N/A</x:v>
      </x:c>
      <x:c r="Z144" t="str"/>
      <x:c r="AA144" t="str">
        <x:f>IF(A144="The View","Manter",IF(J144&lt;2026,"Atualizar preço/status",IF(Y144="Baixa","Adicionar fonte/URL/data",IF(W144&lt;0.55,"Rever comparabilidade","OK"))))</x:f>
        <x:v>Manter</x:v>
      </x:c>
      <x:c r="AB144" t="str">
        <x:f>IF(A144="The View","",IF(OR(J144&lt;2026,Y144="Baixa"),"Alta",IF(W144&lt;0.55,"Média","Baixa")))</x:f>
      </x:c>
    </x:row>
    <x:row r="145">
      <x:c r="A145" s="1" t="s">
        <x:v>99</x:v>
      </x:c>
      <x:c r="B145" s="1" t="s">
        <x:v>140</x:v>
      </x:c>
      <x:c r="C145" s="1">
        <x:v>6</x:v>
      </x:c>
      <x:c r="D145" s="1" t="s">
        <x:v>25</x:v>
      </x:c>
      <x:c r="E145" s="1">
        <x:v>4</x:v>
      </x:c>
      <x:c r="F145" s="24">
        <x:v>75.66</x:v>
      </x:c>
      <x:c r="G145" s="24">
        <x:v>16.190000000000001</x:v>
      </x:c>
      <x:c r="H145" s="24">
        <x:v>91.85</x:v>
      </x:c>
      <x:c r="I145" s="26">
        <x:v>520000</x:v>
      </x:c>
      <x:c r="J145" s="1">
        <x:v>2026</x:v>
      </x:c>
      <x:c r="K145" s="26">
        <x:v>6872.8522336769774</x:v>
      </x:c>
      <x:c r="L145" s="26">
        <x:v>5661.404463799674</x:v>
      </x:c>
      <x:c r="M145" t="str">
        <x:f>IF(A145="The View","Projeto",IF(J145&gt;=2026,"Ativo",IF(J145=2025,"Rever","Histórico")))</x:f>
        <x:v>Projeto</x:v>
      </x:c>
      <x:c r="N145" t="str"/>
      <x:c r="O145" t="str"/>
      <x:c r="P145" s="30" t="str"/>
      <x:c r="Q145" t="str">
        <x:f>IF(A145="The View","Projeto",IF(A145="Le Parc","Benchmark local",IF(OR(A145="Del Mar Waterfront",A145="Aura Living"),"Premium waterfront/marina","A classificar")))</x:f>
        <x:v>Projeto</x:v>
      </x:c>
      <x:c r="R145" t="str">
        <x:v>Nova construção</x:v>
      </x:c>
      <x:c r="S145" t="str"/>
      <x:c r="T145" t="str"/>
      <x:c r="U145" t="str"/>
      <x:c r="V145" t="str"/>
      <x:c r="W145" s="28" t="n">
        <x:f>IF(A145="The View",1,MAX(0.25,MIN(1,IF(J145&gt;=2026,1,IF(J145=2025,0.8,IF(J145=2024,0.45,0.3)))*IF(Q145="Premium waterfront/marina",1,IF(Q145="Benchmark local",0.7,0.6))*IF(M145="Vendido",0.65,IF(M145="Reservado",0.8,IF(M145="Histórico",0.55,1))))))</x:f>
        <x:v>1</x:v>
      </x:c>
      <x:c r="X145" t="str">
        <x:f>IF(A145="The View","Projeto",IF(W145&gt;=0.85,"A · Premium ativo",IF(W145&gt;=0.55,"B · Benchmark local","C · Histórico/secundário")))</x:f>
        <x:v>Projeto</x:v>
      </x:c>
      <x:c r="Y145" t="str">
        <x:f>IF(A145="The View","N/A",IF(AND(N145&lt;&gt;"",O145&lt;&gt;"",P145&lt;&gt;""),"Alta",IF(OR(N145&lt;&gt;"",O145&lt;&gt;"",P145&lt;&gt;""),"Média","Baixa")))</x:f>
        <x:v>N/A</x:v>
      </x:c>
      <x:c r="Z145" t="str"/>
      <x:c r="AA145" t="str">
        <x:f>IF(A145="The View","Manter",IF(J145&lt;2026,"Atualizar preço/status",IF(Y145="Baixa","Adicionar fonte/URL/data",IF(W145&lt;0.55,"Rever comparabilidade","OK"))))</x:f>
        <x:v>Manter</x:v>
      </x:c>
      <x:c r="AB145" t="str">
        <x:f>IF(A145="The View","",IF(OR(J145&lt;2026,Y145="Baixa"),"Alta",IF(W145&lt;0.55,"Média","Baixa")))</x:f>
      </x:c>
    </x:row>
    <x:row r="146">
      <x:c r="A146" s="1" t="s">
        <x:v>99</x:v>
      </x:c>
      <x:c r="B146" s="1" t="s">
        <x:v>141</x:v>
      </x:c>
      <x:c r="C146" s="1">
        <x:v>6</x:v>
      </x:c>
      <x:c r="D146" s="1" t="s">
        <x:v>47</x:v>
      </x:c>
      <x:c r="E146" s="1">
        <x:v>3</x:v>
      </x:c>
      <x:c r="F146" s="24">
        <x:v>111.99</x:v>
      </x:c>
      <x:c r="G146" s="24">
        <x:v>92.22</x:v>
      </x:c>
      <x:c r="H146" s="24">
        <x:v>204.21</x:v>
      </x:c>
      <x:c r="I146" s="26">
        <x:v>1100000</x:v>
      </x:c>
      <x:c r="J146" s="1">
        <x:v>2026</x:v>
      </x:c>
      <x:c r="K146" s="26">
        <x:v>9822.3055629966966</x:v>
      </x:c>
      <x:c r="L146" s="26">
        <x:v>5386.611821164488</x:v>
      </x:c>
      <x:c r="M146" t="str">
        <x:f>IF(A146="The View","Projeto",IF(J146&gt;=2026,"Ativo",IF(J146=2025,"Rever","Histórico")))</x:f>
        <x:v>Projeto</x:v>
      </x:c>
      <x:c r="N146" t="str"/>
      <x:c r="O146" t="str"/>
      <x:c r="P146" s="30" t="str"/>
      <x:c r="Q146" t="str">
        <x:f>IF(A146="The View","Projeto",IF(A146="Le Parc","Benchmark local",IF(OR(A146="Del Mar Waterfront",A146="Aura Living"),"Premium waterfront/marina","A classificar")))</x:f>
        <x:v>Projeto</x:v>
      </x:c>
      <x:c r="R146" t="str">
        <x:v>Nova construção</x:v>
      </x:c>
      <x:c r="S146" t="str"/>
      <x:c r="T146" t="str"/>
      <x:c r="U146" t="str"/>
      <x:c r="V146" t="str"/>
      <x:c r="W146" s="28" t="n">
        <x:f>IF(A146="The View",1,MAX(0.25,MIN(1,IF(J146&gt;=2026,1,IF(J146=2025,0.8,IF(J146=2024,0.45,0.3)))*IF(Q146="Premium waterfront/marina",1,IF(Q146="Benchmark local",0.7,0.6))*IF(M146="Vendido",0.65,IF(M146="Reservado",0.8,IF(M146="Histórico",0.55,1))))))</x:f>
        <x:v>1</x:v>
      </x:c>
      <x:c r="X146" t="str">
        <x:f>IF(A146="The View","Projeto",IF(W146&gt;=0.85,"A · Premium ativo",IF(W146&gt;=0.55,"B · Benchmark local","C · Histórico/secundário")))</x:f>
        <x:v>Projeto</x:v>
      </x:c>
      <x:c r="Y146" t="str">
        <x:f>IF(A146="The View","N/A",IF(AND(N146&lt;&gt;"",O146&lt;&gt;"",P146&lt;&gt;""),"Alta",IF(OR(N146&lt;&gt;"",O146&lt;&gt;"",P146&lt;&gt;""),"Média","Baixa")))</x:f>
        <x:v>N/A</x:v>
      </x:c>
      <x:c r="Z146" t="str"/>
      <x:c r="AA146" t="str">
        <x:f>IF(A146="The View","Manter",IF(J146&lt;2026,"Atualizar preço/status",IF(Y146="Baixa","Adicionar fonte/URL/data",IF(W146&lt;0.55,"Rever comparabilidade","OK"))))</x:f>
        <x:v>Manter</x:v>
      </x:c>
      <x:c r="AB146" t="str">
        <x:f>IF(A146="The View","",IF(OR(J146&lt;2026,Y146="Baixa"),"Alta",IF(W146&lt;0.55,"Média","Baixa")))</x:f>
      </x:c>
    </x:row>
    <x:row r="147">
      <x:c r="A147" s="1" t="s">
        <x:v>142</x:v>
      </x:c>
      <x:c r="B147" s="1" t="s">
        <x:v>143</x:v>
      </x:c>
      <x:c r="C147" s="1">
        <x:v>3</x:v>
      </x:c>
      <x:c r="D147" s="1" t="s">
        <x:v>15</x:v>
      </x:c>
      <x:c r="E147" s="1">
        <x:v>2</x:v>
      </x:c>
      <x:c r="F147" s="24">
        <x:v>48.4</x:v>
      </x:c>
      <x:c r="G147" s="24">
        <x:v>11.300000000000004</x:v>
      </x:c>
      <x:c r="H147" s="24">
        <x:v>59.7</x:v>
      </x:c>
      <x:c r="I147" s="26">
        <x:v>560000</x:v>
      </x:c>
      <x:c r="J147" s="1">
        <x:v>2026</x:v>
      </x:c>
      <x:c r="K147" s="26">
        <x:v>11570.247933884299</x:v>
      </x:c>
      <x:c r="L147" s="26">
        <x:v>9380.234505862647</x:v>
      </x:c>
      <x:c r="M147" t="str">
        <x:f>IF(A147="The View","Projeto",IF(J147&gt;=2026,"Ativo",IF(J147=2025,"Rever","Histórico")))</x:f>
        <x:v>Ativo</x:v>
      </x:c>
      <x:c r="N147" t="str"/>
      <x:c r="O147" t="str"/>
      <x:c r="P147" s="30" t="str"/>
      <x:c r="Q147" t="str">
        <x:f>IF(A147="The View","Projeto",IF(A147="Le Parc","Benchmark local",IF(OR(A147="Del Mar Waterfront",A147="Aura Living"),"Premium waterfront/marina","A classificar")))</x:f>
        <x:v>Premium waterfront/marina</x:v>
      </x:c>
      <x:c r="R147" t="str">
        <x:v>Nova construção</x:v>
      </x:c>
      <x:c r="S147" t="str"/>
      <x:c r="T147" t="str"/>
      <x:c r="U147" t="str"/>
      <x:c r="V147" t="str"/>
      <x:c r="W147" s="28" t="n">
        <x:f>IF(A147="The View",1,MAX(0.25,MIN(1,IF(J147&gt;=2026,1,IF(J147=2025,0.8,IF(J147=2024,0.45,0.3)))*IF(Q147="Premium waterfront/marina",1,IF(Q147="Benchmark local",0.7,0.6))*IF(M147="Vendido",0.65,IF(M147="Reservado",0.8,IF(M147="Histórico",0.55,1))))))</x:f>
        <x:v>1</x:v>
      </x:c>
      <x:c r="X147" t="str">
        <x:f>IF(A147="The View","Projeto",IF(W147&gt;=0.85,"A · Premium ativo",IF(W147&gt;=0.55,"B · Benchmark local","C · Histórico/secundário")))</x:f>
        <x:v>A · Premium ativo</x:v>
      </x:c>
      <x:c r="Y147" t="str">
        <x:f>IF(A147="The View","N/A",IF(AND(N147&lt;&gt;"",O147&lt;&gt;"",P147&lt;&gt;""),"Alta",IF(OR(N147&lt;&gt;"",O147&lt;&gt;"",P147&lt;&gt;""),"Média","Baixa")))</x:f>
        <x:v>Baixa</x:v>
      </x:c>
      <x:c r="Z147" t="str"/>
      <x:c r="AA147" t="str">
        <x:f>IF(A147="The View","Manter",IF(J147&lt;2026,"Atualizar preço/status",IF(Y147="Baixa","Adicionar fonte/URL/data",IF(W147&lt;0.55,"Rever comparabilidade","OK"))))</x:f>
        <x:v>Adicionar fonte/URL/data</x:v>
      </x:c>
      <x:c r="AB147" t="str">
        <x:f>IF(A147="The View","",IF(OR(J147&lt;2026,Y147="Baixa"),"Alta",IF(W147&lt;0.55,"Média","Baixa")))</x:f>
        <x:v>Alta</x:v>
      </x:c>
    </x:row>
    <x:row r="148">
      <x:c r="A148" s="1" t="s">
        <x:v>142</x:v>
      </x:c>
      <x:c r="B148" s="1" t="s">
        <x:v>144</x:v>
      </x:c>
      <x:c r="C148" s="1">
        <x:v>2</x:v>
      </x:c>
      <x:c r="D148" s="1" t="s">
        <x:v>47</x:v>
      </x:c>
      <x:c r="E148" s="1">
        <x:v>4</x:v>
      </x:c>
      <x:c r="F148" s="24">
        <x:v>62.6</x:v>
      </x:c>
      <x:c r="G148" s="24">
        <x:v>18.499999999999993</x:v>
      </x:c>
      <x:c r="H148" s="24">
        <x:v>81.099999999999994</x:v>
      </x:c>
      <x:c r="I148" s="26">
        <x:v>415000</x:v>
      </x:c>
      <x:c r="J148" s="1">
        <x:v>2026</x:v>
      </x:c>
      <x:c r="K148" s="26">
        <x:v>6629.3929712460058</x:v>
      </x:c>
      <x:c r="L148" s="26">
        <x:v>5117.1393341553639</x:v>
      </x:c>
      <x:c r="M148" t="str">
        <x:f>IF(A148="The View","Projeto",IF(J148&gt;=2026,"Ativo",IF(J148=2025,"Rever","Histórico")))</x:f>
        <x:v>Ativo</x:v>
      </x:c>
      <x:c r="N148" t="str"/>
      <x:c r="O148" t="str"/>
      <x:c r="P148" s="30" t="str"/>
      <x:c r="Q148" t="str">
        <x:f>IF(A148="The View","Projeto",IF(A148="Le Parc","Benchmark local",IF(OR(A148="Del Mar Waterfront",A148="Aura Living"),"Premium waterfront/marina","A classificar")))</x:f>
        <x:v>Premium waterfront/marina</x:v>
      </x:c>
      <x:c r="R148" t="str">
        <x:v>Nova construção</x:v>
      </x:c>
      <x:c r="S148" t="str"/>
      <x:c r="T148" t="str"/>
      <x:c r="U148" t="str"/>
      <x:c r="V148" t="str"/>
      <x:c r="W148" s="28" t="n">
        <x:f>IF(A148="The View",1,MAX(0.25,MIN(1,IF(J148&gt;=2026,1,IF(J148=2025,0.8,IF(J148=2024,0.45,0.3)))*IF(Q148="Premium waterfront/marina",1,IF(Q148="Benchmark local",0.7,0.6))*IF(M148="Vendido",0.65,IF(M148="Reservado",0.8,IF(M148="Histórico",0.55,1))))))</x:f>
        <x:v>1</x:v>
      </x:c>
      <x:c r="X148" t="str">
        <x:f>IF(A148="The View","Projeto",IF(W148&gt;=0.85,"A · Premium ativo",IF(W148&gt;=0.55,"B · Benchmark local","C · Histórico/secundário")))</x:f>
        <x:v>A · Premium ativo</x:v>
      </x:c>
      <x:c r="Y148" t="str">
        <x:f>IF(A148="The View","N/A",IF(AND(N148&lt;&gt;"",O148&lt;&gt;"",P148&lt;&gt;""),"Alta",IF(OR(N148&lt;&gt;"",O148&lt;&gt;"",P148&lt;&gt;""),"Média","Baixa")))</x:f>
        <x:v>Baixa</x:v>
      </x:c>
      <x:c r="Z148" t="str"/>
      <x:c r="AA148" t="str">
        <x:f>IF(A148="The View","Manter",IF(J148&lt;2026,"Atualizar preço/status",IF(Y148="Baixa","Adicionar fonte/URL/data",IF(W148&lt;0.55,"Rever comparabilidade","OK"))))</x:f>
        <x:v>Adicionar fonte/URL/data</x:v>
      </x:c>
      <x:c r="AB148" t="str">
        <x:f>IF(A148="The View","",IF(OR(J148&lt;2026,Y148="Baixa"),"Alta",IF(W148&lt;0.55,"Média","Baixa")))</x:f>
        <x:v>Alta</x:v>
      </x:c>
    </x:row>
    <x:row r="149">
      <x:c r="A149" s="1" t="s">
        <x:v>142</x:v>
      </x:c>
      <x:c r="B149" s="1" t="s">
        <x:v>145</x:v>
      </x:c>
      <x:c r="C149" s="1">
        <x:v>2</x:v>
      </x:c>
      <x:c r="D149" s="1" t="s">
        <x:v>15</x:v>
      </x:c>
      <x:c r="E149" s="1">
        <x:v>4</x:v>
      </x:c>
      <x:c r="F149" s="24">
        <x:v>50.15</x:v>
      </x:c>
      <x:c r="G149" s="24">
        <x:v>17.949999999999996</x:v>
      </x:c>
      <x:c r="H149" s="24">
        <x:v>68.099999999999994</x:v>
      </x:c>
      <x:c r="I149" s="26">
        <x:v>380000</x:v>
      </x:c>
      <x:c r="J149" s="1">
        <x:v>2026</x:v>
      </x:c>
      <x:c r="K149" s="26">
        <x:v>7577.2681954137588</x:v>
      </x:c>
      <x:c r="L149" s="26">
        <x:v>5580.0293685756242</x:v>
      </x:c>
      <x:c r="M149" t="str">
        <x:f>IF(A149="The View","Projeto",IF(J149&gt;=2026,"Ativo",IF(J149=2025,"Rever","Histórico")))</x:f>
        <x:v>Ativo</x:v>
      </x:c>
      <x:c r="N149" t="str"/>
      <x:c r="O149" t="str"/>
      <x:c r="P149" s="30" t="str"/>
      <x:c r="Q149" t="str">
        <x:f>IF(A149="The View","Projeto",IF(A149="Le Parc","Benchmark local",IF(OR(A149="Del Mar Waterfront",A149="Aura Living"),"Premium waterfront/marina","A classificar")))</x:f>
        <x:v>Premium waterfront/marina</x:v>
      </x:c>
      <x:c r="R149" t="str">
        <x:v>Nova construção</x:v>
      </x:c>
      <x:c r="S149" t="str"/>
      <x:c r="T149" t="str"/>
      <x:c r="U149" t="str"/>
      <x:c r="V149" t="str"/>
      <x:c r="W149" s="28" t="n">
        <x:f>IF(A149="The View",1,MAX(0.25,MIN(1,IF(J149&gt;=2026,1,IF(J149=2025,0.8,IF(J149=2024,0.45,0.3)))*IF(Q149="Premium waterfront/marina",1,IF(Q149="Benchmark local",0.7,0.6))*IF(M149="Vendido",0.65,IF(M149="Reservado",0.8,IF(M149="Histórico",0.55,1))))))</x:f>
        <x:v>1</x:v>
      </x:c>
      <x:c r="X149" t="str">
        <x:f>IF(A149="The View","Projeto",IF(W149&gt;=0.85,"A · Premium ativo",IF(W149&gt;=0.55,"B · Benchmark local","C · Histórico/secundário")))</x:f>
        <x:v>A · Premium ativo</x:v>
      </x:c>
      <x:c r="Y149" t="str">
        <x:f>IF(A149="The View","N/A",IF(AND(N149&lt;&gt;"",O149&lt;&gt;"",P149&lt;&gt;""),"Alta",IF(OR(N149&lt;&gt;"",O149&lt;&gt;"",P149&lt;&gt;""),"Média","Baixa")))</x:f>
        <x:v>Baixa</x:v>
      </x:c>
      <x:c r="Z149" t="str"/>
      <x:c r="AA149" t="str">
        <x:f>IF(A149="The View","Manter",IF(J149&lt;2026,"Atualizar preço/status",IF(Y149="Baixa","Adicionar fonte/URL/data",IF(W149&lt;0.55,"Rever comparabilidade","OK"))))</x:f>
        <x:v>Adicionar fonte/URL/data</x:v>
      </x:c>
      <x:c r="AB149" t="str">
        <x:f>IF(A149="The View","",IF(OR(J149&lt;2026,Y149="Baixa"),"Alta",IF(W149&lt;0.55,"Média","Baixa")))</x:f>
        <x:v>Alta</x:v>
      </x:c>
    </x:row>
    <x:row r="150">
      <x:c r="A150" s="1" t="s">
        <x:v>142</x:v>
      </x:c>
      <x:c r="B150" s="1" t="s">
        <x:v>13</x:v>
      </x:c>
      <x:c r="C150" s="1" t="s">
        <x:v>14</x:v>
      </x:c>
      <x:c r="D150" s="1" t="s">
        <x:v>15</x:v>
      </x:c>
      <x:c r="E150" s="1">
        <x:v>3</x:v>
      </x:c>
      <x:c r="F150" s="24">
        <x:v>59.5</x:v>
      </x:c>
      <x:c r="G150" s="24">
        <x:v>12.5</x:v>
      </x:c>
      <x:c r="H150" s="24">
        <x:v>72</x:v>
      </x:c>
      <x:c r="I150" s="26">
        <x:v>495000</x:v>
      </x:c>
      <x:c r="J150" s="1">
        <x:v>2026</x:v>
      </x:c>
      <x:c r="K150" s="26">
        <x:v>8319.3277310924368</x:v>
      </x:c>
      <x:c r="L150" s="26">
        <x:v>6875</x:v>
      </x:c>
      <x:c r="M150" t="str">
        <x:f>IF(A150="The View","Projeto",IF(J150&gt;=2026,"Ativo",IF(J150=2025,"Rever","Histórico")))</x:f>
        <x:v>Ativo</x:v>
      </x:c>
      <x:c r="N150" t="str"/>
      <x:c r="O150" t="str"/>
      <x:c r="P150" s="30" t="str"/>
      <x:c r="Q150" t="str">
        <x:f>IF(A150="The View","Projeto",IF(A150="Le Parc","Benchmark local",IF(OR(A150="Del Mar Waterfront",A150="Aura Living"),"Premium waterfront/marina","A classificar")))</x:f>
        <x:v>Premium waterfront/marina</x:v>
      </x:c>
      <x:c r="R150" t="str">
        <x:v>Nova construção</x:v>
      </x:c>
      <x:c r="S150" t="str"/>
      <x:c r="T150" t="str"/>
      <x:c r="U150" t="str"/>
      <x:c r="V150" t="str"/>
      <x:c r="W150" s="28" t="n">
        <x:f>IF(A150="The View",1,MAX(0.25,MIN(1,IF(J150&gt;=2026,1,IF(J150=2025,0.8,IF(J150=2024,0.45,0.3)))*IF(Q150="Premium waterfront/marina",1,IF(Q150="Benchmark local",0.7,0.6))*IF(M150="Vendido",0.65,IF(M150="Reservado",0.8,IF(M150="Histórico",0.55,1))))))</x:f>
        <x:v>1</x:v>
      </x:c>
      <x:c r="X150" t="str">
        <x:f>IF(A150="The View","Projeto",IF(W150&gt;=0.85,"A · Premium ativo",IF(W150&gt;=0.55,"B · Benchmark local","C · Histórico/secundário")))</x:f>
        <x:v>A · Premium ativo</x:v>
      </x:c>
      <x:c r="Y150" t="str">
        <x:f>IF(A150="The View","N/A",IF(AND(N150&lt;&gt;"",O150&lt;&gt;"",P150&lt;&gt;""),"Alta",IF(OR(N150&lt;&gt;"",O150&lt;&gt;"",P150&lt;&gt;""),"Média","Baixa")))</x:f>
        <x:v>Baixa</x:v>
      </x:c>
      <x:c r="Z150" t="str"/>
      <x:c r="AA150" t="str">
        <x:f>IF(A150="The View","Manter",IF(J150&lt;2026,"Atualizar preço/status",IF(Y150="Baixa","Adicionar fonte/URL/data",IF(W150&lt;0.55,"Rever comparabilidade","OK"))))</x:f>
        <x:v>Adicionar fonte/URL/data</x:v>
      </x:c>
      <x:c r="AB150" t="str">
        <x:f>IF(A150="The View","",IF(OR(J150&lt;2026,Y150="Baixa"),"Alta",IF(W150&lt;0.55,"Média","Baixa")))</x:f>
        <x:v>Alta</x:v>
      </x:c>
    </x:row>
    <x:row r="151">
      <x:c r="A151" s="1" t="s">
        <x:v>142</x:v>
      </x:c>
      <x:c r="B151" s="1" t="s">
        <x:v>21</x:v>
      </x:c>
      <x:c r="C151" s="1">
        <x:v>2</x:v>
      </x:c>
      <x:c r="D151" s="1" t="s">
        <x:v>15</x:v>
      </x:c>
      <x:c r="E151" s="1">
        <x:v>4</x:v>
      </x:c>
      <x:c r="F151" s="24">
        <x:v>50.15</x:v>
      </x:c>
      <x:c r="G151" s="24">
        <x:v>12.050000000000004</x:v>
      </x:c>
      <x:c r="H151" s="24">
        <x:v>62.2</x:v>
      </x:c>
      <x:c r="I151" s="26">
        <x:v>380000</x:v>
      </x:c>
      <x:c r="J151" s="1">
        <x:v>2026</x:v>
      </x:c>
      <x:c r="K151" s="26">
        <x:v>7577.2681954137588</x:v>
      </x:c>
      <x:c r="L151" s="26">
        <x:v>6109.3247588424438</x:v>
      </x:c>
      <x:c r="M151" t="str">
        <x:f>IF(A151="The View","Projeto",IF(J151&gt;=2026,"Ativo",IF(J151=2025,"Rever","Histórico")))</x:f>
        <x:v>Ativo</x:v>
      </x:c>
      <x:c r="N151" t="str"/>
      <x:c r="O151" t="str"/>
      <x:c r="P151" s="30" t="str"/>
      <x:c r="Q151" t="str">
        <x:f>IF(A151="The View","Projeto",IF(A151="Le Parc","Benchmark local",IF(OR(A151="Del Mar Waterfront",A151="Aura Living"),"Premium waterfront/marina","A classificar")))</x:f>
        <x:v>Premium waterfront/marina</x:v>
      </x:c>
      <x:c r="R151" t="str">
        <x:v>Nova construção</x:v>
      </x:c>
      <x:c r="S151" t="str"/>
      <x:c r="T151" t="str"/>
      <x:c r="U151" t="str"/>
      <x:c r="V151" t="str"/>
      <x:c r="W151" s="28" t="n">
        <x:f>IF(A151="The View",1,MAX(0.25,MIN(1,IF(J151&gt;=2026,1,IF(J151=2025,0.8,IF(J151=2024,0.45,0.3)))*IF(Q151="Premium waterfront/marina",1,IF(Q151="Benchmark local",0.7,0.6))*IF(M151="Vendido",0.65,IF(M151="Reservado",0.8,IF(M151="Histórico",0.55,1))))))</x:f>
        <x:v>1</x:v>
      </x:c>
      <x:c r="X151" t="str">
        <x:f>IF(A151="The View","Projeto",IF(W151&gt;=0.85,"A · Premium ativo",IF(W151&gt;=0.55,"B · Benchmark local","C · Histórico/secundário")))</x:f>
        <x:v>A · Premium ativo</x:v>
      </x:c>
      <x:c r="Y151" t="str">
        <x:f>IF(A151="The View","N/A",IF(AND(N151&lt;&gt;"",O151&lt;&gt;"",P151&lt;&gt;""),"Alta",IF(OR(N151&lt;&gt;"",O151&lt;&gt;"",P151&lt;&gt;""),"Média","Baixa")))</x:f>
        <x:v>Baixa</x:v>
      </x:c>
      <x:c r="Z151" t="str"/>
      <x:c r="AA151" t="str">
        <x:f>IF(A151="The View","Manter",IF(J151&lt;2026,"Atualizar preço/status",IF(Y151="Baixa","Adicionar fonte/URL/data",IF(W151&lt;0.55,"Rever comparabilidade","OK"))))</x:f>
        <x:v>Adicionar fonte/URL/data</x:v>
      </x:c>
      <x:c r="AB151" t="str">
        <x:f>IF(A151="The View","",IF(OR(J151&lt;2026,Y151="Baixa"),"Alta",IF(W151&lt;0.55,"Média","Baixa")))</x:f>
        <x:v>Alta</x:v>
      </x:c>
    </x:row>
    <x:row r="152">
      <x:c r="A152" s="1" t="s">
        <x:v>142</x:v>
      </x:c>
      <x:c r="B152" s="1" t="s">
        <x:v>22</x:v>
      </x:c>
      <x:c r="C152" s="1">
        <x:v>3</x:v>
      </x:c>
      <x:c r="D152" s="1" t="s">
        <x:v>25</x:v>
      </x:c>
      <x:c r="E152" s="1">
        <x:v>3</x:v>
      </x:c>
      <x:c r="F152" s="24">
        <x:v>40.4</x:v>
      </x:c>
      <x:c r="G152" s="24">
        <x:v>8.5</x:v>
      </x:c>
      <x:c r="H152" s="24">
        <x:v>48.9</x:v>
      </x:c>
      <x:c r="I152" s="26">
        <x:v>385000</x:v>
      </x:c>
      <x:c r="J152" s="1">
        <x:v>2026</x:v>
      </x:c>
      <x:c r="K152" s="26">
        <x:v>9529.7029702970303</x:v>
      </x:c>
      <x:c r="L152" s="26">
        <x:v>7873.2106339468301</x:v>
      </x:c>
      <x:c r="M152" t="str">
        <x:f>IF(A152="The View","Projeto",IF(J152&gt;=2026,"Ativo",IF(J152=2025,"Rever","Histórico")))</x:f>
        <x:v>Ativo</x:v>
      </x:c>
      <x:c r="N152" t="str"/>
      <x:c r="O152" t="str"/>
      <x:c r="P152" s="30" t="str"/>
      <x:c r="Q152" t="str">
        <x:f>IF(A152="The View","Projeto",IF(A152="Le Parc","Benchmark local",IF(OR(A152="Del Mar Waterfront",A152="Aura Living"),"Premium waterfront/marina","A classificar")))</x:f>
        <x:v>Premium waterfront/marina</x:v>
      </x:c>
      <x:c r="R152" t="str">
        <x:v>Nova construção</x:v>
      </x:c>
      <x:c r="S152" t="str"/>
      <x:c r="T152" t="str"/>
      <x:c r="U152" t="str"/>
      <x:c r="V152" t="str"/>
      <x:c r="W152" s="28" t="n">
        <x:f>IF(A152="The View",1,MAX(0.25,MIN(1,IF(J152&gt;=2026,1,IF(J152=2025,0.8,IF(J152=2024,0.45,0.3)))*IF(Q152="Premium waterfront/marina",1,IF(Q152="Benchmark local",0.7,0.6))*IF(M152="Vendido",0.65,IF(M152="Reservado",0.8,IF(M152="Histórico",0.55,1))))))</x:f>
        <x:v>1</x:v>
      </x:c>
      <x:c r="X152" t="str">
        <x:f>IF(A152="The View","Projeto",IF(W152&gt;=0.85,"A · Premium ativo",IF(W152&gt;=0.55,"B · Benchmark local","C · Histórico/secundário")))</x:f>
        <x:v>A · Premium ativo</x:v>
      </x:c>
      <x:c r="Y152" t="str">
        <x:f>IF(A152="The View","N/A",IF(AND(N152&lt;&gt;"",O152&lt;&gt;"",P152&lt;&gt;""),"Alta",IF(OR(N152&lt;&gt;"",O152&lt;&gt;"",P152&lt;&gt;""),"Média","Baixa")))</x:f>
        <x:v>Baixa</x:v>
      </x:c>
      <x:c r="Z152" t="str"/>
      <x:c r="AA152" t="str">
        <x:f>IF(A152="The View","Manter",IF(J152&lt;2026,"Atualizar preço/status",IF(Y152="Baixa","Adicionar fonte/URL/data",IF(W152&lt;0.55,"Rever comparabilidade","OK"))))</x:f>
        <x:v>Adicionar fonte/URL/data</x:v>
      </x:c>
      <x:c r="AB152" t="str">
        <x:f>IF(A152="The View","",IF(OR(J152&lt;2026,Y152="Baixa"),"Alta",IF(W152&lt;0.55,"Média","Baixa")))</x:f>
        <x:v>Alta</x:v>
      </x:c>
    </x:row>
    <x:row r="153">
      <x:c r="A153" s="1" t="s">
        <x:v>142</x:v>
      </x:c>
      <x:c r="B153" s="1" t="s">
        <x:v>146</x:v>
      </x:c>
      <x:c r="C153" s="1">
        <x:v>3</x:v>
      </x:c>
      <x:c r="D153" s="1" t="s">
        <x:v>25</x:v>
      </x:c>
      <x:c r="E153" s="1">
        <x:v>4</x:v>
      </x:c>
      <x:c r="F153" s="24">
        <x:v>40.4</x:v>
      </x:c>
      <x:c r="G153" s="24">
        <x:v>8.5</x:v>
      </x:c>
      <x:c r="H153" s="24">
        <x:v>48.9</x:v>
      </x:c>
      <x:c r="I153" s="26">
        <x:v>385000</x:v>
      </x:c>
      <x:c r="J153" s="1">
        <x:v>2026</x:v>
      </x:c>
      <x:c r="K153" s="26">
        <x:v>9529.7029702970303</x:v>
      </x:c>
      <x:c r="L153" s="26">
        <x:v>7873.2106339468301</x:v>
      </x:c>
      <x:c r="M153" t="str">
        <x:f>IF(A153="The View","Projeto",IF(J153&gt;=2026,"Ativo",IF(J153=2025,"Rever","Histórico")))</x:f>
        <x:v>Ativo</x:v>
      </x:c>
      <x:c r="N153" t="str"/>
      <x:c r="O153" t="str"/>
      <x:c r="P153" s="30" t="str"/>
      <x:c r="Q153" t="str">
        <x:f>IF(A153="The View","Projeto",IF(A153="Le Parc","Benchmark local",IF(OR(A153="Del Mar Waterfront",A153="Aura Living"),"Premium waterfront/marina","A classificar")))</x:f>
        <x:v>Premium waterfront/marina</x:v>
      </x:c>
      <x:c r="R153" t="str">
        <x:v>Nova construção</x:v>
      </x:c>
      <x:c r="S153" t="str"/>
      <x:c r="T153" t="str"/>
      <x:c r="U153" t="str"/>
      <x:c r="V153" t="str"/>
      <x:c r="W153" s="28" t="n">
        <x:f>IF(A153="The View",1,MAX(0.25,MIN(1,IF(J153&gt;=2026,1,IF(J153=2025,0.8,IF(J153=2024,0.45,0.3)))*IF(Q153="Premium waterfront/marina",1,IF(Q153="Benchmark local",0.7,0.6))*IF(M153="Vendido",0.65,IF(M153="Reservado",0.8,IF(M153="Histórico",0.55,1))))))</x:f>
        <x:v>1</x:v>
      </x:c>
      <x:c r="X153" t="str">
        <x:f>IF(A153="The View","Projeto",IF(W153&gt;=0.85,"A · Premium ativo",IF(W153&gt;=0.55,"B · Benchmark local","C · Histórico/secundário")))</x:f>
        <x:v>A · Premium ativo</x:v>
      </x:c>
      <x:c r="Y153" t="str">
        <x:f>IF(A153="The View","N/A",IF(AND(N153&lt;&gt;"",O153&lt;&gt;"",P153&lt;&gt;""),"Alta",IF(OR(N153&lt;&gt;"",O153&lt;&gt;"",P153&lt;&gt;""),"Média","Baixa")))</x:f>
        <x:v>Baixa</x:v>
      </x:c>
      <x:c r="Z153" t="str"/>
      <x:c r="AA153" t="str">
        <x:f>IF(A153="The View","Manter",IF(J153&lt;2026,"Atualizar preço/status",IF(Y153="Baixa","Adicionar fonte/URL/data",IF(W153&lt;0.55,"Rever comparabilidade","OK"))))</x:f>
        <x:v>Adicionar fonte/URL/data</x:v>
      </x:c>
      <x:c r="AB153" t="str">
        <x:f>IF(A153="The View","",IF(OR(J153&lt;2026,Y153="Baixa"),"Alta",IF(W153&lt;0.55,"Média","Baixa")))</x:f>
        <x:v>Alta</x:v>
      </x:c>
    </x:row>
    <x:row r="154">
      <x:c r="A154" s="1" t="s">
        <x:v>142</x:v>
      </x:c>
      <x:c r="B154" s="1" t="s">
        <x:v>28</x:v>
      </x:c>
      <x:c r="C154" s="1">
        <x:v>1</x:v>
      </x:c>
      <x:c r="D154" s="1" t="s">
        <x:v>15</x:v>
      </x:c>
      <x:c r="E154" s="1">
        <x:v>4</x:v>
      </x:c>
      <x:c r="F154" s="24">
        <x:v>81.25</x:v>
      </x:c>
      <x:c r="G154" s="24">
        <x:v>30.25</x:v>
      </x:c>
      <x:c r="H154" s="24">
        <x:v>111.5</x:v>
      </x:c>
      <x:c r="I154" s="26">
        <x:v>600000</x:v>
      </x:c>
      <x:c r="J154" s="1">
        <x:v>2026</x:v>
      </x:c>
      <x:c r="K154" s="26">
        <x:v>7384.6153846153848</x:v>
      </x:c>
      <x:c r="L154" s="26">
        <x:v>5381.1659192825109</x:v>
      </x:c>
      <x:c r="M154" t="str">
        <x:f>IF(A154="The View","Projeto",IF(J154&gt;=2026,"Ativo",IF(J154=2025,"Rever","Histórico")))</x:f>
        <x:v>Ativo</x:v>
      </x:c>
      <x:c r="N154" t="str"/>
      <x:c r="O154" t="str"/>
      <x:c r="P154" s="30" t="str"/>
      <x:c r="Q154" t="str">
        <x:f>IF(A154="The View","Projeto",IF(A154="Le Parc","Benchmark local",IF(OR(A154="Del Mar Waterfront",A154="Aura Living"),"Premium waterfront/marina","A classificar")))</x:f>
        <x:v>Premium waterfront/marina</x:v>
      </x:c>
      <x:c r="R154" t="str">
        <x:v>Nova construção</x:v>
      </x:c>
      <x:c r="S154" t="str"/>
      <x:c r="T154" t="str"/>
      <x:c r="U154" t="str"/>
      <x:c r="V154" t="str"/>
      <x:c r="W154" s="28" t="n">
        <x:f>IF(A154="The View",1,MAX(0.25,MIN(1,IF(J154&gt;=2026,1,IF(J154=2025,0.8,IF(J154=2024,0.45,0.3)))*IF(Q154="Premium waterfront/marina",1,IF(Q154="Benchmark local",0.7,0.6))*IF(M154="Vendido",0.65,IF(M154="Reservado",0.8,IF(M154="Histórico",0.55,1))))))</x:f>
        <x:v>1</x:v>
      </x:c>
      <x:c r="X154" t="str">
        <x:f>IF(A154="The View","Projeto",IF(W154&gt;=0.85,"A · Premium ativo",IF(W154&gt;=0.55,"B · Benchmark local","C · Histórico/secundário")))</x:f>
        <x:v>A · Premium ativo</x:v>
      </x:c>
      <x:c r="Y154" t="str">
        <x:f>IF(A154="The View","N/A",IF(AND(N154&lt;&gt;"",O154&lt;&gt;"",P154&lt;&gt;""),"Alta",IF(OR(N154&lt;&gt;"",O154&lt;&gt;"",P154&lt;&gt;""),"Média","Baixa")))</x:f>
        <x:v>Baixa</x:v>
      </x:c>
      <x:c r="Z154" t="str"/>
      <x:c r="AA154" t="str">
        <x:f>IF(A154="The View","Manter",IF(J154&lt;2026,"Atualizar preço/status",IF(Y154="Baixa","Adicionar fonte/URL/data",IF(W154&lt;0.55,"Rever comparabilidade","OK"))))</x:f>
        <x:v>Adicionar fonte/URL/data</x:v>
      </x:c>
      <x:c r="AB154" t="str">
        <x:f>IF(A154="The View","",IF(OR(J154&lt;2026,Y154="Baixa"),"Alta",IF(W154&lt;0.55,"Média","Baixa")))</x:f>
        <x:v>Alta</x:v>
      </x:c>
    </x:row>
    <x:row r="155">
      <x:c r="A155" s="1" t="s">
        <x:v>142</x:v>
      </x:c>
      <x:c r="B155" s="1" t="s">
        <x:v>147</x:v>
      </x:c>
      <x:c r="C155" s="1">
        <x:v>1</x:v>
      </x:c>
      <x:c r="D155" s="1" t="s">
        <x:v>15</x:v>
      </x:c>
      <x:c r="E155" s="1">
        <x:v>1</x:v>
      </x:c>
      <x:c r="F155" s="24">
        <x:v>81.3</x:v>
      </x:c>
      <x:c r="G155" s="24">
        <x:v>12.100000000000009</x:v>
      </x:c>
      <x:c r="H155" s="24">
        <x:v>93.4</x:v>
      </x:c>
      <x:c r="I155" s="26">
        <x:v>495000</x:v>
      </x:c>
      <x:c r="J155" s="1">
        <x:v>2026</x:v>
      </x:c>
      <x:c r="K155" s="26">
        <x:v>6088.5608856088566</x:v>
      </x:c>
      <x:c r="L155" s="26">
        <x:v>5299.7858672376869</x:v>
      </x:c>
      <x:c r="M155" t="str">
        <x:f>IF(A155="The View","Projeto",IF(J155&gt;=2026,"Ativo",IF(J155=2025,"Rever","Histórico")))</x:f>
        <x:v>Ativo</x:v>
      </x:c>
      <x:c r="N155" t="str"/>
      <x:c r="O155" t="str"/>
      <x:c r="P155" s="30" t="str"/>
      <x:c r="Q155" t="str">
        <x:f>IF(A155="The View","Projeto",IF(A155="Le Parc","Benchmark local",IF(OR(A155="Del Mar Waterfront",A155="Aura Living"),"Premium waterfront/marina","A classificar")))</x:f>
        <x:v>Premium waterfront/marina</x:v>
      </x:c>
      <x:c r="R155" t="str">
        <x:v>Nova construção</x:v>
      </x:c>
      <x:c r="S155" t="str"/>
      <x:c r="T155" t="str"/>
      <x:c r="U155" t="str"/>
      <x:c r="V155" t="str"/>
      <x:c r="W155" s="28" t="n">
        <x:f>IF(A155="The View",1,MAX(0.25,MIN(1,IF(J155&gt;=2026,1,IF(J155=2025,0.8,IF(J155=2024,0.45,0.3)))*IF(Q155="Premium waterfront/marina",1,IF(Q155="Benchmark local",0.7,0.6))*IF(M155="Vendido",0.65,IF(M155="Reservado",0.8,IF(M155="Histórico",0.55,1))))))</x:f>
        <x:v>1</x:v>
      </x:c>
      <x:c r="X155" t="str">
        <x:f>IF(A155="The View","Projeto",IF(W155&gt;=0.85,"A · Premium ativo",IF(W155&gt;=0.55,"B · Benchmark local","C · Histórico/secundário")))</x:f>
        <x:v>A · Premium ativo</x:v>
      </x:c>
      <x:c r="Y155" t="str">
        <x:f>IF(A155="The View","N/A",IF(AND(N155&lt;&gt;"",O155&lt;&gt;"",P155&lt;&gt;""),"Alta",IF(OR(N155&lt;&gt;"",O155&lt;&gt;"",P155&lt;&gt;""),"Média","Baixa")))</x:f>
        <x:v>Baixa</x:v>
      </x:c>
      <x:c r="Z155" t="str"/>
      <x:c r="AA155" t="str">
        <x:f>IF(A155="The View","Manter",IF(J155&lt;2026,"Atualizar preço/status",IF(Y155="Baixa","Adicionar fonte/URL/data",IF(W155&lt;0.55,"Rever comparabilidade","OK"))))</x:f>
        <x:v>Adicionar fonte/URL/data</x:v>
      </x:c>
      <x:c r="AB155" t="str">
        <x:f>IF(A155="The View","",IF(OR(J155&lt;2026,Y155="Baixa"),"Alta",IF(W155&lt;0.55,"Média","Baixa")))</x:f>
        <x:v>Alta</x:v>
      </x:c>
    </x:row>
    <x:row r="156">
      <x:c r="A156" s="1" t="s">
        <x:v>142</x:v>
      </x:c>
      <x:c r="B156" s="1" t="s">
        <x:v>148</x:v>
      </x:c>
      <x:c r="C156" s="1">
        <x:v>1</x:v>
      </x:c>
      <x:c r="D156" s="1" t="s">
        <x:v>15</x:v>
      </x:c>
      <x:c r="E156" s="1">
        <x:v>1</x:v>
      </x:c>
      <x:c r="F156" s="24">
        <x:v>76.7</x:v>
      </x:c>
      <x:c r="G156" s="24">
        <x:v>30.200000000000003</x:v>
      </x:c>
      <x:c r="H156" s="24">
        <x:v>106.9</x:v>
      </x:c>
      <x:c r="I156" s="26">
        <x:v>599000</x:v>
      </x:c>
      <x:c r="J156" s="1">
        <x:v>2026</x:v>
      </x:c>
      <x:c r="K156" s="26">
        <x:v>7809.6479791395041</x:v>
      </x:c>
      <x:c r="L156" s="26">
        <x:v>5603.3676333021513</x:v>
      </x:c>
      <x:c r="M156" t="str">
        <x:f>IF(A156="The View","Projeto",IF(J156&gt;=2026,"Ativo",IF(J156=2025,"Rever","Histórico")))</x:f>
        <x:v>Ativo</x:v>
      </x:c>
      <x:c r="N156" t="str"/>
      <x:c r="O156" t="str"/>
      <x:c r="P156" s="30" t="str"/>
      <x:c r="Q156" t="str">
        <x:f>IF(A156="The View","Projeto",IF(A156="Le Parc","Benchmark local",IF(OR(A156="Del Mar Waterfront",A156="Aura Living"),"Premium waterfront/marina","A classificar")))</x:f>
        <x:v>Premium waterfront/marina</x:v>
      </x:c>
      <x:c r="R156" t="str">
        <x:v>Nova construção</x:v>
      </x:c>
      <x:c r="S156" t="str"/>
      <x:c r="T156" t="str"/>
      <x:c r="U156" t="str"/>
      <x:c r="V156" t="str"/>
      <x:c r="W156" s="28" t="n">
        <x:f>IF(A156="The View",1,MAX(0.25,MIN(1,IF(J156&gt;=2026,1,IF(J156=2025,0.8,IF(J156=2024,0.45,0.3)))*IF(Q156="Premium waterfront/marina",1,IF(Q156="Benchmark local",0.7,0.6))*IF(M156="Vendido",0.65,IF(M156="Reservado",0.8,IF(M156="Histórico",0.55,1))))))</x:f>
        <x:v>1</x:v>
      </x:c>
      <x:c r="X156" t="str">
        <x:f>IF(A156="The View","Projeto",IF(W156&gt;=0.85,"A · Premium ativo",IF(W156&gt;=0.55,"B · Benchmark local","C · Histórico/secundário")))</x:f>
        <x:v>A · Premium ativo</x:v>
      </x:c>
      <x:c r="Y156" t="str">
        <x:f>IF(A156="The View","N/A",IF(AND(N156&lt;&gt;"",O156&lt;&gt;"",P156&lt;&gt;""),"Alta",IF(OR(N156&lt;&gt;"",O156&lt;&gt;"",P156&lt;&gt;""),"Média","Baixa")))</x:f>
        <x:v>Baixa</x:v>
      </x:c>
      <x:c r="Z156" t="str"/>
      <x:c r="AA156" t="str">
        <x:f>IF(A156="The View","Manter",IF(J156&lt;2026,"Atualizar preço/status",IF(Y156="Baixa","Adicionar fonte/URL/data",IF(W156&lt;0.55,"Rever comparabilidade","OK"))))</x:f>
        <x:v>Adicionar fonte/URL/data</x:v>
      </x:c>
      <x:c r="AB156" t="str">
        <x:f>IF(A156="The View","",IF(OR(J156&lt;2026,Y156="Baixa"),"Alta",IF(W156&lt;0.55,"Média","Baixa")))</x:f>
        <x:v>Alta</x:v>
      </x:c>
    </x:row>
    <x:row r="157">
      <x:c r="A157" s="1" t="s">
        <x:v>142</x:v>
      </x:c>
      <x:c r="B157" s="1" t="s">
        <x:v>149</x:v>
      </x:c>
      <x:c r="C157" s="1">
        <x:v>2</x:v>
      </x:c>
      <x:c r="D157" s="1" t="s">
        <x:v>15</x:v>
      </x:c>
      <x:c r="E157" s="1">
        <x:v>2</x:v>
      </x:c>
      <x:c r="F157" s="24">
        <x:v>81.25</x:v>
      </x:c>
      <x:c r="G157" s="24">
        <x:v>30.25</x:v>
      </x:c>
      <x:c r="H157" s="24">
        <x:v>111.5</x:v>
      </x:c>
      <x:c r="I157" s="26">
        <x:v>620000</x:v>
      </x:c>
      <x:c r="J157" s="1">
        <x:v>2026</x:v>
      </x:c>
      <x:c r="K157" s="26">
        <x:v>7630.7692307692305</x:v>
      </x:c>
      <x:c r="L157" s="26">
        <x:v>5560.538116591928</x:v>
      </x:c>
      <x:c r="M157" t="str">
        <x:f>IF(A157="The View","Projeto",IF(J157&gt;=2026,"Ativo",IF(J157=2025,"Rever","Histórico")))</x:f>
        <x:v>Ativo</x:v>
      </x:c>
      <x:c r="N157" t="str"/>
      <x:c r="O157" t="str"/>
      <x:c r="P157" s="30" t="str"/>
      <x:c r="Q157" t="str">
        <x:f>IF(A157="The View","Projeto",IF(A157="Le Parc","Benchmark local",IF(OR(A157="Del Mar Waterfront",A157="Aura Living"),"Premium waterfront/marina","A classificar")))</x:f>
        <x:v>Premium waterfront/marina</x:v>
      </x:c>
      <x:c r="R157" t="str">
        <x:v>Nova construção</x:v>
      </x:c>
      <x:c r="S157" t="str"/>
      <x:c r="T157" t="str"/>
      <x:c r="U157" t="str"/>
      <x:c r="V157" t="str"/>
      <x:c r="W157" s="28" t="n">
        <x:f>IF(A157="The View",1,MAX(0.25,MIN(1,IF(J157&gt;=2026,1,IF(J157=2025,0.8,IF(J157=2024,0.45,0.3)))*IF(Q157="Premium waterfront/marina",1,IF(Q157="Benchmark local",0.7,0.6))*IF(M157="Vendido",0.65,IF(M157="Reservado",0.8,IF(M157="Histórico",0.55,1))))))</x:f>
        <x:v>1</x:v>
      </x:c>
      <x:c r="X157" t="str">
        <x:f>IF(A157="The View","Projeto",IF(W157&gt;=0.85,"A · Premium ativo",IF(W157&gt;=0.55,"B · Benchmark local","C · Histórico/secundário")))</x:f>
        <x:v>A · Premium ativo</x:v>
      </x:c>
      <x:c r="Y157" t="str">
        <x:f>IF(A157="The View","N/A",IF(AND(N157&lt;&gt;"",O157&lt;&gt;"",P157&lt;&gt;""),"Alta",IF(OR(N157&lt;&gt;"",O157&lt;&gt;"",P157&lt;&gt;""),"Média","Baixa")))</x:f>
        <x:v>Baixa</x:v>
      </x:c>
      <x:c r="Z157" t="str"/>
      <x:c r="AA157" t="str">
        <x:f>IF(A157="The View","Manter",IF(J157&lt;2026,"Atualizar preço/status",IF(Y157="Baixa","Adicionar fonte/URL/data",IF(W157&lt;0.55,"Rever comparabilidade","OK"))))</x:f>
        <x:v>Adicionar fonte/URL/data</x:v>
      </x:c>
      <x:c r="AB157" t="str">
        <x:f>IF(A157="The View","",IF(OR(J157&lt;2026,Y157="Baixa"),"Alta",IF(W157&lt;0.55,"Média","Baixa")))</x:f>
        <x:v>Alta</x:v>
      </x:c>
    </x:row>
    <x:row r="158">
      <x:c r="A158" s="1" t="s">
        <x:v>142</x:v>
      </x:c>
      <x:c r="B158" s="1" t="s">
        <x:v>59</x:v>
      </x:c>
      <x:c r="C158" s="1">
        <x:v>2</x:v>
      </x:c>
      <x:c r="D158" s="1" t="s">
        <x:v>15</x:v>
      </x:c>
      <x:c r="E158" s="1">
        <x:v>2</x:v>
      </x:c>
      <x:c r="F158" s="24">
        <x:v>81.3</x:v>
      </x:c>
      <x:c r="G158" s="24">
        <x:v>12.100000000000009</x:v>
      </x:c>
      <x:c r="H158" s="24">
        <x:v>93.4</x:v>
      </x:c>
      <x:c r="I158" s="26">
        <x:v>515000</x:v>
      </x:c>
      <x:c r="J158" s="1">
        <x:v>2026</x:v>
      </x:c>
      <x:c r="K158" s="26">
        <x:v>6334.5633456334563</x:v>
      </x:c>
      <x:c r="L158" s="26">
        <x:v>5513.9186295503205</x:v>
      </x:c>
      <x:c r="M158" t="str">
        <x:f>IF(A158="The View","Projeto",IF(J158&gt;=2026,"Ativo",IF(J158=2025,"Rever","Histórico")))</x:f>
        <x:v>Ativo</x:v>
      </x:c>
      <x:c r="N158" t="str"/>
      <x:c r="O158" t="str"/>
      <x:c r="P158" s="30" t="str"/>
      <x:c r="Q158" t="str">
        <x:f>IF(A158="The View","Projeto",IF(A158="Le Parc","Benchmark local",IF(OR(A158="Del Mar Waterfront",A158="Aura Living"),"Premium waterfront/marina","A classificar")))</x:f>
        <x:v>Premium waterfront/marina</x:v>
      </x:c>
      <x:c r="R158" t="str">
        <x:v>Nova construção</x:v>
      </x:c>
      <x:c r="S158" t="str"/>
      <x:c r="T158" t="str"/>
      <x:c r="U158" t="str"/>
      <x:c r="V158" t="str"/>
      <x:c r="W158" s="28" t="n">
        <x:f>IF(A158="The View",1,MAX(0.25,MIN(1,IF(J158&gt;=2026,1,IF(J158=2025,0.8,IF(J158=2024,0.45,0.3)))*IF(Q158="Premium waterfront/marina",1,IF(Q158="Benchmark local",0.7,0.6))*IF(M158="Vendido",0.65,IF(M158="Reservado",0.8,IF(M158="Histórico",0.55,1))))))</x:f>
        <x:v>1</x:v>
      </x:c>
      <x:c r="X158" t="str">
        <x:f>IF(A158="The View","Projeto",IF(W158&gt;=0.85,"A · Premium ativo",IF(W158&gt;=0.55,"B · Benchmark local","C · Histórico/secundário")))</x:f>
        <x:v>A · Premium ativo</x:v>
      </x:c>
      <x:c r="Y158" t="str">
        <x:f>IF(A158="The View","N/A",IF(AND(N158&lt;&gt;"",O158&lt;&gt;"",P158&lt;&gt;""),"Alta",IF(OR(N158&lt;&gt;"",O158&lt;&gt;"",P158&lt;&gt;""),"Média","Baixa")))</x:f>
        <x:v>Baixa</x:v>
      </x:c>
      <x:c r="Z158" t="str"/>
      <x:c r="AA158" t="str">
        <x:f>IF(A158="The View","Manter",IF(J158&lt;2026,"Atualizar preço/status",IF(Y158="Baixa","Adicionar fonte/URL/data",IF(W158&lt;0.55,"Rever comparabilidade","OK"))))</x:f>
        <x:v>Adicionar fonte/URL/data</x:v>
      </x:c>
      <x:c r="AB158" t="str">
        <x:f>IF(A158="The View","",IF(OR(J158&lt;2026,Y158="Baixa"),"Alta",IF(W158&lt;0.55,"Média","Baixa")))</x:f>
        <x:v>Alta</x:v>
      </x:c>
    </x:row>
    <x:row r="159">
      <x:c r="A159" s="1" t="s">
        <x:v>142</x:v>
      </x:c>
      <x:c r="B159" s="1" t="s">
        <x:v>150</x:v>
      </x:c>
      <x:c r="C159" s="1">
        <x:v>2</x:v>
      </x:c>
      <x:c r="D159" s="1" t="s">
        <x:v>15</x:v>
      </x:c>
      <x:c r="E159" s="1">
        <x:v>1</x:v>
      </x:c>
      <x:c r="F159" s="24">
        <x:v>76.7</x:v>
      </x:c>
      <x:c r="G159" s="24">
        <x:v>30.200000000000003</x:v>
      </x:c>
      <x:c r="H159" s="24">
        <x:v>106.9</x:v>
      </x:c>
      <x:c r="I159" s="26">
        <x:v>619000</x:v>
      </x:c>
      <x:c r="J159" s="1">
        <x:v>2026</x:v>
      </x:c>
      <x:c r="K159" s="26">
        <x:v>8070.4041720990872</x:v>
      </x:c>
      <x:c r="L159" s="26">
        <x:v>5790.4583723105707</x:v>
      </x:c>
      <x:c r="M159" t="str">
        <x:f>IF(A159="The View","Projeto",IF(J159&gt;=2026,"Ativo",IF(J159=2025,"Rever","Histórico")))</x:f>
        <x:v>Ativo</x:v>
      </x:c>
      <x:c r="N159" t="str"/>
      <x:c r="O159" t="str"/>
      <x:c r="P159" s="30" t="str"/>
      <x:c r="Q159" t="str">
        <x:f>IF(A159="The View","Projeto",IF(A159="Le Parc","Benchmark local",IF(OR(A159="Del Mar Waterfront",A159="Aura Living"),"Premium waterfront/marina","A classificar")))</x:f>
        <x:v>Premium waterfront/marina</x:v>
      </x:c>
      <x:c r="R159" t="str">
        <x:v>Nova construção</x:v>
      </x:c>
      <x:c r="S159" t="str"/>
      <x:c r="T159" t="str"/>
      <x:c r="U159" t="str"/>
      <x:c r="V159" t="str"/>
      <x:c r="W159" s="28" t="n">
        <x:f>IF(A159="The View",1,MAX(0.25,MIN(1,IF(J159&gt;=2026,1,IF(J159=2025,0.8,IF(J159=2024,0.45,0.3)))*IF(Q159="Premium waterfront/marina",1,IF(Q159="Benchmark local",0.7,0.6))*IF(M159="Vendido",0.65,IF(M159="Reservado",0.8,IF(M159="Histórico",0.55,1))))))</x:f>
        <x:v>1</x:v>
      </x:c>
      <x:c r="X159" t="str">
        <x:f>IF(A159="The View","Projeto",IF(W159&gt;=0.85,"A · Premium ativo",IF(W159&gt;=0.55,"B · Benchmark local","C · Histórico/secundário")))</x:f>
        <x:v>A · Premium ativo</x:v>
      </x:c>
      <x:c r="Y159" t="str">
        <x:f>IF(A159="The View","N/A",IF(AND(N159&lt;&gt;"",O159&lt;&gt;"",P159&lt;&gt;""),"Alta",IF(OR(N159&lt;&gt;"",O159&lt;&gt;"",P159&lt;&gt;""),"Média","Baixa")))</x:f>
        <x:v>Baixa</x:v>
      </x:c>
      <x:c r="Z159" t="str"/>
      <x:c r="AA159" t="str">
        <x:f>IF(A159="The View","Manter",IF(J159&lt;2026,"Atualizar preço/status",IF(Y159="Baixa","Adicionar fonte/URL/data",IF(W159&lt;0.55,"Rever comparabilidade","OK"))))</x:f>
        <x:v>Adicionar fonte/URL/data</x:v>
      </x:c>
      <x:c r="AB159" t="str">
        <x:f>IF(A159="The View","",IF(OR(J159&lt;2026,Y159="Baixa"),"Alta",IF(W159&lt;0.55,"Média","Baixa")))</x:f>
        <x:v>Alta</x:v>
      </x:c>
    </x:row>
    <x:row r="160">
      <x:c r="A160" s="1" t="s">
        <x:v>142</x:v>
      </x:c>
      <x:c r="B160" s="1" t="s">
        <x:v>151</x:v>
      </x:c>
      <x:c r="C160" s="1">
        <x:v>3</x:v>
      </x:c>
      <x:c r="D160" s="1" t="s">
        <x:v>15</x:v>
      </x:c>
      <x:c r="E160" s="1">
        <x:v>1</x:v>
      </x:c>
      <x:c r="F160" s="24">
        <x:v>81.25</x:v>
      </x:c>
      <x:c r="G160" s="24">
        <x:v>30.25</x:v>
      </x:c>
      <x:c r="H160" s="24">
        <x:v>111.5</x:v>
      </x:c>
      <x:c r="I160" s="26">
        <x:v>645000</x:v>
      </x:c>
      <x:c r="J160" s="1">
        <x:v>2026</x:v>
      </x:c>
      <x:c r="K160" s="26">
        <x:v>7938.4615384615381</x:v>
      </x:c>
      <x:c r="L160" s="26">
        <x:v>5784.7533632286995</x:v>
      </x:c>
      <x:c r="M160" t="str">
        <x:f>IF(A160="The View","Projeto",IF(J160&gt;=2026,"Ativo",IF(J160=2025,"Rever","Histórico")))</x:f>
        <x:v>Ativo</x:v>
      </x:c>
      <x:c r="N160" t="str"/>
      <x:c r="O160" t="str"/>
      <x:c r="P160" s="30" t="str"/>
      <x:c r="Q160" t="str">
        <x:f>IF(A160="The View","Projeto",IF(A160="Le Parc","Benchmark local",IF(OR(A160="Del Mar Waterfront",A160="Aura Living"),"Premium waterfront/marina","A classificar")))</x:f>
        <x:v>Premium waterfront/marina</x:v>
      </x:c>
      <x:c r="R160" t="str">
        <x:v>Nova construção</x:v>
      </x:c>
      <x:c r="S160" t="str"/>
      <x:c r="T160" t="str"/>
      <x:c r="U160" t="str"/>
      <x:c r="V160" t="str"/>
      <x:c r="W160" s="28" t="n">
        <x:f>IF(A160="The View",1,MAX(0.25,MIN(1,IF(J160&gt;=2026,1,IF(J160=2025,0.8,IF(J160=2024,0.45,0.3)))*IF(Q160="Premium waterfront/marina",1,IF(Q160="Benchmark local",0.7,0.6))*IF(M160="Vendido",0.65,IF(M160="Reservado",0.8,IF(M160="Histórico",0.55,1))))))</x:f>
        <x:v>1</x:v>
      </x:c>
      <x:c r="X160" t="str">
        <x:f>IF(A160="The View","Projeto",IF(W160&gt;=0.85,"A · Premium ativo",IF(W160&gt;=0.55,"B · Benchmark local","C · Histórico/secundário")))</x:f>
        <x:v>A · Premium ativo</x:v>
      </x:c>
      <x:c r="Y160" t="str">
        <x:f>IF(A160="The View","N/A",IF(AND(N160&lt;&gt;"",O160&lt;&gt;"",P160&lt;&gt;""),"Alta",IF(OR(N160&lt;&gt;"",O160&lt;&gt;"",P160&lt;&gt;""),"Média","Baixa")))</x:f>
        <x:v>Baixa</x:v>
      </x:c>
      <x:c r="Z160" t="str"/>
      <x:c r="AA160" t="str">
        <x:f>IF(A160="The View","Manter",IF(J160&lt;2026,"Atualizar preço/status",IF(Y160="Baixa","Adicionar fonte/URL/data",IF(W160&lt;0.55,"Rever comparabilidade","OK"))))</x:f>
        <x:v>Adicionar fonte/URL/data</x:v>
      </x:c>
      <x:c r="AB160" t="str">
        <x:f>IF(A160="The View","",IF(OR(J160&lt;2026,Y160="Baixa"),"Alta",IF(W160&lt;0.55,"Média","Baixa")))</x:f>
        <x:v>Alta</x:v>
      </x:c>
    </x:row>
    <x:row r="161">
      <x:c r="A161" s="1" t="s">
        <x:v>142</x:v>
      </x:c>
      <x:c r="B161" s="1" t="s">
        <x:v>152</x:v>
      </x:c>
      <x:c r="C161" s="1">
        <x:v>3</x:v>
      </x:c>
      <x:c r="D161" s="1" t="s">
        <x:v>15</x:v>
      </x:c>
      <x:c r="E161" s="1">
        <x:v>2</x:v>
      </x:c>
      <x:c r="F161" s="24">
        <x:v>81.3</x:v>
      </x:c>
      <x:c r="G161" s="24">
        <x:v>12.100000000000009</x:v>
      </x:c>
      <x:c r="H161" s="24">
        <x:v>93.4</x:v>
      </x:c>
      <x:c r="I161" s="26">
        <x:v>540000</x:v>
      </x:c>
      <x:c r="J161" s="1">
        <x:v>2026</x:v>
      </x:c>
      <x:c r="K161" s="26">
        <x:v>6642.0664206642068</x:v>
      </x:c>
      <x:c r="L161" s="26">
        <x:v>5781.5845824411135</x:v>
      </x:c>
      <x:c r="M161" t="str">
        <x:f>IF(A161="The View","Projeto",IF(J161&gt;=2026,"Ativo",IF(J161=2025,"Rever","Histórico")))</x:f>
        <x:v>Ativo</x:v>
      </x:c>
      <x:c r="N161" t="str"/>
      <x:c r="O161" t="str"/>
      <x:c r="P161" s="30" t="str"/>
      <x:c r="Q161" t="str">
        <x:f>IF(A161="The View","Projeto",IF(A161="Le Parc","Benchmark local",IF(OR(A161="Del Mar Waterfront",A161="Aura Living"),"Premium waterfront/marina","A classificar")))</x:f>
        <x:v>Premium waterfront/marina</x:v>
      </x:c>
      <x:c r="R161" t="str">
        <x:v>Nova construção</x:v>
      </x:c>
      <x:c r="S161" t="str"/>
      <x:c r="T161" t="str"/>
      <x:c r="U161" t="str"/>
      <x:c r="V161" t="str"/>
      <x:c r="W161" s="28" t="n">
        <x:f>IF(A161="The View",1,MAX(0.25,MIN(1,IF(J161&gt;=2026,1,IF(J161=2025,0.8,IF(J161=2024,0.45,0.3)))*IF(Q161="Premium waterfront/marina",1,IF(Q161="Benchmark local",0.7,0.6))*IF(M161="Vendido",0.65,IF(M161="Reservado",0.8,IF(M161="Histórico",0.55,1))))))</x:f>
        <x:v>1</x:v>
      </x:c>
      <x:c r="X161" t="str">
        <x:f>IF(A161="The View","Projeto",IF(W161&gt;=0.85,"A · Premium ativo",IF(W161&gt;=0.55,"B · Benchmark local","C · Histórico/secundário")))</x:f>
        <x:v>A · Premium ativo</x:v>
      </x:c>
      <x:c r="Y161" t="str">
        <x:f>IF(A161="The View","N/A",IF(AND(N161&lt;&gt;"",O161&lt;&gt;"",P161&lt;&gt;""),"Alta",IF(OR(N161&lt;&gt;"",O161&lt;&gt;"",P161&lt;&gt;""),"Média","Baixa")))</x:f>
        <x:v>Baixa</x:v>
      </x:c>
      <x:c r="Z161" t="str"/>
      <x:c r="AA161" t="str">
        <x:f>IF(A161="The View","Manter",IF(J161&lt;2026,"Atualizar preço/status",IF(Y161="Baixa","Adicionar fonte/URL/data",IF(W161&lt;0.55,"Rever comparabilidade","OK"))))</x:f>
        <x:v>Adicionar fonte/URL/data</x:v>
      </x:c>
      <x:c r="AB161" t="str">
        <x:f>IF(A161="The View","",IF(OR(J161&lt;2026,Y161="Baixa"),"Alta",IF(W161&lt;0.55,"Média","Baixa")))</x:f>
        <x:v>Alta</x:v>
      </x:c>
    </x:row>
    <x:row r="162">
      <x:c r="A162" s="1" t="s">
        <x:v>142</x:v>
      </x:c>
      <x:c r="B162" s="1" t="s">
        <x:v>153</x:v>
      </x:c>
      <x:c r="C162" s="1">
        <x:v>3</x:v>
      </x:c>
      <x:c r="D162" s="1" t="s">
        <x:v>15</x:v>
      </x:c>
      <x:c r="E162" s="1">
        <x:v>2</x:v>
      </x:c>
      <x:c r="F162" s="24">
        <x:v>106.85</x:v>
      </x:c>
      <x:c r="G162" s="24">
        <x:v>5.0000000000011369E-2</x:v>
      </x:c>
      <x:c r="H162" s="24">
        <x:v>106.9</x:v>
      </x:c>
      <x:c r="I162" s="26">
        <x:v>644000</x:v>
      </x:c>
      <x:c r="J162" s="1">
        <x:v>2026</x:v>
      </x:c>
      <x:c r="K162" s="26">
        <x:v>6027.1408516612073</x:v>
      </x:c>
      <x:c r="L162" s="26">
        <x:v>6024.3217960710945</x:v>
      </x:c>
      <x:c r="M162" t="str">
        <x:f>IF(A162="The View","Projeto",IF(J162&gt;=2026,"Ativo",IF(J162=2025,"Rever","Histórico")))</x:f>
        <x:v>Ativo</x:v>
      </x:c>
      <x:c r="N162" t="str"/>
      <x:c r="O162" t="str"/>
      <x:c r="P162" s="30" t="str"/>
      <x:c r="Q162" t="str">
        <x:f>IF(A162="The View","Projeto",IF(A162="Le Parc","Benchmark local",IF(OR(A162="Del Mar Waterfront",A162="Aura Living"),"Premium waterfront/marina","A classificar")))</x:f>
        <x:v>Premium waterfront/marina</x:v>
      </x:c>
      <x:c r="R162" t="str">
        <x:v>Nova construção</x:v>
      </x:c>
      <x:c r="S162" t="str"/>
      <x:c r="T162" t="str"/>
      <x:c r="U162" t="str"/>
      <x:c r="V162" t="str"/>
      <x:c r="W162" s="28" t="n">
        <x:f>IF(A162="The View",1,MAX(0.25,MIN(1,IF(J162&gt;=2026,1,IF(J162=2025,0.8,IF(J162=2024,0.45,0.3)))*IF(Q162="Premium waterfront/marina",1,IF(Q162="Benchmark local",0.7,0.6))*IF(M162="Vendido",0.65,IF(M162="Reservado",0.8,IF(M162="Histórico",0.55,1))))))</x:f>
        <x:v>1</x:v>
      </x:c>
      <x:c r="X162" t="str">
        <x:f>IF(A162="The View","Projeto",IF(W162&gt;=0.85,"A · Premium ativo",IF(W162&gt;=0.55,"B · Benchmark local","C · Histórico/secundário")))</x:f>
        <x:v>A · Premium ativo</x:v>
      </x:c>
      <x:c r="Y162" t="str">
        <x:f>IF(A162="The View","N/A",IF(AND(N162&lt;&gt;"",O162&lt;&gt;"",P162&lt;&gt;""),"Alta",IF(OR(N162&lt;&gt;"",O162&lt;&gt;"",P162&lt;&gt;""),"Média","Baixa")))</x:f>
        <x:v>Baixa</x:v>
      </x:c>
      <x:c r="Z162" t="str"/>
      <x:c r="AA162" t="str">
        <x:f>IF(A162="The View","Manter",IF(J162&lt;2026,"Atualizar preço/status",IF(Y162="Baixa","Adicionar fonte/URL/data",IF(W162&lt;0.55,"Rever comparabilidade","OK"))))</x:f>
        <x:v>Adicionar fonte/URL/data</x:v>
      </x:c>
      <x:c r="AB162" t="str">
        <x:f>IF(A162="The View","",IF(OR(J162&lt;2026,Y162="Baixa"),"Alta",IF(W162&lt;0.55,"Média","Baixa")))</x:f>
        <x:v>Alta</x:v>
      </x:c>
    </x:row>
    <x:row r="163">
      <x:c r="A163" s="1" t="s">
        <x:v>142</x:v>
      </x:c>
      <x:c r="B163" s="1" t="s">
        <x:v>17</x:v>
      </x:c>
      <x:c r="C163" s="1" t="s">
        <x:v>14</x:v>
      </x:c>
      <x:c r="D163" s="1" t="s">
        <x:v>15</x:v>
      </x:c>
      <x:c r="E163" s="1">
        <x:v>3</x:v>
      </x:c>
      <x:c r="F163" s="24">
        <x:v>44.4</x:v>
      </x:c>
      <x:c r="G163" s="24">
        <x:v>10.600000000000001</x:v>
      </x:c>
      <x:c r="H163" s="24">
        <x:v>55</x:v>
      </x:c>
      <x:c r="I163" s="26">
        <x:v>445000</x:v>
      </x:c>
      <x:c r="J163" s="1">
        <x:v>2026</x:v>
      </x:c>
      <x:c r="K163" s="26">
        <x:v>10022.522522522522</x:v>
      </x:c>
      <x:c r="L163" s="26">
        <x:v>8090.909090909091</x:v>
      </x:c>
      <x:c r="M163" t="str">
        <x:f>IF(A163="The View","Projeto",IF(J163&gt;=2026,"Ativo",IF(J163=2025,"Rever","Histórico")))</x:f>
        <x:v>Ativo</x:v>
      </x:c>
      <x:c r="N163" t="str"/>
      <x:c r="O163" t="str"/>
      <x:c r="P163" s="30" t="str"/>
      <x:c r="Q163" t="str">
        <x:f>IF(A163="The View","Projeto",IF(A163="Le Parc","Benchmark local",IF(OR(A163="Del Mar Waterfront",A163="Aura Living"),"Premium waterfront/marina","A classificar")))</x:f>
        <x:v>Premium waterfront/marina</x:v>
      </x:c>
      <x:c r="R163" t="str">
        <x:v>Nova construção</x:v>
      </x:c>
      <x:c r="S163" t="str"/>
      <x:c r="T163" t="str"/>
      <x:c r="U163" t="str"/>
      <x:c r="V163" t="str"/>
      <x:c r="W163" s="28" t="n">
        <x:f>IF(A163="The View",1,MAX(0.25,MIN(1,IF(J163&gt;=2026,1,IF(J163=2025,0.8,IF(J163=2024,0.45,0.3)))*IF(Q163="Premium waterfront/marina",1,IF(Q163="Benchmark local",0.7,0.6))*IF(M163="Vendido",0.65,IF(M163="Reservado",0.8,IF(M163="Histórico",0.55,1))))))</x:f>
        <x:v>1</x:v>
      </x:c>
      <x:c r="X163" t="str">
        <x:f>IF(A163="The View","Projeto",IF(W163&gt;=0.85,"A · Premium ativo",IF(W163&gt;=0.55,"B · Benchmark local","C · Histórico/secundário")))</x:f>
        <x:v>A · Premium ativo</x:v>
      </x:c>
      <x:c r="Y163" t="str">
        <x:f>IF(A163="The View","N/A",IF(AND(N163&lt;&gt;"",O163&lt;&gt;"",P163&lt;&gt;""),"Alta",IF(OR(N163&lt;&gt;"",O163&lt;&gt;"",P163&lt;&gt;""),"Média","Baixa")))</x:f>
        <x:v>Baixa</x:v>
      </x:c>
      <x:c r="Z163" t="str"/>
      <x:c r="AA163" t="str">
        <x:f>IF(A163="The View","Manter",IF(J163&lt;2026,"Atualizar preço/status",IF(Y163="Baixa","Adicionar fonte/URL/data",IF(W163&lt;0.55,"Rever comparabilidade","OK"))))</x:f>
        <x:v>Adicionar fonte/URL/data</x:v>
      </x:c>
      <x:c r="AB163" t="str">
        <x:f>IF(A163="The View","",IF(OR(J163&lt;2026,Y163="Baixa"),"Alta",IF(W163&lt;0.55,"Média","Baixa")))</x:f>
        <x:v>Alta</x:v>
      </x:c>
    </x:row>
    <x:row r="164">
      <x:c r="A164" s="1" t="s">
        <x:v>142</x:v>
      </x:c>
      <x:c r="B164" s="1" t="s">
        <x:v>18</x:v>
      </x:c>
      <x:c r="C164" s="1">
        <x:v>1</x:v>
      </x:c>
      <x:c r="D164" s="1" t="s">
        <x:v>47</x:v>
      </x:c>
      <x:c r="E164" s="1">
        <x:v>3</x:v>
      </x:c>
      <x:c r="F164" s="24">
        <x:v>62.6</x:v>
      </x:c>
      <x:c r="G164" s="24">
        <x:v>18.499999999999993</x:v>
      </x:c>
      <x:c r="H164" s="24">
        <x:v>81.099999999999994</x:v>
      </x:c>
      <x:c r="I164" s="26">
        <x:v>390000</x:v>
      </x:c>
      <x:c r="J164" s="1">
        <x:v>2026</x:v>
      </x:c>
      <x:c r="K164" s="26">
        <x:v>6230.0319488817886</x:v>
      </x:c>
      <x:c r="L164" s="26">
        <x:v>4808.8779284833545</x:v>
      </x:c>
      <x:c r="M164" t="str">
        <x:f>IF(A164="The View","Projeto",IF(J164&gt;=2026,"Ativo",IF(J164=2025,"Rever","Histórico")))</x:f>
        <x:v>Ativo</x:v>
      </x:c>
      <x:c r="N164" t="str"/>
      <x:c r="O164" t="str"/>
      <x:c r="P164" s="30" t="str"/>
      <x:c r="Q164" t="str">
        <x:f>IF(A164="The View","Projeto",IF(A164="Le Parc","Benchmark local",IF(OR(A164="Del Mar Waterfront",A164="Aura Living"),"Premium waterfront/marina","A classificar")))</x:f>
        <x:v>Premium waterfront/marina</x:v>
      </x:c>
      <x:c r="R164" t="str">
        <x:v>Nova construção</x:v>
      </x:c>
      <x:c r="S164" t="str"/>
      <x:c r="T164" t="str"/>
      <x:c r="U164" t="str"/>
      <x:c r="V164" t="str"/>
      <x:c r="W164" s="28" t="n">
        <x:f>IF(A164="The View",1,MAX(0.25,MIN(1,IF(J164&gt;=2026,1,IF(J164=2025,0.8,IF(J164=2024,0.45,0.3)))*IF(Q164="Premium waterfront/marina",1,IF(Q164="Benchmark local",0.7,0.6))*IF(M164="Vendido",0.65,IF(M164="Reservado",0.8,IF(M164="Histórico",0.55,1))))))</x:f>
        <x:v>1</x:v>
      </x:c>
      <x:c r="X164" t="str">
        <x:f>IF(A164="The View","Projeto",IF(W164&gt;=0.85,"A · Premium ativo",IF(W164&gt;=0.55,"B · Benchmark local","C · Histórico/secundário")))</x:f>
        <x:v>A · Premium ativo</x:v>
      </x:c>
      <x:c r="Y164" t="str">
        <x:f>IF(A164="The View","N/A",IF(AND(N164&lt;&gt;"",O164&lt;&gt;"",P164&lt;&gt;""),"Alta",IF(OR(N164&lt;&gt;"",O164&lt;&gt;"",P164&lt;&gt;""),"Média","Baixa")))</x:f>
        <x:v>Baixa</x:v>
      </x:c>
      <x:c r="Z164" t="str"/>
      <x:c r="AA164" t="str">
        <x:f>IF(A164="The View","Manter",IF(J164&lt;2026,"Atualizar preço/status",IF(Y164="Baixa","Adicionar fonte/URL/data",IF(W164&lt;0.55,"Rever comparabilidade","OK"))))</x:f>
        <x:v>Adicionar fonte/URL/data</x:v>
      </x:c>
      <x:c r="AB164" t="str">
        <x:f>IF(A164="The View","",IF(OR(J164&lt;2026,Y164="Baixa"),"Alta",IF(W164&lt;0.55,"Média","Baixa")))</x:f>
        <x:v>Alta</x:v>
      </x:c>
    </x:row>
    <x:row r="165">
      <x:c r="A165" s="1" t="s">
        <x:v>142</x:v>
      </x:c>
      <x:c r="B165" s="1" t="s">
        <x:v>154</x:v>
      </x:c>
      <x:c r="C165" s="1">
        <x:v>1</x:v>
      </x:c>
      <x:c r="D165" s="1" t="s">
        <x:v>15</x:v>
      </x:c>
      <x:c r="E165" s="1">
        <x:v>3</x:v>
      </x:c>
      <x:c r="F165" s="24">
        <x:v>50.15</x:v>
      </x:c>
      <x:c r="G165" s="24">
        <x:v>18.050000000000004</x:v>
      </x:c>
      <x:c r="H165" s="24">
        <x:v>68.2</x:v>
      </x:c>
      <x:c r="I165" s="26">
        <x:v>350000</x:v>
      </x:c>
      <x:c r="J165" s="1">
        <x:v>2026</x:v>
      </x:c>
      <x:c r="K165" s="26">
        <x:v>6979.0628115653044</x:v>
      </x:c>
      <x:c r="L165" s="26">
        <x:v>5131.9648093841643</x:v>
      </x:c>
      <x:c r="M165" t="str">
        <x:f>IF(A165="The View","Projeto",IF(J165&gt;=2026,"Ativo",IF(J165=2025,"Rever","Histórico")))</x:f>
        <x:v>Ativo</x:v>
      </x:c>
      <x:c r="N165" t="str"/>
      <x:c r="O165" t="str"/>
      <x:c r="P165" s="30" t="str"/>
      <x:c r="Q165" t="str">
        <x:f>IF(A165="The View","Projeto",IF(A165="Le Parc","Benchmark local",IF(OR(A165="Del Mar Waterfront",A165="Aura Living"),"Premium waterfront/marina","A classificar")))</x:f>
        <x:v>Premium waterfront/marina</x:v>
      </x:c>
      <x:c r="R165" t="str">
        <x:v>Nova construção</x:v>
      </x:c>
      <x:c r="S165" t="str"/>
      <x:c r="T165" t="str"/>
      <x:c r="U165" t="str"/>
      <x:c r="V165" t="str"/>
      <x:c r="W165" s="28" t="n">
        <x:f>IF(A165="The View",1,MAX(0.25,MIN(1,IF(J165&gt;=2026,1,IF(J165=2025,0.8,IF(J165=2024,0.45,0.3)))*IF(Q165="Premium waterfront/marina",1,IF(Q165="Benchmark local",0.7,0.6))*IF(M165="Vendido",0.65,IF(M165="Reservado",0.8,IF(M165="Histórico",0.55,1))))))</x:f>
        <x:v>1</x:v>
      </x:c>
      <x:c r="X165" t="str">
        <x:f>IF(A165="The View","Projeto",IF(W165&gt;=0.85,"A · Premium ativo",IF(W165&gt;=0.55,"B · Benchmark local","C · Histórico/secundário")))</x:f>
        <x:v>A · Premium ativo</x:v>
      </x:c>
      <x:c r="Y165" t="str">
        <x:f>IF(A165="The View","N/A",IF(AND(N165&lt;&gt;"",O165&lt;&gt;"",P165&lt;&gt;""),"Alta",IF(OR(N165&lt;&gt;"",O165&lt;&gt;"",P165&lt;&gt;""),"Média","Baixa")))</x:f>
        <x:v>Baixa</x:v>
      </x:c>
      <x:c r="Z165" t="str"/>
      <x:c r="AA165" t="str">
        <x:f>IF(A165="The View","Manter",IF(J165&lt;2026,"Atualizar preço/status",IF(Y165="Baixa","Adicionar fonte/URL/data",IF(W165&lt;0.55,"Rever comparabilidade","OK"))))</x:f>
        <x:v>Adicionar fonte/URL/data</x:v>
      </x:c>
      <x:c r="AB165" t="str">
        <x:f>IF(A165="The View","",IF(OR(J165&lt;2026,Y165="Baixa"),"Alta",IF(W165&lt;0.55,"Média","Baixa")))</x:f>
        <x:v>Alta</x:v>
      </x:c>
    </x:row>
    <x:row r="166">
      <x:c r="A166" s="1" t="s">
        <x:v>142</x:v>
      </x:c>
      <x:c r="B166" s="1" t="s">
        <x:v>155</x:v>
      </x:c>
      <x:c r="C166" s="1">
        <x:v>1</x:v>
      </x:c>
      <x:c r="D166" s="1" t="s">
        <x:v>15</x:v>
      </x:c>
      <x:c r="E166" s="1">
        <x:v>4</x:v>
      </x:c>
      <x:c r="F166" s="24">
        <x:v>50.15</x:v>
      </x:c>
      <x:c r="G166" s="24">
        <x:v>18.050000000000004</x:v>
      </x:c>
      <x:c r="H166" s="24">
        <x:v>68.2</x:v>
      </x:c>
      <x:c r="I166" s="26">
        <x:v>350000</x:v>
      </x:c>
      <x:c r="J166" s="1">
        <x:v>2026</x:v>
      </x:c>
      <x:c r="K166" s="26">
        <x:v>6979.0628115653044</x:v>
      </x:c>
      <x:c r="L166" s="26">
        <x:v>5131.9648093841643</x:v>
      </x:c>
      <x:c r="M166" t="str">
        <x:f>IF(A166="The View","Projeto",IF(J166&gt;=2026,"Ativo",IF(J166=2025,"Rever","Histórico")))</x:f>
        <x:v>Ativo</x:v>
      </x:c>
      <x:c r="N166" t="str"/>
      <x:c r="O166" t="str"/>
      <x:c r="P166" s="30" t="str"/>
      <x:c r="Q166" t="str">
        <x:f>IF(A166="The View","Projeto",IF(A166="Le Parc","Benchmark local",IF(OR(A166="Del Mar Waterfront",A166="Aura Living"),"Premium waterfront/marina","A classificar")))</x:f>
        <x:v>Premium waterfront/marina</x:v>
      </x:c>
      <x:c r="R166" t="str">
        <x:v>Nova construção</x:v>
      </x:c>
      <x:c r="S166" t="str"/>
      <x:c r="T166" t="str"/>
      <x:c r="U166" t="str"/>
      <x:c r="V166" t="str"/>
      <x:c r="W166" s="28" t="n">
        <x:f>IF(A166="The View",1,MAX(0.25,MIN(1,IF(J166&gt;=2026,1,IF(J166=2025,0.8,IF(J166=2024,0.45,0.3)))*IF(Q166="Premium waterfront/marina",1,IF(Q166="Benchmark local",0.7,0.6))*IF(M166="Vendido",0.65,IF(M166="Reservado",0.8,IF(M166="Histórico",0.55,1))))))</x:f>
        <x:v>1</x:v>
      </x:c>
      <x:c r="X166" t="str">
        <x:f>IF(A166="The View","Projeto",IF(W166&gt;=0.85,"A · Premium ativo",IF(W166&gt;=0.55,"B · Benchmark local","C · Histórico/secundário")))</x:f>
        <x:v>A · Premium ativo</x:v>
      </x:c>
      <x:c r="Y166" t="str">
        <x:f>IF(A166="The View","N/A",IF(AND(N166&lt;&gt;"",O166&lt;&gt;"",P166&lt;&gt;""),"Alta",IF(OR(N166&lt;&gt;"",O166&lt;&gt;"",P166&lt;&gt;""),"Média","Baixa")))</x:f>
        <x:v>Baixa</x:v>
      </x:c>
      <x:c r="Z166" t="str"/>
      <x:c r="AA166" t="str">
        <x:f>IF(A166="The View","Manter",IF(J166&lt;2026,"Atualizar preço/status",IF(Y166="Baixa","Adicionar fonte/URL/data",IF(W166&lt;0.55,"Rever comparabilidade","OK"))))</x:f>
        <x:v>Adicionar fonte/URL/data</x:v>
      </x:c>
      <x:c r="AB166" t="str">
        <x:f>IF(A166="The View","",IF(OR(J166&lt;2026,Y166="Baixa"),"Alta",IF(W166&lt;0.55,"Média","Baixa")))</x:f>
        <x:v>Alta</x:v>
      </x:c>
    </x:row>
    <x:row r="167">
      <x:c r="A167" s="1" t="s">
        <x:v>142</x:v>
      </x:c>
      <x:c r="B167" s="1" t="s">
        <x:v>19</x:v>
      </x:c>
      <x:c r="C167" s="1">
        <x:v>1</x:v>
      </x:c>
      <x:c r="D167" s="1" t="s">
        <x:v>47</x:v>
      </x:c>
      <x:c r="E167" s="1">
        <x:v>4</x:v>
      </x:c>
      <x:c r="F167" s="24">
        <x:v>62.6</x:v>
      </x:c>
      <x:c r="G167" s="24">
        <x:v>18.499999999999993</x:v>
      </x:c>
      <x:c r="H167" s="24">
        <x:v>81.099999999999994</x:v>
      </x:c>
      <x:c r="I167" s="26">
        <x:v>395000</x:v>
      </x:c>
      <x:c r="J167" s="1">
        <x:v>2026</x:v>
      </x:c>
      <x:c r="K167" s="26">
        <x:v>6309.9041533546324</x:v>
      </x:c>
      <x:c r="L167" s="26">
        <x:v>4870.5302096177566</x:v>
      </x:c>
      <x:c r="M167" t="str">
        <x:f>IF(A167="The View","Projeto",IF(J167&gt;=2026,"Ativo",IF(J167=2025,"Rever","Histórico")))</x:f>
        <x:v>Ativo</x:v>
      </x:c>
      <x:c r="N167" t="str"/>
      <x:c r="O167" t="str"/>
      <x:c r="P167" s="30" t="str"/>
      <x:c r="Q167" t="str">
        <x:f>IF(A167="The View","Projeto",IF(A167="Le Parc","Benchmark local",IF(OR(A167="Del Mar Waterfront",A167="Aura Living"),"Premium waterfront/marina","A classificar")))</x:f>
        <x:v>Premium waterfront/marina</x:v>
      </x:c>
      <x:c r="R167" t="str">
        <x:v>Nova construção</x:v>
      </x:c>
      <x:c r="S167" t="str"/>
      <x:c r="T167" t="str"/>
      <x:c r="U167" t="str"/>
      <x:c r="V167" t="str"/>
      <x:c r="W167" s="28" t="n">
        <x:f>IF(A167="The View",1,MAX(0.25,MIN(1,IF(J167&gt;=2026,1,IF(J167=2025,0.8,IF(J167=2024,0.45,0.3)))*IF(Q167="Premium waterfront/marina",1,IF(Q167="Benchmark local",0.7,0.6))*IF(M167="Vendido",0.65,IF(M167="Reservado",0.8,IF(M167="Histórico",0.55,1))))))</x:f>
        <x:v>1</x:v>
      </x:c>
      <x:c r="X167" t="str">
        <x:f>IF(A167="The View","Projeto",IF(W167&gt;=0.85,"A · Premium ativo",IF(W167&gt;=0.55,"B · Benchmark local","C · Histórico/secundário")))</x:f>
        <x:v>A · Premium ativo</x:v>
      </x:c>
      <x:c r="Y167" t="str">
        <x:f>IF(A167="The View","N/A",IF(AND(N167&lt;&gt;"",O167&lt;&gt;"",P167&lt;&gt;""),"Alta",IF(OR(N167&lt;&gt;"",O167&lt;&gt;"",P167&lt;&gt;""),"Média","Baixa")))</x:f>
        <x:v>Baixa</x:v>
      </x:c>
      <x:c r="Z167" t="str"/>
      <x:c r="AA167" t="str">
        <x:f>IF(A167="The View","Manter",IF(J167&lt;2026,"Atualizar preço/status",IF(Y167="Baixa","Adicionar fonte/URL/data",IF(W167&lt;0.55,"Rever comparabilidade","OK"))))</x:f>
        <x:v>Adicionar fonte/URL/data</x:v>
      </x:c>
      <x:c r="AB167" t="str">
        <x:f>IF(A167="The View","",IF(OR(J167&lt;2026,Y167="Baixa"),"Alta",IF(W167&lt;0.55,"Média","Baixa")))</x:f>
        <x:v>Alta</x:v>
      </x:c>
    </x:row>
    <x:row r="168">
      <x:c r="A168" s="1" t="s">
        <x:v>142</x:v>
      </x:c>
      <x:c r="B168" s="1" t="s">
        <x:v>20</x:v>
      </x:c>
      <x:c r="C168" s="1">
        <x:v>2</x:v>
      </x:c>
      <x:c r="D168" s="1" t="s">
        <x:v>47</x:v>
      </x:c>
      <x:c r="E168" s="1">
        <x:v>4</x:v>
      </x:c>
      <x:c r="F168" s="24">
        <x:v>62.6</x:v>
      </x:c>
      <x:c r="G168" s="24">
        <x:v>18.499999999999993</x:v>
      </x:c>
      <x:c r="H168" s="24">
        <x:v>81.099999999999994</x:v>
      </x:c>
      <x:c r="I168" s="26">
        <x:v>420000</x:v>
      </x:c>
      <x:c r="J168" s="1">
        <x:v>2026</x:v>
      </x:c>
      <x:c r="K168" s="26">
        <x:v>6709.2651757188496</x:v>
      </x:c>
      <x:c r="L168" s="26">
        <x:v>5178.791615289766</x:v>
      </x:c>
      <x:c r="M168" t="str">
        <x:f>IF(A168="The View","Projeto",IF(J168&gt;=2026,"Ativo",IF(J168=2025,"Rever","Histórico")))</x:f>
        <x:v>Ativo</x:v>
      </x:c>
      <x:c r="N168" t="str"/>
      <x:c r="O168" t="str"/>
      <x:c r="P168" s="30" t="str"/>
      <x:c r="Q168" t="str">
        <x:f>IF(A168="The View","Projeto",IF(A168="Le Parc","Benchmark local",IF(OR(A168="Del Mar Waterfront",A168="Aura Living"),"Premium waterfront/marina","A classificar")))</x:f>
        <x:v>Premium waterfront/marina</x:v>
      </x:c>
      <x:c r="R168" t="str">
        <x:v>Nova construção</x:v>
      </x:c>
      <x:c r="S168" t="str"/>
      <x:c r="T168" t="str"/>
      <x:c r="U168" t="str"/>
      <x:c r="V168" t="str"/>
      <x:c r="W168" s="28" t="n">
        <x:f>IF(A168="The View",1,MAX(0.25,MIN(1,IF(J168&gt;=2026,1,IF(J168=2025,0.8,IF(J168=2024,0.45,0.3)))*IF(Q168="Premium waterfront/marina",1,IF(Q168="Benchmark local",0.7,0.6))*IF(M168="Vendido",0.65,IF(M168="Reservado",0.8,IF(M168="Histórico",0.55,1))))))</x:f>
        <x:v>1</x:v>
      </x:c>
      <x:c r="X168" t="str">
        <x:f>IF(A168="The View","Projeto",IF(W168&gt;=0.85,"A · Premium ativo",IF(W168&gt;=0.55,"B · Benchmark local","C · Histórico/secundário")))</x:f>
        <x:v>A · Premium ativo</x:v>
      </x:c>
      <x:c r="Y168" t="str">
        <x:f>IF(A168="The View","N/A",IF(AND(N168&lt;&gt;"",O168&lt;&gt;"",P168&lt;&gt;""),"Alta",IF(OR(N168&lt;&gt;"",O168&lt;&gt;"",P168&lt;&gt;""),"Média","Baixa")))</x:f>
        <x:v>Baixa</x:v>
      </x:c>
      <x:c r="Z168" t="str"/>
      <x:c r="AA168" t="str">
        <x:f>IF(A168="The View","Manter",IF(J168&lt;2026,"Atualizar preço/status",IF(Y168="Baixa","Adicionar fonte/URL/data",IF(W168&lt;0.55,"Rever comparabilidade","OK"))))</x:f>
        <x:v>Adicionar fonte/URL/data</x:v>
      </x:c>
      <x:c r="AB168" t="str">
        <x:f>IF(A168="The View","",IF(OR(J168&lt;2026,Y168="Baixa"),"Alta",IF(W168&lt;0.55,"Média","Baixa")))</x:f>
        <x:v>Alta</x:v>
      </x:c>
    </x:row>
    <x:row r="169">
      <x:c r="A169" s="1" t="s">
        <x:v>142</x:v>
      </x:c>
      <x:c r="B169" s="1" t="s">
        <x:v>26</x:v>
      </x:c>
      <x:c r="C169" s="1" t="s">
        <x:v>14</x:v>
      </x:c>
      <x:c r="D169" s="1" t="s">
        <x:v>47</x:v>
      </x:c>
      <x:c r="E169" s="1">
        <x:v>2</x:v>
      </x:c>
      <x:c r="F169" s="24">
        <x:v>92.7</x:v>
      </x:c>
      <x:c r="G169" s="24">
        <x:v>30.25</x:v>
      </x:c>
      <x:c r="H169" s="24">
        <x:v>122.95</x:v>
      </x:c>
      <x:c r="I169" s="26">
        <x:v>559000</x:v>
      </x:c>
      <x:c r="J169" s="1">
        <x:v>2026</x:v>
      </x:c>
      <x:c r="K169" s="26">
        <x:v>6030.2049622437971</x:v>
      </x:c>
      <x:c r="L169" s="26">
        <x:v>4546.563643757625</x:v>
      </x:c>
      <x:c r="M169" t="str">
        <x:f>IF(A169="The View","Projeto",IF(J169&gt;=2026,"Ativo",IF(J169=2025,"Rever","Histórico")))</x:f>
        <x:v>Ativo</x:v>
      </x:c>
      <x:c r="N169" t="str"/>
      <x:c r="O169" t="str"/>
      <x:c r="P169" s="30" t="str"/>
      <x:c r="Q169" t="str">
        <x:f>IF(A169="The View","Projeto",IF(A169="Le Parc","Benchmark local",IF(OR(A169="Del Mar Waterfront",A169="Aura Living"),"Premium waterfront/marina","A classificar")))</x:f>
        <x:v>Premium waterfront/marina</x:v>
      </x:c>
      <x:c r="R169" t="str">
        <x:v>Nova construção</x:v>
      </x:c>
      <x:c r="S169" t="str"/>
      <x:c r="T169" t="str"/>
      <x:c r="U169" t="str"/>
      <x:c r="V169" t="str"/>
      <x:c r="W169" s="28" t="n">
        <x:f>IF(A169="The View",1,MAX(0.25,MIN(1,IF(J169&gt;=2026,1,IF(J169=2025,0.8,IF(J169=2024,0.45,0.3)))*IF(Q169="Premium waterfront/marina",1,IF(Q169="Benchmark local",0.7,0.6))*IF(M169="Vendido",0.65,IF(M169="Reservado",0.8,IF(M169="Histórico",0.55,1))))))</x:f>
        <x:v>1</x:v>
      </x:c>
      <x:c r="X169" t="str">
        <x:f>IF(A169="The View","Projeto",IF(W169&gt;=0.85,"A · Premium ativo",IF(W169&gt;=0.55,"B · Benchmark local","C · Histórico/secundário")))</x:f>
        <x:v>A · Premium ativo</x:v>
      </x:c>
      <x:c r="Y169" t="str">
        <x:f>IF(A169="The View","N/A",IF(AND(N169&lt;&gt;"",O169&lt;&gt;"",P169&lt;&gt;""),"Alta",IF(OR(N169&lt;&gt;"",O169&lt;&gt;"",P169&lt;&gt;""),"Média","Baixa")))</x:f>
        <x:v>Baixa</x:v>
      </x:c>
      <x:c r="Z169" t="str"/>
      <x:c r="AA169" t="str">
        <x:f>IF(A169="The View","Manter",IF(J169&lt;2026,"Atualizar preço/status",IF(Y169="Baixa","Adicionar fonte/URL/data",IF(W169&lt;0.55,"Rever comparabilidade","OK"))))</x:f>
        <x:v>Adicionar fonte/URL/data</x:v>
      </x:c>
      <x:c r="AB169" t="str">
        <x:f>IF(A169="The View","",IF(OR(J169&lt;2026,Y169="Baixa"),"Alta",IF(W169&lt;0.55,"Média","Baixa")))</x:f>
        <x:v>Alta</x:v>
      </x:c>
    </x:row>
    <x:row r="170">
      <x:c r="A170" s="1" t="s">
        <x:v>142</x:v>
      </x:c>
      <x:c r="B170" s="1" t="s">
        <x:v>27</x:v>
      </x:c>
      <x:c r="C170" s="1" t="s">
        <x:v>14</x:v>
      </x:c>
      <x:c r="D170" s="1" t="s">
        <x:v>47</x:v>
      </x:c>
      <x:c r="E170" s="1">
        <x:v>3</x:v>
      </x:c>
      <x:c r="F170" s="24">
        <x:v>99.9</x:v>
      </x:c>
      <x:c r="G170" s="24">
        <x:v>30.150000000000006</x:v>
      </x:c>
      <x:c r="H170" s="24">
        <x:v>130.05000000000001</x:v>
      </x:c>
      <x:c r="I170" s="26">
        <x:v>599000</x:v>
      </x:c>
      <x:c r="J170" s="1">
        <x:v>2026</x:v>
      </x:c>
      <x:c r="K170" s="26">
        <x:v>5995.9959959959961</x:v>
      </x:c>
      <x:c r="L170" s="26">
        <x:v>4605.9207996924251</x:v>
      </x:c>
      <x:c r="M170" t="str">
        <x:f>IF(A170="The View","Projeto",IF(J170&gt;=2026,"Ativo",IF(J170=2025,"Rever","Histórico")))</x:f>
        <x:v>Ativo</x:v>
      </x:c>
      <x:c r="N170" t="str"/>
      <x:c r="O170" t="str"/>
      <x:c r="P170" s="30" t="str"/>
      <x:c r="Q170" t="str">
        <x:f>IF(A170="The View","Projeto",IF(A170="Le Parc","Benchmark local",IF(OR(A170="Del Mar Waterfront",A170="Aura Living"),"Premium waterfront/marina","A classificar")))</x:f>
        <x:v>Premium waterfront/marina</x:v>
      </x:c>
      <x:c r="R170" t="str">
        <x:v>Nova construção</x:v>
      </x:c>
      <x:c r="S170" t="str"/>
      <x:c r="T170" t="str"/>
      <x:c r="U170" t="str"/>
      <x:c r="V170" t="str"/>
      <x:c r="W170" s="28" t="n">
        <x:f>IF(A170="The View",1,MAX(0.25,MIN(1,IF(J170&gt;=2026,1,IF(J170=2025,0.8,IF(J170=2024,0.45,0.3)))*IF(Q170="Premium waterfront/marina",1,IF(Q170="Benchmark local",0.7,0.6))*IF(M170="Vendido",0.65,IF(M170="Reservado",0.8,IF(M170="Histórico",0.55,1))))))</x:f>
        <x:v>1</x:v>
      </x:c>
      <x:c r="X170" t="str">
        <x:f>IF(A170="The View","Projeto",IF(W170&gt;=0.85,"A · Premium ativo",IF(W170&gt;=0.55,"B · Benchmark local","C · Histórico/secundário")))</x:f>
        <x:v>A · Premium ativo</x:v>
      </x:c>
      <x:c r="Y170" t="str">
        <x:f>IF(A170="The View","N/A",IF(AND(N170&lt;&gt;"",O170&lt;&gt;"",P170&lt;&gt;""),"Alta",IF(OR(N170&lt;&gt;"",O170&lt;&gt;"",P170&lt;&gt;""),"Média","Baixa")))</x:f>
        <x:v>Baixa</x:v>
      </x:c>
      <x:c r="Z170" t="str"/>
      <x:c r="AA170" t="str">
        <x:f>IF(A170="The View","Manter",IF(J170&lt;2026,"Atualizar preço/status",IF(Y170="Baixa","Adicionar fonte/URL/data",IF(W170&lt;0.55,"Rever comparabilidade","OK"))))</x:f>
        <x:v>Adicionar fonte/URL/data</x:v>
      </x:c>
      <x:c r="AB170" t="str">
        <x:f>IF(A170="The View","",IF(OR(J170&lt;2026,Y170="Baixa"),"Alta",IF(W170&lt;0.55,"Média","Baixa")))</x:f>
        <x:v>Alta</x:v>
      </x:c>
    </x:row>
    <x:row r="171">
      <x:c r="A171" s="1" t="s">
        <x:v>142</x:v>
      </x:c>
      <x:c r="B171" s="1" t="s">
        <x:v>156</x:v>
      </x:c>
      <x:c r="C171" s="1">
        <x:v>4</x:v>
      </x:c>
      <x:c r="D171" s="1" t="s">
        <x:v>15</x:v>
      </x:c>
      <x:c r="E171" s="1">
        <x:v>1</x:v>
      </x:c>
      <x:c r="F171" s="24">
        <x:v>81.25</x:v>
      </x:c>
      <x:c r="G171" s="24">
        <x:v>30.25</x:v>
      </x:c>
      <x:c r="H171" s="24">
        <x:v>111.5</x:v>
      </x:c>
      <x:c r="I171" s="26">
        <x:v>675000</x:v>
      </x:c>
      <x:c r="J171" s="1">
        <x:v>2026</x:v>
      </x:c>
      <x:c r="K171" s="26">
        <x:v>8307.6923076923085</x:v>
      </x:c>
      <x:c r="L171" s="26">
        <x:v>6053.8116591928247</x:v>
      </x:c>
      <x:c r="M171" t="str">
        <x:f>IF(A171="The View","Projeto",IF(J171&gt;=2026,"Ativo",IF(J171=2025,"Rever","Histórico")))</x:f>
        <x:v>Ativo</x:v>
      </x:c>
      <x:c r="N171" t="str"/>
      <x:c r="O171" t="str"/>
      <x:c r="P171" s="30" t="str"/>
      <x:c r="Q171" t="str">
        <x:f>IF(A171="The View","Projeto",IF(A171="Le Parc","Benchmark local",IF(OR(A171="Del Mar Waterfront",A171="Aura Living"),"Premium waterfront/marina","A classificar")))</x:f>
        <x:v>Premium waterfront/marina</x:v>
      </x:c>
      <x:c r="R171" t="str">
        <x:v>Nova construção</x:v>
      </x:c>
      <x:c r="S171" t="str"/>
      <x:c r="T171" t="str"/>
      <x:c r="U171" t="str"/>
      <x:c r="V171" t="str"/>
      <x:c r="W171" s="28" t="n">
        <x:f>IF(A171="The View",1,MAX(0.25,MIN(1,IF(J171&gt;=2026,1,IF(J171=2025,0.8,IF(J171=2024,0.45,0.3)))*IF(Q171="Premium waterfront/marina",1,IF(Q171="Benchmark local",0.7,0.6))*IF(M171="Vendido",0.65,IF(M171="Reservado",0.8,IF(M171="Histórico",0.55,1))))))</x:f>
        <x:v>1</x:v>
      </x:c>
      <x:c r="X171" t="str">
        <x:f>IF(A171="The View","Projeto",IF(W171&gt;=0.85,"A · Premium ativo",IF(W171&gt;=0.55,"B · Benchmark local","C · Histórico/secundário")))</x:f>
        <x:v>A · Premium ativo</x:v>
      </x:c>
      <x:c r="Y171" t="str">
        <x:f>IF(A171="The View","N/A",IF(AND(N171&lt;&gt;"",O171&lt;&gt;"",P171&lt;&gt;""),"Alta",IF(OR(N171&lt;&gt;"",O171&lt;&gt;"",P171&lt;&gt;""),"Média","Baixa")))</x:f>
        <x:v>Baixa</x:v>
      </x:c>
      <x:c r="Z171" t="str"/>
      <x:c r="AA171" t="str">
        <x:f>IF(A171="The View","Manter",IF(J171&lt;2026,"Atualizar preço/status",IF(Y171="Baixa","Adicionar fonte/URL/data",IF(W171&lt;0.55,"Rever comparabilidade","OK"))))</x:f>
        <x:v>Adicionar fonte/URL/data</x:v>
      </x:c>
      <x:c r="AB171" t="str">
        <x:f>IF(A171="The View","",IF(OR(J171&lt;2026,Y171="Baixa"),"Alta",IF(W171&lt;0.55,"Média","Baixa")))</x:f>
        <x:v>Alta</x:v>
      </x:c>
    </x:row>
    <x:row r="172">
      <x:c r="A172" s="1" t="s">
        <x:v>142</x:v>
      </x:c>
      <x:c r="B172" s="1" t="s">
        <x:v>157</x:v>
      </x:c>
      <x:c r="C172" s="1">
        <x:v>4</x:v>
      </x:c>
      <x:c r="D172" s="1" t="s">
        <x:v>15</x:v>
      </x:c>
      <x:c r="E172" s="1">
        <x:v>1</x:v>
      </x:c>
      <x:c r="F172" s="24">
        <x:v>81.3</x:v>
      </x:c>
      <x:c r="G172" s="24">
        <x:v>40.200000000000003</x:v>
      </x:c>
      <x:c r="H172" s="24">
        <x:v>121.5</x:v>
      </x:c>
      <x:c r="I172" s="26">
        <x:v>570000</x:v>
      </x:c>
      <x:c r="J172" s="1">
        <x:v>2026</x:v>
      </x:c>
      <x:c r="K172" s="26">
        <x:v>7011.0701107011073</x:v>
      </x:c>
      <x:c r="L172" s="26">
        <x:v>4691.358024691358</x:v>
      </x:c>
      <x:c r="M172" t="str">
        <x:f>IF(A172="The View","Projeto",IF(J172&gt;=2026,"Ativo",IF(J172=2025,"Rever","Histórico")))</x:f>
        <x:v>Ativo</x:v>
      </x:c>
      <x:c r="N172" t="str"/>
      <x:c r="O172" t="str"/>
      <x:c r="P172" s="30" t="str"/>
      <x:c r="Q172" t="str">
        <x:f>IF(A172="The View","Projeto",IF(A172="Le Parc","Benchmark local",IF(OR(A172="Del Mar Waterfront",A172="Aura Living"),"Premium waterfront/marina","A classificar")))</x:f>
        <x:v>Premium waterfront/marina</x:v>
      </x:c>
      <x:c r="R172" t="str">
        <x:v>Nova construção</x:v>
      </x:c>
      <x:c r="S172" t="str"/>
      <x:c r="T172" t="str"/>
      <x:c r="U172" t="str"/>
      <x:c r="V172" t="str"/>
      <x:c r="W172" s="28" t="n">
        <x:f>IF(A172="The View",1,MAX(0.25,MIN(1,IF(J172&gt;=2026,1,IF(J172=2025,0.8,IF(J172=2024,0.45,0.3)))*IF(Q172="Premium waterfront/marina",1,IF(Q172="Benchmark local",0.7,0.6))*IF(M172="Vendido",0.65,IF(M172="Reservado",0.8,IF(M172="Histórico",0.55,1))))))</x:f>
        <x:v>1</x:v>
      </x:c>
      <x:c r="X172" t="str">
        <x:f>IF(A172="The View","Projeto",IF(W172&gt;=0.85,"A · Premium ativo",IF(W172&gt;=0.55,"B · Benchmark local","C · Histórico/secundário")))</x:f>
        <x:v>A · Premium ativo</x:v>
      </x:c>
      <x:c r="Y172" t="str">
        <x:f>IF(A172="The View","N/A",IF(AND(N172&lt;&gt;"",O172&lt;&gt;"",P172&lt;&gt;""),"Alta",IF(OR(N172&lt;&gt;"",O172&lt;&gt;"",P172&lt;&gt;""),"Média","Baixa")))</x:f>
        <x:v>Baixa</x:v>
      </x:c>
      <x:c r="Z172" t="str"/>
      <x:c r="AA172" t="str">
        <x:f>IF(A172="The View","Manter",IF(J172&lt;2026,"Atualizar preço/status",IF(Y172="Baixa","Adicionar fonte/URL/data",IF(W172&lt;0.55,"Rever comparabilidade","OK"))))</x:f>
        <x:v>Adicionar fonte/URL/data</x:v>
      </x:c>
      <x:c r="AB172" t="str">
        <x:f>IF(A172="The View","",IF(OR(J172&lt;2026,Y172="Baixa"),"Alta",IF(W172&lt;0.55,"Média","Baixa")))</x:f>
        <x:v>Alta</x:v>
      </x:c>
    </x:row>
    <x:row r="173">
      <x:c r="A173" s="1" t="s">
        <x:v>142</x:v>
      </x:c>
      <x:c r="B173" s="1" t="s">
        <x:v>158</x:v>
      </x:c>
      <x:c r="C173" s="1">
        <x:v>4</x:v>
      </x:c>
      <x:c r="D173" s="1" t="s">
        <x:v>15</x:v>
      </x:c>
      <x:c r="E173">
        <x:v>2</x:v>
      </x:c>
      <x:c r="F173" s="24">
        <x:v>76.7</x:v>
      </x:c>
      <x:c r="G173" s="24">
        <x:v>84.8</x:v>
      </x:c>
      <x:c r="H173" s="24">
        <x:v>161.5</x:v>
      </x:c>
      <x:c r="I173" s="26">
        <x:v>674000</x:v>
      </x:c>
      <x:c r="J173" s="1">
        <x:v>2026</x:v>
      </x:c>
      <x:c r="K173" s="26">
        <x:v>8787.4837027379399</x:v>
      </x:c>
      <x:c r="L173" s="26">
        <x:v>4173.3746130030959</x:v>
      </x:c>
      <x:c r="M173" t="str">
        <x:f>IF(A173="The View","Projeto",IF(J173&gt;=2026,"Ativo",IF(J173=2025,"Rever","Histórico")))</x:f>
        <x:v>Ativo</x:v>
      </x:c>
      <x:c r="N173" t="str"/>
      <x:c r="O173" t="str"/>
      <x:c r="P173" s="30" t="str"/>
      <x:c r="Q173" t="str">
        <x:f>IF(A173="The View","Projeto",IF(A173="Le Parc","Benchmark local",IF(OR(A173="Del Mar Waterfront",A173="Aura Living"),"Premium waterfront/marina","A classificar")))</x:f>
        <x:v>Premium waterfront/marina</x:v>
      </x:c>
      <x:c r="R173" t="str">
        <x:v>Nova construção</x:v>
      </x:c>
      <x:c r="S173" t="str"/>
      <x:c r="T173" t="str"/>
      <x:c r="U173" t="str"/>
      <x:c r="V173" t="str"/>
      <x:c r="W173" s="28" t="n">
        <x:f>IF(A173="The View",1,MAX(0.25,MIN(1,IF(J173&gt;=2026,1,IF(J173=2025,0.8,IF(J173=2024,0.45,0.3)))*IF(Q173="Premium waterfront/marina",1,IF(Q173="Benchmark local",0.7,0.6))*IF(M173="Vendido",0.65,IF(M173="Reservado",0.8,IF(M173="Histórico",0.55,1))))))</x:f>
        <x:v>1</x:v>
      </x:c>
      <x:c r="X173" t="str">
        <x:f>IF(A173="The View","Projeto",IF(W173&gt;=0.85,"A · Premium ativo",IF(W173&gt;=0.55,"B · Benchmark local","C · Histórico/secundário")))</x:f>
        <x:v>A · Premium ativo</x:v>
      </x:c>
      <x:c r="Y173" t="str">
        <x:f>IF(A173="The View","N/A",IF(AND(N173&lt;&gt;"",O173&lt;&gt;"",P173&lt;&gt;""),"Alta",IF(OR(N173&lt;&gt;"",O173&lt;&gt;"",P173&lt;&gt;""),"Média","Baixa")))</x:f>
        <x:v>Baixa</x:v>
      </x:c>
      <x:c r="Z173" t="str"/>
      <x:c r="AA173" t="str">
        <x:f>IF(A173="The View","Manter",IF(J173&lt;2026,"Atualizar preço/status",IF(Y173="Baixa","Adicionar fonte/URL/data",IF(W173&lt;0.55,"Rever comparabilidade","OK"))))</x:f>
        <x:v>Adicionar fonte/URL/data</x:v>
      </x:c>
      <x:c r="AB173" t="str">
        <x:f>IF(A173="The View","",IF(OR(J173&lt;2026,Y173="Baixa"),"Alta",IF(W173&lt;0.55,"Média","Baixa")))</x:f>
        <x:v>Alta</x:v>
      </x:c>
    </x:row>
    <x:row r="174">
      <x:c r="A174" s="43" t="str">
        <x:v>Saramago Condomínio</x:v>
      </x:c>
      <x:c r="B174" s="43" t="str">
        <x:v>A0D</x:v>
      </x:c>
      <x:c r="C174" s="43" t="n">
        <x:v>0</x:v>
      </x:c>
      <x:c r="D174" s="43" t="str">
        <x:v>T2</x:v>
      </x:c>
      <x:c r="E174" s="43" t="str">
        <x:v>N/D</x:v>
      </x:c>
      <x:c r="F174" s="85" t="n">
        <x:v>91.55</x:v>
      </x:c>
      <x:c r="G174" s="85" t="n">
        <x:v>38.85</x:v>
      </x:c>
      <x:c r="H174" s="85" t="n">
        <x:v>130.4</x:v>
      </x:c>
      <x:c r="I174" s="86" t="n">
        <x:v>400000</x:v>
      </x:c>
      <x:c r="J174" s="87" t="n">
        <x:v>2024</x:v>
      </x:c>
      <x:c r="K174" s="85" t="n">
        <x:v>4369.197160021846</x:v>
      </x:c>
      <x:c r="L174" s="85" t="n">
        <x:v>3067.484662576687</x:v>
      </x:c>
      <x:c r="M174" s="43" t="str">
        <x:v>Histórico</x:v>
      </x:c>
      <x:c r="N174" s="43" t="str">
        <x:v>Tabela comercial Saramago enviada pelo utilizador</x:v>
      </x:c>
      <x:c r="O174" s="43" t="str"/>
      <x:c r="P174" s="43" t="str">
        <x:v>2024</x:v>
      </x:c>
      <x:c r="Q174" s="43" t="str">
        <x:v>Benchmark local perto da Marina</x:v>
      </x:c>
      <x:c r="R174" s="43" t="str">
        <x:v>Nova construção</x:v>
      </x:c>
      <x:c r="S174" s="43"/>
      <x:c r="T174" s="43" t="str">
        <x:v>Sim</x:v>
      </x:c>
      <x:c r="U174" s="43" t="str">
        <x:v>Sim</x:v>
      </x:c>
      <x:c r="V174" s="43"/>
      <x:c r="W174" s="53" t="n">
        <x:v>0.45</x:v>
      </x:c>
      <x:c r="X174" s="43" t="str">
        <x:v>B/C · Benchmark local histórico</x:v>
      </x:c>
      <x:c r="Y174" s="43" t="str">
        <x:v>Média</x:v>
      </x:c>
      <x:c r="Z174" s="43" t="str">
        <x:v>Tabela de preços 2024. Sem orientação/vista por fração; usar como benchmark local, não como concorrente direto premium.</x:v>
      </x:c>
      <x:c r="AA174" s="43" t="str">
        <x:v>Validar disponibilidade/preços atuais antes de decisão final</x:v>
      </x:c>
      <x:c r="AB174" s="43" t="str">
        <x:v>Alta</x:v>
      </x:c>
    </x:row>
    <x:row r="175">
      <x:c r="A175" s="43" t="str">
        <x:v>Saramago Condomínio</x:v>
      </x:c>
      <x:c r="B175" s="43" t="str">
        <x:v>A0E</x:v>
      </x:c>
      <x:c r="C175" s="43" t="n">
        <x:v>0</x:v>
      </x:c>
      <x:c r="D175" s="43" t="str">
        <x:v>T3</x:v>
      </x:c>
      <x:c r="E175" s="43" t="str">
        <x:v>N/D</x:v>
      </x:c>
      <x:c r="F175" s="85" t="n">
        <x:v>110.1</x:v>
      </x:c>
      <x:c r="G175" s="85" t="n">
        <x:v>44.2</x:v>
      </x:c>
      <x:c r="H175" s="85" t="n">
        <x:v>154.3</x:v>
      </x:c>
      <x:c r="I175" s="86" t="n">
        <x:v>500000</x:v>
      </x:c>
      <x:c r="J175" s="87" t="n">
        <x:v>2024</x:v>
      </x:c>
      <x:c r="K175" s="85" t="n">
        <x:v>4541.326067211626</x:v>
      </x:c>
      <x:c r="L175" s="85" t="n">
        <x:v>3240.440699935191</x:v>
      </x:c>
      <x:c r="M175" s="43" t="str">
        <x:v>Histórico</x:v>
      </x:c>
      <x:c r="N175" s="43" t="str">
        <x:v>Tabela comercial Saramago enviada pelo utilizador</x:v>
      </x:c>
      <x:c r="O175" s="43" t="str"/>
      <x:c r="P175" s="43" t="str">
        <x:v>2024</x:v>
      </x:c>
      <x:c r="Q175" s="43" t="str">
        <x:v>Benchmark local perto da Marina</x:v>
      </x:c>
      <x:c r="R175" s="43" t="str">
        <x:v>Nova construção</x:v>
      </x:c>
      <x:c r="S175" s="43"/>
      <x:c r="T175" s="43" t="str">
        <x:v>Sim</x:v>
      </x:c>
      <x:c r="U175" s="43" t="str">
        <x:v>Sim</x:v>
      </x:c>
      <x:c r="V175" s="43"/>
      <x:c r="W175" s="53" t="n">
        <x:v>0.45</x:v>
      </x:c>
      <x:c r="X175" s="43" t="str">
        <x:v>B/C · Benchmark local histórico</x:v>
      </x:c>
      <x:c r="Y175" s="43" t="str">
        <x:v>Média</x:v>
      </x:c>
      <x:c r="Z175" s="43" t="str">
        <x:v>Tabela de preços 2024. Sem orientação/vista por fração; usar como benchmark local, não como concorrente direto premium.</x:v>
      </x:c>
      <x:c r="AA175" s="43" t="str">
        <x:v>Validar disponibilidade/preços atuais antes de decisão final</x:v>
      </x:c>
      <x:c r="AB175" s="43" t="str">
        <x:v>Alta</x:v>
      </x:c>
    </x:row>
    <x:row r="176">
      <x:c r="A176" s="43" t="str">
        <x:v>Saramago Condomínio</x:v>
      </x:c>
      <x:c r="B176" s="43" t="str">
        <x:v>B0D</x:v>
      </x:c>
      <x:c r="C176" s="43" t="n">
        <x:v>0</x:v>
      </x:c>
      <x:c r="D176" s="43" t="str">
        <x:v>T3</x:v>
      </x:c>
      <x:c r="E176" s="43" t="str">
        <x:v>N/D</x:v>
      </x:c>
      <x:c r="F176" s="85" t="n">
        <x:v>111.1</x:v>
      </x:c>
      <x:c r="G176" s="85" t="n">
        <x:v>44.2</x:v>
      </x:c>
      <x:c r="H176" s="85" t="n">
        <x:v>155.3</x:v>
      </x:c>
      <x:c r="I176" s="86" t="n">
        <x:v>490000</x:v>
      </x:c>
      <x:c r="J176" s="87" t="n">
        <x:v>2024</x:v>
      </x:c>
      <x:c r="K176" s="85" t="n">
        <x:v>4410.441044104411</x:v>
      </x:c>
      <x:c r="L176" s="85" t="n">
        <x:v>3155.1835157759174</x:v>
      </x:c>
      <x:c r="M176" s="43" t="str">
        <x:v>Histórico</x:v>
      </x:c>
      <x:c r="N176" s="43" t="str">
        <x:v>Tabela comercial Saramago enviada pelo utilizador</x:v>
      </x:c>
      <x:c r="O176" s="43" t="str"/>
      <x:c r="P176" s="43" t="str">
        <x:v>2024</x:v>
      </x:c>
      <x:c r="Q176" s="43" t="str">
        <x:v>Benchmark local perto da Marina</x:v>
      </x:c>
      <x:c r="R176" s="43" t="str">
        <x:v>Nova construção</x:v>
      </x:c>
      <x:c r="S176" s="43"/>
      <x:c r="T176" s="43" t="str">
        <x:v>Sim</x:v>
      </x:c>
      <x:c r="U176" s="43" t="str">
        <x:v>Sim</x:v>
      </x:c>
      <x:c r="V176" s="43"/>
      <x:c r="W176" s="53" t="n">
        <x:v>0.45</x:v>
      </x:c>
      <x:c r="X176" s="43" t="str">
        <x:v>B/C · Benchmark local histórico</x:v>
      </x:c>
      <x:c r="Y176" s="43" t="str">
        <x:v>Média</x:v>
      </x:c>
      <x:c r="Z176" s="43" t="str">
        <x:v>Tabela de preços 2024. Sem orientação/vista por fração; usar como benchmark local, não como concorrente direto premium.</x:v>
      </x:c>
      <x:c r="AA176" s="43" t="str">
        <x:v>Validar disponibilidade/preços atuais antes de decisão final</x:v>
      </x:c>
      <x:c r="AB176" s="43" t="str">
        <x:v>Alta</x:v>
      </x:c>
    </x:row>
    <x:row r="177">
      <x:c r="A177" s="43" t="str">
        <x:v>Saramago Condomínio</x:v>
      </x:c>
      <x:c r="B177" s="43" t="str">
        <x:v>C0D</x:v>
      </x:c>
      <x:c r="C177" s="43" t="n">
        <x:v>0</x:v>
      </x:c>
      <x:c r="D177" s="43" t="str">
        <x:v>T3</x:v>
      </x:c>
      <x:c r="E177" s="43" t="str">
        <x:v>N/D</x:v>
      </x:c>
      <x:c r="F177" s="85" t="n">
        <x:v>111.1</x:v>
      </x:c>
      <x:c r="G177" s="85" t="n">
        <x:v>44.2</x:v>
      </x:c>
      <x:c r="H177" s="85" t="n">
        <x:v>155.3</x:v>
      </x:c>
      <x:c r="I177" s="86" t="n">
        <x:v>500000</x:v>
      </x:c>
      <x:c r="J177" s="87" t="n">
        <x:v>2024</x:v>
      </x:c>
      <x:c r="K177" s="85" t="n">
        <x:v>4500.450045004501</x:v>
      </x:c>
      <x:c r="L177" s="85" t="n">
        <x:v>3219.575016097875</x:v>
      </x:c>
      <x:c r="M177" s="43" t="str">
        <x:v>Histórico</x:v>
      </x:c>
      <x:c r="N177" s="43" t="str">
        <x:v>Tabela comercial Saramago enviada pelo utilizador</x:v>
      </x:c>
      <x:c r="O177" s="43" t="str"/>
      <x:c r="P177" s="43" t="str">
        <x:v>2024</x:v>
      </x:c>
      <x:c r="Q177" s="43" t="str">
        <x:v>Benchmark local perto da Marina</x:v>
      </x:c>
      <x:c r="R177" s="43" t="str">
        <x:v>Nova construção</x:v>
      </x:c>
      <x:c r="S177" s="43"/>
      <x:c r="T177" s="43" t="str">
        <x:v>Sim</x:v>
      </x:c>
      <x:c r="U177" s="43" t="str">
        <x:v>Sim</x:v>
      </x:c>
      <x:c r="V177" s="43"/>
      <x:c r="W177" s="53" t="n">
        <x:v>0.45</x:v>
      </x:c>
      <x:c r="X177" s="43" t="str">
        <x:v>B/C · Benchmark local histórico</x:v>
      </x:c>
      <x:c r="Y177" s="43" t="str">
        <x:v>Média</x:v>
      </x:c>
      <x:c r="Z177" s="43" t="str">
        <x:v>Tabela de preços 2024. Sem orientação/vista por fração; usar como benchmark local, não como concorrente direto premium.</x:v>
      </x:c>
      <x:c r="AA177" s="43" t="str">
        <x:v>Validar disponibilidade/preços atuais antes de decisão final</x:v>
      </x:c>
      <x:c r="AB177" s="43" t="str">
        <x:v>Alta</x:v>
      </x:c>
    </x:row>
    <x:row r="178">
      <x:c r="A178" s="43" t="str">
        <x:v>Saramago Condomínio</x:v>
      </x:c>
      <x:c r="B178" s="43" t="str">
        <x:v>C0E</x:v>
      </x:c>
      <x:c r="C178" s="43" t="n">
        <x:v>0</x:v>
      </x:c>
      <x:c r="D178" s="43" t="str">
        <x:v>T2</x:v>
      </x:c>
      <x:c r="E178" s="43" t="str">
        <x:v>N/D</x:v>
      </x:c>
      <x:c r="F178" s="85" t="n">
        <x:v>91.55</x:v>
      </x:c>
      <x:c r="G178" s="85" t="n">
        <x:v>38.6</x:v>
      </x:c>
      <x:c r="H178" s="85" t="n">
        <x:v>130.15</x:v>
      </x:c>
      <x:c r="I178" s="86" t="n">
        <x:v>400000</x:v>
      </x:c>
      <x:c r="J178" s="87" t="n">
        <x:v>2024</x:v>
      </x:c>
      <x:c r="K178" s="85" t="n">
        <x:v>4369.197160021846</x:v>
      </x:c>
      <x:c r="L178" s="85" t="n">
        <x:v>3073.376872839032</x:v>
      </x:c>
      <x:c r="M178" s="43" t="str">
        <x:v>Histórico</x:v>
      </x:c>
      <x:c r="N178" s="43" t="str">
        <x:v>Tabela comercial Saramago enviada pelo utilizador</x:v>
      </x:c>
      <x:c r="O178" s="43" t="str"/>
      <x:c r="P178" s="43" t="str">
        <x:v>2024</x:v>
      </x:c>
      <x:c r="Q178" s="43" t="str">
        <x:v>Benchmark local perto da Marina</x:v>
      </x:c>
      <x:c r="R178" s="43" t="str">
        <x:v>Nova construção</x:v>
      </x:c>
      <x:c r="S178" s="43"/>
      <x:c r="T178" s="43" t="str">
        <x:v>Sim</x:v>
      </x:c>
      <x:c r="U178" s="43" t="str">
        <x:v>Sim</x:v>
      </x:c>
      <x:c r="V178" s="43"/>
      <x:c r="W178" s="53" t="n">
        <x:v>0.45</x:v>
      </x:c>
      <x:c r="X178" s="43" t="str">
        <x:v>B/C · Benchmark local histórico</x:v>
      </x:c>
      <x:c r="Y178" s="43" t="str">
        <x:v>Média</x:v>
      </x:c>
      <x:c r="Z178" s="43" t="str">
        <x:v>Tabela de preços 2024. Sem orientação/vista por fração; usar como benchmark local, não como concorrente direto premium.</x:v>
      </x:c>
      <x:c r="AA178" s="43" t="str">
        <x:v>Validar disponibilidade/preços atuais antes de decisão final</x:v>
      </x:c>
      <x:c r="AB178" s="43" t="str">
        <x:v>Alta</x:v>
      </x:c>
    </x:row>
    <x:row r="179">
      <x:c r="A179" s="43" t="str">
        <x:v>Saramago Condomínio</x:v>
      </x:c>
      <x:c r="B179" s="43" t="str">
        <x:v>A1D</x:v>
      </x:c>
      <x:c r="C179" s="43" t="n">
        <x:v>1</x:v>
      </x:c>
      <x:c r="D179" s="43" t="str">
        <x:v>T2</x:v>
      </x:c>
      <x:c r="E179" s="43" t="str">
        <x:v>N/D</x:v>
      </x:c>
      <x:c r="F179" s="85" t="n">
        <x:v>101.2</x:v>
      </x:c>
      <x:c r="G179" s="85" t="n">
        <x:v>21.9</x:v>
      </x:c>
      <x:c r="H179" s="85" t="n">
        <x:v>123.1</x:v>
      </x:c>
      <x:c r="I179" s="86" t="n">
        <x:v>400000</x:v>
      </x:c>
      <x:c r="J179" s="87" t="n">
        <x:v>2024</x:v>
      </x:c>
      <x:c r="K179" s="85" t="n">
        <x:v>3952.569169960474</x:v>
      </x:c>
      <x:c r="L179" s="85" t="n">
        <x:v>3249.3907392363935</x:v>
      </x:c>
      <x:c r="M179" s="43" t="str">
        <x:v>Histórico</x:v>
      </x:c>
      <x:c r="N179" s="43" t="str">
        <x:v>Tabela comercial Saramago enviada pelo utilizador</x:v>
      </x:c>
      <x:c r="O179" s="43" t="str"/>
      <x:c r="P179" s="43" t="str">
        <x:v>2024</x:v>
      </x:c>
      <x:c r="Q179" s="43" t="str">
        <x:v>Benchmark local perto da Marina</x:v>
      </x:c>
      <x:c r="R179" s="43" t="str">
        <x:v>Nova construção</x:v>
      </x:c>
      <x:c r="S179" s="43"/>
      <x:c r="T179" s="43" t="str">
        <x:v>Sim</x:v>
      </x:c>
      <x:c r="U179" s="43" t="str">
        <x:v>Sim</x:v>
      </x:c>
      <x:c r="V179" s="43"/>
      <x:c r="W179" s="53" t="n">
        <x:v>0.45</x:v>
      </x:c>
      <x:c r="X179" s="43" t="str">
        <x:v>B/C · Benchmark local histórico</x:v>
      </x:c>
      <x:c r="Y179" s="43" t="str">
        <x:v>Média</x:v>
      </x:c>
      <x:c r="Z179" s="43" t="str">
        <x:v>Tabela de preços 2024. Sem orientação/vista por fração; usar como benchmark local, não como concorrente direto premium.</x:v>
      </x:c>
      <x:c r="AA179" s="43" t="str">
        <x:v>Validar disponibilidade/preços atuais antes de decisão final</x:v>
      </x:c>
      <x:c r="AB179" s="43" t="str">
        <x:v>Alta</x:v>
      </x:c>
    </x:row>
    <x:row r="180">
      <x:c r="A180" s="43" t="str">
        <x:v>Saramago Condomínio</x:v>
      </x:c>
      <x:c r="B180" s="43" t="str">
        <x:v>A1EF</x:v>
      </x:c>
      <x:c r="C180" s="43" t="n">
        <x:v>1</x:v>
      </x:c>
      <x:c r="D180" s="43" t="str">
        <x:v>T1</x:v>
      </x:c>
      <x:c r="E180" s="43" t="str">
        <x:v>N/D</x:v>
      </x:c>
      <x:c r="F180" s="85" t="n">
        <x:v>57</x:v>
      </x:c>
      <x:c r="G180" s="85" t="n">
        <x:v>9.85</x:v>
      </x:c>
      <x:c r="H180" s="85" t="n">
        <x:v>66.85</x:v>
      </x:c>
      <x:c r="I180" s="86" t="n">
        <x:v>280000</x:v>
      </x:c>
      <x:c r="J180" s="87" t="n">
        <x:v>2024</x:v>
      </x:c>
      <x:c r="K180" s="85" t="n">
        <x:v>4912.2807017543855</x:v>
      </x:c>
      <x:c r="L180" s="85" t="n">
        <x:v>4188.481675392671</x:v>
      </x:c>
      <x:c r="M180" s="43" t="str">
        <x:v>Histórico</x:v>
      </x:c>
      <x:c r="N180" s="43" t="str">
        <x:v>Tabela comercial Saramago enviada pelo utilizador</x:v>
      </x:c>
      <x:c r="O180" s="43" t="str"/>
      <x:c r="P180" s="43" t="str">
        <x:v>2024</x:v>
      </x:c>
      <x:c r="Q180" s="43" t="str">
        <x:v>Benchmark local perto da Marina</x:v>
      </x:c>
      <x:c r="R180" s="43" t="str">
        <x:v>Nova construção</x:v>
      </x:c>
      <x:c r="S180" s="43"/>
      <x:c r="T180" s="43" t="str">
        <x:v>Sim</x:v>
      </x:c>
      <x:c r="U180" s="43" t="str">
        <x:v>Sim</x:v>
      </x:c>
      <x:c r="V180" s="43"/>
      <x:c r="W180" s="53" t="n">
        <x:v>0.45</x:v>
      </x:c>
      <x:c r="X180" s="43" t="str">
        <x:v>B/C · Benchmark local histórico</x:v>
      </x:c>
      <x:c r="Y180" s="43" t="str">
        <x:v>Média</x:v>
      </x:c>
      <x:c r="Z180" s="43" t="str">
        <x:v>Tabela de preços 2024. Sem orientação/vista por fração; usar como benchmark local, não como concorrente direto premium.</x:v>
      </x:c>
      <x:c r="AA180" s="43" t="str">
        <x:v>Validar disponibilidade/preços atuais antes de decisão final</x:v>
      </x:c>
      <x:c r="AB180" s="43" t="str">
        <x:v>Alta</x:v>
      </x:c>
    </x:row>
    <x:row r="181">
      <x:c r="A181" s="43" t="str">
        <x:v>Saramago Condomínio</x:v>
      </x:c>
      <x:c r="B181" s="43" t="str">
        <x:v>B1DF</x:v>
      </x:c>
      <x:c r="C181" s="43" t="n">
        <x:v>1</x:v>
      </x:c>
      <x:c r="D181" s="43" t="str">
        <x:v>T1</x:v>
      </x:c>
      <x:c r="E181" s="43" t="str">
        <x:v>N/D</x:v>
      </x:c>
      <x:c r="F181" s="85" t="n">
        <x:v>57</x:v>
      </x:c>
      <x:c r="G181" s="85" t="n">
        <x:v>9</x:v>
      </x:c>
      <x:c r="H181" s="85" t="n">
        <x:v>66</x:v>
      </x:c>
      <x:c r="I181" s="86" t="n">
        <x:v>275000</x:v>
      </x:c>
      <x:c r="J181" s="87" t="n">
        <x:v>2024</x:v>
      </x:c>
      <x:c r="K181" s="85" t="n">
        <x:v>4824.561403508772</x:v>
      </x:c>
      <x:c r="L181" s="85" t="n">
        <x:v>4166.666666666667</x:v>
      </x:c>
      <x:c r="M181" s="43" t="str">
        <x:v>Histórico</x:v>
      </x:c>
      <x:c r="N181" s="43" t="str">
        <x:v>Tabela comercial Saramago enviada pelo utilizador</x:v>
      </x:c>
      <x:c r="O181" s="43" t="str"/>
      <x:c r="P181" s="43" t="str">
        <x:v>2024</x:v>
      </x:c>
      <x:c r="Q181" s="43" t="str">
        <x:v>Benchmark local perto da Marina</x:v>
      </x:c>
      <x:c r="R181" s="43" t="str">
        <x:v>Nova construção</x:v>
      </x:c>
      <x:c r="S181" s="43"/>
      <x:c r="T181" s="43" t="str">
        <x:v>Sim</x:v>
      </x:c>
      <x:c r="U181" s="43" t="str">
        <x:v>Sim</x:v>
      </x:c>
      <x:c r="V181" s="43"/>
      <x:c r="W181" s="53" t="n">
        <x:v>0.45</x:v>
      </x:c>
      <x:c r="X181" s="43" t="str">
        <x:v>B/C · Benchmark local histórico</x:v>
      </x:c>
      <x:c r="Y181" s="43" t="str">
        <x:v>Média</x:v>
      </x:c>
      <x:c r="Z181" s="43" t="str">
        <x:v>Tabela de preços 2024. Sem orientação/vista por fração; usar como benchmark local, não como concorrente direto premium.</x:v>
      </x:c>
      <x:c r="AA181" s="43" t="str">
        <x:v>Validar disponibilidade/preços atuais antes de decisão final</x:v>
      </x:c>
      <x:c r="AB181" s="43" t="str">
        <x:v>Alta</x:v>
      </x:c>
    </x:row>
    <x:row r="182">
      <x:c r="A182" s="43" t="str">
        <x:v>Saramago Condomínio</x:v>
      </x:c>
      <x:c r="B182" s="43" t="str">
        <x:v>B1E</x:v>
      </x:c>
      <x:c r="C182" s="43" t="n">
        <x:v>1</x:v>
      </x:c>
      <x:c r="D182" s="43" t="str">
        <x:v>T2</x:v>
      </x:c>
      <x:c r="E182" s="43" t="str">
        <x:v>N/D</x:v>
      </x:c>
      <x:c r="F182" s="85" t="n">
        <x:v>99.6</x:v>
      </x:c>
      <x:c r="G182" s="85" t="n">
        <x:v>18.45</x:v>
      </x:c>
      <x:c r="H182" s="85" t="n">
        <x:v>118.05</x:v>
      </x:c>
      <x:c r="I182" s="86" t="n">
        <x:v>380000</x:v>
      </x:c>
      <x:c r="J182" s="87" t="n">
        <x:v>2024</x:v>
      </x:c>
      <x:c r="K182" s="85" t="n">
        <x:v>3815.261044176707</x:v>
      </x:c>
      <x:c r="L182" s="85" t="n">
        <x:v>3218.9750105887338</x:v>
      </x:c>
      <x:c r="M182" s="43" t="str">
        <x:v>Histórico</x:v>
      </x:c>
      <x:c r="N182" s="43" t="str">
        <x:v>Tabela comercial Saramago enviada pelo utilizador</x:v>
      </x:c>
      <x:c r="O182" s="43" t="str"/>
      <x:c r="P182" s="43" t="str">
        <x:v>2024</x:v>
      </x:c>
      <x:c r="Q182" s="43" t="str">
        <x:v>Benchmark local perto da Marina</x:v>
      </x:c>
      <x:c r="R182" s="43" t="str">
        <x:v>Nova construção</x:v>
      </x:c>
      <x:c r="S182" s="43"/>
      <x:c r="T182" s="43" t="str">
        <x:v>Sim</x:v>
      </x:c>
      <x:c r="U182" s="43" t="str">
        <x:v>Sim</x:v>
      </x:c>
      <x:c r="V182" s="43"/>
      <x:c r="W182" s="53" t="n">
        <x:v>0.45</x:v>
      </x:c>
      <x:c r="X182" s="43" t="str">
        <x:v>B/C · Benchmark local histórico</x:v>
      </x:c>
      <x:c r="Y182" s="43" t="str">
        <x:v>Média</x:v>
      </x:c>
      <x:c r="Z182" s="43" t="str">
        <x:v>Tabela de preços 2024. Sem orientação/vista por fração; usar como benchmark local, não como concorrente direto premium.</x:v>
      </x:c>
      <x:c r="AA182" s="43" t="str">
        <x:v>Validar disponibilidade/preços atuais antes de decisão final</x:v>
      </x:c>
      <x:c r="AB182" s="43" t="str">
        <x:v>Alta</x:v>
      </x:c>
    </x:row>
    <x:row r="183">
      <x:c r="A183" s="43" t="str">
        <x:v>Saramago Condomínio</x:v>
      </x:c>
      <x:c r="B183" s="43" t="str">
        <x:v>C1DF</x:v>
      </x:c>
      <x:c r="C183" s="43" t="n">
        <x:v>1</x:v>
      </x:c>
      <x:c r="D183" s="43" t="str">
        <x:v>T1</x:v>
      </x:c>
      <x:c r="E183" s="43" t="str">
        <x:v>N/D</x:v>
      </x:c>
      <x:c r="F183" s="85" t="n">
        <x:v>57</x:v>
      </x:c>
      <x:c r="G183" s="85" t="n">
        <x:v>9.95</x:v>
      </x:c>
      <x:c r="H183" s="85" t="n">
        <x:v>66.95</x:v>
      </x:c>
      <x:c r="I183" s="86" t="n">
        <x:v>275000</x:v>
      </x:c>
      <x:c r="J183" s="87" t="n">
        <x:v>2024</x:v>
      </x:c>
      <x:c r="K183" s="85" t="n">
        <x:v>4824.561403508772</x:v>
      </x:c>
      <x:c r="L183" s="85" t="n">
        <x:v>4107.542942494399</x:v>
      </x:c>
      <x:c r="M183" s="43" t="str">
        <x:v>Histórico</x:v>
      </x:c>
      <x:c r="N183" s="43" t="str">
        <x:v>Tabela comercial Saramago enviada pelo utilizador</x:v>
      </x:c>
      <x:c r="O183" s="43" t="str"/>
      <x:c r="P183" s="43" t="str">
        <x:v>2024</x:v>
      </x:c>
      <x:c r="Q183" s="43" t="str">
        <x:v>Benchmark local perto da Marina</x:v>
      </x:c>
      <x:c r="R183" s="43" t="str">
        <x:v>Nova construção</x:v>
      </x:c>
      <x:c r="S183" s="43"/>
      <x:c r="T183" s="43" t="str">
        <x:v>Sim</x:v>
      </x:c>
      <x:c r="U183" s="43" t="str">
        <x:v>Sim</x:v>
      </x:c>
      <x:c r="V183" s="43"/>
      <x:c r="W183" s="53" t="n">
        <x:v>0.45</x:v>
      </x:c>
      <x:c r="X183" s="43" t="str">
        <x:v>B/C · Benchmark local histórico</x:v>
      </x:c>
      <x:c r="Y183" s="43" t="str">
        <x:v>Média</x:v>
      </x:c>
      <x:c r="Z183" s="43" t="str">
        <x:v>Tabela de preços 2024. Sem orientação/vista por fração; usar como benchmark local, não como concorrente direto premium.</x:v>
      </x:c>
      <x:c r="AA183" s="43" t="str">
        <x:v>Validar disponibilidade/preços atuais antes de decisão final</x:v>
      </x:c>
      <x:c r="AB183" s="43" t="str">
        <x:v>Alta</x:v>
      </x:c>
    </x:row>
    <x:row r="184">
      <x:c r="A184" s="43" t="str">
        <x:v>Saramago Condomínio</x:v>
      </x:c>
      <x:c r="B184" s="43" t="str">
        <x:v>C1E</x:v>
      </x:c>
      <x:c r="C184" s="43" t="n">
        <x:v>1</x:v>
      </x:c>
      <x:c r="D184" s="43" t="str">
        <x:v>T2</x:v>
      </x:c>
      <x:c r="E184" s="43" t="str">
        <x:v>N/D</x:v>
      </x:c>
      <x:c r="F184" s="85" t="n">
        <x:v>101.2</x:v>
      </x:c>
      <x:c r="G184" s="85" t="n">
        <x:v>31.9</x:v>
      </x:c>
      <x:c r="H184" s="85" t="n">
        <x:v>133.1</x:v>
      </x:c>
      <x:c r="I184" s="86" t="n">
        <x:v>385000</x:v>
      </x:c>
      <x:c r="J184" s="87" t="n">
        <x:v>2024</x:v>
      </x:c>
      <x:c r="K184" s="85" t="n">
        <x:v>3804.3478260869565</x:v>
      </x:c>
      <x:c r="L184" s="85" t="n">
        <x:v>2892.5619834710747</x:v>
      </x:c>
      <x:c r="M184" s="43" t="str">
        <x:v>Histórico</x:v>
      </x:c>
      <x:c r="N184" s="43" t="str">
        <x:v>Tabela comercial Saramago enviada pelo utilizador</x:v>
      </x:c>
      <x:c r="O184" s="43" t="str"/>
      <x:c r="P184" s="43" t="str">
        <x:v>2024</x:v>
      </x:c>
      <x:c r="Q184" s="43" t="str">
        <x:v>Benchmark local perto da Marina</x:v>
      </x:c>
      <x:c r="R184" s="43" t="str">
        <x:v>Nova construção</x:v>
      </x:c>
      <x:c r="S184" s="43"/>
      <x:c r="T184" s="43" t="str">
        <x:v>Sim</x:v>
      </x:c>
      <x:c r="U184" s="43" t="str">
        <x:v>Sim</x:v>
      </x:c>
      <x:c r="V184" s="43"/>
      <x:c r="W184" s="53" t="n">
        <x:v>0.45</x:v>
      </x:c>
      <x:c r="X184" s="43" t="str">
        <x:v>B/C · Benchmark local histórico</x:v>
      </x:c>
      <x:c r="Y184" s="43" t="str">
        <x:v>Média</x:v>
      </x:c>
      <x:c r="Z184" s="43" t="str">
        <x:v>Tabela de preços 2024. Sem orientação/vista por fração; usar como benchmark local, não como concorrente direto premium.</x:v>
      </x:c>
      <x:c r="AA184" s="43" t="str">
        <x:v>Validar disponibilidade/preços atuais antes de decisão final</x:v>
      </x:c>
      <x:c r="AB184" s="43" t="str">
        <x:v>Alta</x:v>
      </x:c>
    </x:row>
    <x:row r="185">
      <x:c r="A185" s="43" t="str">
        <x:v>Saramago Condomínio</x:v>
      </x:c>
      <x:c r="B185" s="43" t="str">
        <x:v>A2D</x:v>
      </x:c>
      <x:c r="C185" s="43" t="n">
        <x:v>2</x:v>
      </x:c>
      <x:c r="D185" s="43" t="str">
        <x:v>T2</x:v>
      </x:c>
      <x:c r="E185" s="43" t="str">
        <x:v>N/D</x:v>
      </x:c>
      <x:c r="F185" s="85" t="n">
        <x:v>101.2</x:v>
      </x:c>
      <x:c r="G185" s="85" t="n">
        <x:v>22.55</x:v>
      </x:c>
      <x:c r="H185" s="85" t="n">
        <x:v>123.75</x:v>
      </x:c>
      <x:c r="I185" s="86" t="n">
        <x:v>400000</x:v>
      </x:c>
      <x:c r="J185" s="87" t="n">
        <x:v>2024</x:v>
      </x:c>
      <x:c r="K185" s="85" t="n">
        <x:v>3952.569169960474</x:v>
      </x:c>
      <x:c r="L185" s="85" t="n">
        <x:v>3232.3232323232323</x:v>
      </x:c>
      <x:c r="M185" s="43" t="str">
        <x:v>Histórico</x:v>
      </x:c>
      <x:c r="N185" s="43" t="str">
        <x:v>Tabela comercial Saramago enviada pelo utilizador</x:v>
      </x:c>
      <x:c r="O185" s="43" t="str"/>
      <x:c r="P185" s="43" t="str">
        <x:v>2024</x:v>
      </x:c>
      <x:c r="Q185" s="43" t="str">
        <x:v>Benchmark local perto da Marina</x:v>
      </x:c>
      <x:c r="R185" s="43" t="str">
        <x:v>Nova construção</x:v>
      </x:c>
      <x:c r="S185" s="43"/>
      <x:c r="T185" s="43" t="str">
        <x:v>Sim</x:v>
      </x:c>
      <x:c r="U185" s="43" t="str">
        <x:v>Sim</x:v>
      </x:c>
      <x:c r="V185" s="43"/>
      <x:c r="W185" s="53" t="n">
        <x:v>0.45</x:v>
      </x:c>
      <x:c r="X185" s="43" t="str">
        <x:v>B/C · Benchmark local histórico</x:v>
      </x:c>
      <x:c r="Y185" s="43" t="str">
        <x:v>Média</x:v>
      </x:c>
      <x:c r="Z185" s="43" t="str">
        <x:v>Tabela de preços 2024. Sem orientação/vista por fração; usar como benchmark local, não como concorrente direto premium.</x:v>
      </x:c>
      <x:c r="AA185" s="43" t="str">
        <x:v>Validar disponibilidade/preços atuais antes de decisão final</x:v>
      </x:c>
      <x:c r="AB185" s="43" t="str">
        <x:v>Alta</x:v>
      </x:c>
    </x:row>
    <x:row r="186">
      <x:c r="A186" s="43" t="str">
        <x:v>Saramago Condomínio</x:v>
      </x:c>
      <x:c r="B186" s="43" t="str">
        <x:v>A2EF</x:v>
      </x:c>
      <x:c r="C186" s="43" t="n">
        <x:v>2</x:v>
      </x:c>
      <x:c r="D186" s="43" t="str">
        <x:v>T1</x:v>
      </x:c>
      <x:c r="E186" s="43" t="str">
        <x:v>N/D</x:v>
      </x:c>
      <x:c r="F186" s="85" t="n">
        <x:v>57</x:v>
      </x:c>
      <x:c r="G186" s="85" t="n">
        <x:v>9</x:v>
      </x:c>
      <x:c r="H186" s="85" t="n">
        <x:v>66</x:v>
      </x:c>
      <x:c r="I186" s="86" t="n">
        <x:v>285000</x:v>
      </x:c>
      <x:c r="J186" s="87" t="n">
        <x:v>2024</x:v>
      </x:c>
      <x:c r="K186" s="85" t="n">
        <x:v>5000</x:v>
      </x:c>
      <x:c r="L186" s="85" t="n">
        <x:v>4318.181818181818</x:v>
      </x:c>
      <x:c r="M186" s="43" t="str">
        <x:v>Histórico</x:v>
      </x:c>
      <x:c r="N186" s="43" t="str">
        <x:v>Tabela comercial Saramago enviada pelo utilizador</x:v>
      </x:c>
      <x:c r="O186" s="43" t="str"/>
      <x:c r="P186" s="43" t="str">
        <x:v>2024</x:v>
      </x:c>
      <x:c r="Q186" s="43" t="str">
        <x:v>Benchmark local perto da Marina</x:v>
      </x:c>
      <x:c r="R186" s="43" t="str">
        <x:v>Nova construção</x:v>
      </x:c>
      <x:c r="S186" s="43"/>
      <x:c r="T186" s="43" t="str">
        <x:v>Sim</x:v>
      </x:c>
      <x:c r="U186" s="43" t="str">
        <x:v>Sim</x:v>
      </x:c>
      <x:c r="V186" s="43"/>
      <x:c r="W186" s="53" t="n">
        <x:v>0.45</x:v>
      </x:c>
      <x:c r="X186" s="43" t="str">
        <x:v>B/C · Benchmark local histórico</x:v>
      </x:c>
      <x:c r="Y186" s="43" t="str">
        <x:v>Média</x:v>
      </x:c>
      <x:c r="Z186" s="43" t="str">
        <x:v>Tabela de preços 2024. Sem orientação/vista por fração; usar como benchmark local, não como concorrente direto premium.</x:v>
      </x:c>
      <x:c r="AA186" s="43" t="str">
        <x:v>Validar disponibilidade/preços atuais antes de decisão final</x:v>
      </x:c>
      <x:c r="AB186" s="43" t="str">
        <x:v>Alta</x:v>
      </x:c>
    </x:row>
    <x:row r="187">
      <x:c r="A187" s="43" t="str">
        <x:v>Saramago Condomínio</x:v>
      </x:c>
      <x:c r="B187" s="43" t="str">
        <x:v>B2DF</x:v>
      </x:c>
      <x:c r="C187" s="43" t="n">
        <x:v>2</x:v>
      </x:c>
      <x:c r="D187" s="43" t="str">
        <x:v>T1</x:v>
      </x:c>
      <x:c r="E187" s="43" t="str">
        <x:v>N/D</x:v>
      </x:c>
      <x:c r="F187" s="85" t="n">
        <x:v>57</x:v>
      </x:c>
      <x:c r="G187" s="85" t="n">
        <x:v>9.85</x:v>
      </x:c>
      <x:c r="H187" s="85" t="n">
        <x:v>66.85</x:v>
      </x:c>
      <x:c r="I187" s="86" t="n">
        <x:v>290000</x:v>
      </x:c>
      <x:c r="J187" s="87" t="n">
        <x:v>2024</x:v>
      </x:c>
      <x:c r="K187" s="85" t="n">
        <x:v>5087.7192982456145</x:v>
      </x:c>
      <x:c r="L187" s="85" t="n">
        <x:v>4338.070306656695</x:v>
      </x:c>
      <x:c r="M187" s="43" t="str">
        <x:v>Histórico</x:v>
      </x:c>
      <x:c r="N187" s="43" t="str">
        <x:v>Tabela comercial Saramago enviada pelo utilizador</x:v>
      </x:c>
      <x:c r="O187" s="43" t="str"/>
      <x:c r="P187" s="43" t="str">
        <x:v>2024</x:v>
      </x:c>
      <x:c r="Q187" s="43" t="str">
        <x:v>Benchmark local perto da Marina</x:v>
      </x:c>
      <x:c r="R187" s="43" t="str">
        <x:v>Nova construção</x:v>
      </x:c>
      <x:c r="S187" s="43"/>
      <x:c r="T187" s="43" t="str">
        <x:v>Sim</x:v>
      </x:c>
      <x:c r="U187" s="43" t="str">
        <x:v>Sim</x:v>
      </x:c>
      <x:c r="V187" s="43"/>
      <x:c r="W187" s="53" t="n">
        <x:v>0.45</x:v>
      </x:c>
      <x:c r="X187" s="43" t="str">
        <x:v>B/C · Benchmark local histórico</x:v>
      </x:c>
      <x:c r="Y187" s="43" t="str">
        <x:v>Média</x:v>
      </x:c>
      <x:c r="Z187" s="43" t="str">
        <x:v>Tabela de preços 2024. Sem orientação/vista por fração; usar como benchmark local, não como concorrente direto premium.</x:v>
      </x:c>
      <x:c r="AA187" s="43" t="str">
        <x:v>Validar disponibilidade/preços atuais antes de decisão final</x:v>
      </x:c>
      <x:c r="AB187" s="43" t="str">
        <x:v>Alta</x:v>
      </x:c>
    </x:row>
    <x:row r="188">
      <x:c r="A188" s="43" t="str">
        <x:v>Saramago Condomínio</x:v>
      </x:c>
      <x:c r="B188" s="43" t="str">
        <x:v>B2E</x:v>
      </x:c>
      <x:c r="C188" s="43" t="n">
        <x:v>2</x:v>
      </x:c>
      <x:c r="D188" s="43" t="str">
        <x:v>T2</x:v>
      </x:c>
      <x:c r="E188" s="43" t="str">
        <x:v>N/D</x:v>
      </x:c>
      <x:c r="F188" s="85" t="n">
        <x:v>99.6</x:v>
      </x:c>
      <x:c r="G188" s="85" t="n">
        <x:v>19.6</x:v>
      </x:c>
      <x:c r="H188" s="85" t="n">
        <x:v>119.19999999999999</x:v>
      </x:c>
      <x:c r="I188" s="86" t="n">
        <x:v>405000</x:v>
      </x:c>
      <x:c r="J188" s="87" t="n">
        <x:v>2024</x:v>
      </x:c>
      <x:c r="K188" s="85" t="n">
        <x:v>4066.265060240964</x:v>
      </x:c>
      <x:c r="L188" s="85" t="n">
        <x:v>3397.6510067114095</x:v>
      </x:c>
      <x:c r="M188" s="43" t="str">
        <x:v>Histórico</x:v>
      </x:c>
      <x:c r="N188" s="43" t="str">
        <x:v>Tabela comercial Saramago enviada pelo utilizador</x:v>
      </x:c>
      <x:c r="O188" s="43" t="str"/>
      <x:c r="P188" s="43" t="str">
        <x:v>2024</x:v>
      </x:c>
      <x:c r="Q188" s="43" t="str">
        <x:v>Benchmark local perto da Marina</x:v>
      </x:c>
      <x:c r="R188" s="43" t="str">
        <x:v>Nova construção</x:v>
      </x:c>
      <x:c r="S188" s="43"/>
      <x:c r="T188" s="43" t="str">
        <x:v>Sim</x:v>
      </x:c>
      <x:c r="U188" s="43" t="str">
        <x:v>Sim</x:v>
      </x:c>
      <x:c r="V188" s="43"/>
      <x:c r="W188" s="53" t="n">
        <x:v>0.45</x:v>
      </x:c>
      <x:c r="X188" s="43" t="str">
        <x:v>B/C · Benchmark local histórico</x:v>
      </x:c>
      <x:c r="Y188" s="43" t="str">
        <x:v>Média</x:v>
      </x:c>
      <x:c r="Z188" s="43" t="str">
        <x:v>Tabela de preços 2024. Sem orientação/vista por fração; usar como benchmark local, não como concorrente direto premium.</x:v>
      </x:c>
      <x:c r="AA188" s="43" t="str">
        <x:v>Validar disponibilidade/preços atuais antes de decisão final</x:v>
      </x:c>
      <x:c r="AB188" s="43" t="str">
        <x:v>Alta</x:v>
      </x:c>
    </x:row>
    <x:row r="189">
      <x:c r="A189" s="43" t="str">
        <x:v>Saramago Condomínio</x:v>
      </x:c>
      <x:c r="B189" s="43" t="str">
        <x:v>C2DT</x:v>
      </x:c>
      <x:c r="C189" s="43" t="n">
        <x:v>2</x:v>
      </x:c>
      <x:c r="D189" s="43" t="str">
        <x:v>T1</x:v>
      </x:c>
      <x:c r="E189" s="43" t="str">
        <x:v>N/D</x:v>
      </x:c>
      <x:c r="F189" s="85" t="n">
        <x:v>55.85</x:v>
      </x:c>
      <x:c r="G189" s="85" t="n">
        <x:v>11.1</x:v>
      </x:c>
      <x:c r="H189" s="85" t="n">
        <x:v>66.95</x:v>
      </x:c>
      <x:c r="I189" s="86" t="n">
        <x:v>215000</x:v>
      </x:c>
      <x:c r="J189" s="87" t="n">
        <x:v>2024</x:v>
      </x:c>
      <x:c r="K189" s="85" t="n">
        <x:v>3849.5971351835274</x:v>
      </x:c>
      <x:c r="L189" s="85" t="n">
        <x:v>3211.351755041075</x:v>
      </x:c>
      <x:c r="M189" s="43" t="str">
        <x:v>Histórico</x:v>
      </x:c>
      <x:c r="N189" s="43" t="str">
        <x:v>Tabela comercial Saramago enviada pelo utilizador</x:v>
      </x:c>
      <x:c r="O189" s="43" t="str"/>
      <x:c r="P189" s="43" t="str">
        <x:v>2024</x:v>
      </x:c>
      <x:c r="Q189" s="43" t="str">
        <x:v>Benchmark local perto da Marina</x:v>
      </x:c>
      <x:c r="R189" s="43" t="str">
        <x:v>Nova construção</x:v>
      </x:c>
      <x:c r="S189" s="43"/>
      <x:c r="T189" s="43" t="str">
        <x:v>Sim</x:v>
      </x:c>
      <x:c r="U189" s="43" t="str">
        <x:v>Sim</x:v>
      </x:c>
      <x:c r="V189" s="43"/>
      <x:c r="W189" s="53" t="n">
        <x:v>0.45</x:v>
      </x:c>
      <x:c r="X189" s="43" t="str">
        <x:v>B/C · Benchmark local histórico</x:v>
      </x:c>
      <x:c r="Y189" s="43" t="str">
        <x:v>Média</x:v>
      </x:c>
      <x:c r="Z189" s="43" t="str">
        <x:v>Tabela de preços 2024. Sem orientação/vista por fração; usar como benchmark local, não como concorrente direto premium.</x:v>
      </x:c>
      <x:c r="AA189" s="43" t="str">
        <x:v>Validar disponibilidade/preços atuais antes de decisão final</x:v>
      </x:c>
      <x:c r="AB189" s="43" t="str">
        <x:v>Alta</x:v>
      </x:c>
    </x:row>
    <x:row r="190">
      <x:c r="A190" s="43" t="str">
        <x:v>Saramago Condomínio</x:v>
      </x:c>
      <x:c r="B190" s="43" t="str">
        <x:v>A3D</x:v>
      </x:c>
      <x:c r="C190" s="43" t="n">
        <x:v>3</x:v>
      </x:c>
      <x:c r="D190" s="43" t="str">
        <x:v>T2</x:v>
      </x:c>
      <x:c r="E190" s="43" t="str">
        <x:v>N/D</x:v>
      </x:c>
      <x:c r="F190" s="85" t="n">
        <x:v>101.2</x:v>
      </x:c>
      <x:c r="G190" s="85" t="n">
        <x:v>21.9</x:v>
      </x:c>
      <x:c r="H190" s="85" t="n">
        <x:v>123.1</x:v>
      </x:c>
      <x:c r="I190" s="86" t="n">
        <x:v>415000</x:v>
      </x:c>
      <x:c r="J190" s="87" t="n">
        <x:v>2024</x:v>
      </x:c>
      <x:c r="K190" s="85" t="n">
        <x:v>4100.790513833992</x:v>
      </x:c>
      <x:c r="L190" s="85" t="n">
        <x:v>3371.2428919577583</x:v>
      </x:c>
      <x:c r="M190" s="43" t="str">
        <x:v>Histórico</x:v>
      </x:c>
      <x:c r="N190" s="43" t="str">
        <x:v>Tabela comercial Saramago enviada pelo utilizador</x:v>
      </x:c>
      <x:c r="O190" s="43" t="str"/>
      <x:c r="P190" s="43" t="str">
        <x:v>2024</x:v>
      </x:c>
      <x:c r="Q190" s="43" t="str">
        <x:v>Benchmark local perto da Marina</x:v>
      </x:c>
      <x:c r="R190" s="43" t="str">
        <x:v>Nova construção</x:v>
      </x:c>
      <x:c r="S190" s="43"/>
      <x:c r="T190" s="43" t="str">
        <x:v>Sim</x:v>
      </x:c>
      <x:c r="U190" s="43" t="str">
        <x:v>Sim</x:v>
      </x:c>
      <x:c r="V190" s="43"/>
      <x:c r="W190" s="53" t="n">
        <x:v>0.45</x:v>
      </x:c>
      <x:c r="X190" s="43" t="str">
        <x:v>B/C · Benchmark local histórico</x:v>
      </x:c>
      <x:c r="Y190" s="43" t="str">
        <x:v>Média</x:v>
      </x:c>
      <x:c r="Z190" s="43" t="str">
        <x:v>Tabela de preços 2024. Sem orientação/vista por fração; usar como benchmark local, não como concorrente direto premium.</x:v>
      </x:c>
      <x:c r="AA190" s="43" t="str">
        <x:v>Validar disponibilidade/preços atuais antes de decisão final</x:v>
      </x:c>
      <x:c r="AB190" s="43" t="str">
        <x:v>Alta</x:v>
      </x:c>
    </x:row>
    <x:row r="191">
      <x:c r="A191" s="43" t="str">
        <x:v>Saramago Condomínio</x:v>
      </x:c>
      <x:c r="B191" s="43" t="str">
        <x:v>A3ET</x:v>
      </x:c>
      <x:c r="C191" s="43" t="n">
        <x:v>3</x:v>
      </x:c>
      <x:c r="D191" s="43" t="str">
        <x:v>T1</x:v>
      </x:c>
      <x:c r="E191" s="43" t="str">
        <x:v>N/D</x:v>
      </x:c>
      <x:c r="F191" s="85" t="n">
        <x:v>55.85</x:v>
      </x:c>
      <x:c r="G191" s="85" t="n">
        <x:v>11.1</x:v>
      </x:c>
      <x:c r="H191" s="85" t="n">
        <x:v>66.95</x:v>
      </x:c>
      <x:c r="I191" s="86" t="n">
        <x:v>235000</x:v>
      </x:c>
      <x:c r="J191" s="87" t="n">
        <x:v>2024</x:v>
      </x:c>
      <x:c r="K191" s="85" t="n">
        <x:v>4207.699194270367</x:v>
      </x:c>
      <x:c r="L191" s="85" t="n">
        <x:v>3510.0821508588497</x:v>
      </x:c>
      <x:c r="M191" s="43" t="str">
        <x:v>Histórico</x:v>
      </x:c>
      <x:c r="N191" s="43" t="str">
        <x:v>Tabela comercial Saramago enviada pelo utilizador</x:v>
      </x:c>
      <x:c r="O191" s="43" t="str"/>
      <x:c r="P191" s="43" t="str">
        <x:v>2024</x:v>
      </x:c>
      <x:c r="Q191" s="43" t="str">
        <x:v>Benchmark local perto da Marina</x:v>
      </x:c>
      <x:c r="R191" s="43" t="str">
        <x:v>Nova construção</x:v>
      </x:c>
      <x:c r="S191" s="43"/>
      <x:c r="T191" s="43" t="str">
        <x:v>Sim</x:v>
      </x:c>
      <x:c r="U191" s="43" t="str">
        <x:v>Sim</x:v>
      </x:c>
      <x:c r="V191" s="43"/>
      <x:c r="W191" s="53" t="n">
        <x:v>0.45</x:v>
      </x:c>
      <x:c r="X191" s="43" t="str">
        <x:v>B/C · Benchmark local histórico</x:v>
      </x:c>
      <x:c r="Y191" s="43" t="str">
        <x:v>Média</x:v>
      </x:c>
      <x:c r="Z191" s="43" t="str">
        <x:v>Tabela de preços 2024. Sem orientação/vista por fração; usar como benchmark local, não como concorrente direto premium.</x:v>
      </x:c>
      <x:c r="AA191" s="43" t="str">
        <x:v>Validar disponibilidade/preços atuais antes de decisão final</x:v>
      </x:c>
      <x:c r="AB191" s="43" t="str">
        <x:v>Alta</x:v>
      </x:c>
    </x:row>
    <x:row r="192">
      <x:c r="A192" s="43" t="str">
        <x:v>Saramago Condomínio</x:v>
      </x:c>
      <x:c r="B192" s="43" t="str">
        <x:v>A3EF</x:v>
      </x:c>
      <x:c r="C192" s="43" t="n">
        <x:v>3</x:v>
      </x:c>
      <x:c r="D192" s="43" t="str">
        <x:v>T1</x:v>
      </x:c>
      <x:c r="E192" s="43" t="str">
        <x:v>N/D</x:v>
      </x:c>
      <x:c r="F192" s="85" t="n">
        <x:v>57</x:v>
      </x:c>
      <x:c r="G192" s="85" t="n">
        <x:v>9.85</x:v>
      </x:c>
      <x:c r="H192" s="85" t="n">
        <x:v>66.85</x:v>
      </x:c>
      <x:c r="I192" s="86" t="n">
        <x:v>295000</x:v>
      </x:c>
      <x:c r="J192" s="87" t="n">
        <x:v>2024</x:v>
      </x:c>
      <x:c r="K192" s="85" t="n">
        <x:v>5175.438596491228</x:v>
      </x:c>
      <x:c r="L192" s="85" t="n">
        <x:v>4412.864622288706</x:v>
      </x:c>
      <x:c r="M192" s="43" t="str">
        <x:v>Histórico</x:v>
      </x:c>
      <x:c r="N192" s="43" t="str">
        <x:v>Tabela comercial Saramago enviada pelo utilizador</x:v>
      </x:c>
      <x:c r="O192" s="43" t="str"/>
      <x:c r="P192" s="43" t="str">
        <x:v>2024</x:v>
      </x:c>
      <x:c r="Q192" s="43" t="str">
        <x:v>Benchmark local perto da Marina</x:v>
      </x:c>
      <x:c r="R192" s="43" t="str">
        <x:v>Nova construção</x:v>
      </x:c>
      <x:c r="S192" s="43"/>
      <x:c r="T192" s="43" t="str">
        <x:v>Sim</x:v>
      </x:c>
      <x:c r="U192" s="43" t="str">
        <x:v>Sim</x:v>
      </x:c>
      <x:c r="V192" s="43"/>
      <x:c r="W192" s="53" t="n">
        <x:v>0.45</x:v>
      </x:c>
      <x:c r="X192" s="43" t="str">
        <x:v>B/C · Benchmark local histórico</x:v>
      </x:c>
      <x:c r="Y192" s="43" t="str">
        <x:v>Média</x:v>
      </x:c>
      <x:c r="Z192" s="43" t="str">
        <x:v>Tabela de preços 2024. Sem orientação/vista por fração; usar como benchmark local, não como concorrente direto premium.</x:v>
      </x:c>
      <x:c r="AA192" s="43" t="str">
        <x:v>Validar disponibilidade/preços atuais antes de decisão final</x:v>
      </x:c>
      <x:c r="AB192" s="43" t="str">
        <x:v>Alta</x:v>
      </x:c>
    </x:row>
    <x:row r="193">
      <x:c r="A193" s="43" t="str">
        <x:v>Saramago Condomínio</x:v>
      </x:c>
      <x:c r="B193" s="43" t="str">
        <x:v>B3DT</x:v>
      </x:c>
      <x:c r="C193" s="43" t="n">
        <x:v>3</x:v>
      </x:c>
      <x:c r="D193" s="43" t="str">
        <x:v>T1</x:v>
      </x:c>
      <x:c r="E193" s="43" t="str">
        <x:v>N/D</x:v>
      </x:c>
      <x:c r="F193" s="85" t="n">
        <x:v>55.85</x:v>
      </x:c>
      <x:c r="G193" s="85" t="n">
        <x:v>11.55</x:v>
      </x:c>
      <x:c r="H193" s="85" t="n">
        <x:v>67.4</x:v>
      </x:c>
      <x:c r="I193" s="86" t="n">
        <x:v>235000</x:v>
      </x:c>
      <x:c r="J193" s="87" t="n">
        <x:v>2024</x:v>
      </x:c>
      <x:c r="K193" s="85" t="n">
        <x:v>4207.699194270367</x:v>
      </x:c>
      <x:c r="L193" s="85" t="n">
        <x:v>3486.646884272997</x:v>
      </x:c>
      <x:c r="M193" s="43" t="str">
        <x:v>Histórico</x:v>
      </x:c>
      <x:c r="N193" s="43" t="str">
        <x:v>Tabela comercial Saramago enviada pelo utilizador</x:v>
      </x:c>
      <x:c r="O193" s="43" t="str"/>
      <x:c r="P193" s="43" t="str">
        <x:v>2024</x:v>
      </x:c>
      <x:c r="Q193" s="43" t="str">
        <x:v>Benchmark local perto da Marina</x:v>
      </x:c>
      <x:c r="R193" s="43" t="str">
        <x:v>Nova construção</x:v>
      </x:c>
      <x:c r="S193" s="43"/>
      <x:c r="T193" s="43" t="str">
        <x:v>Sim</x:v>
      </x:c>
      <x:c r="U193" s="43" t="str">
        <x:v>Sim</x:v>
      </x:c>
      <x:c r="V193" s="43"/>
      <x:c r="W193" s="53" t="n">
        <x:v>0.45</x:v>
      </x:c>
      <x:c r="X193" s="43" t="str">
        <x:v>B/C · Benchmark local histórico</x:v>
      </x:c>
      <x:c r="Y193" s="43" t="str">
        <x:v>Média</x:v>
      </x:c>
      <x:c r="Z193" s="43" t="str">
        <x:v>Tabela de preços 2024. Sem orientação/vista por fração; usar como benchmark local, não como concorrente direto premium.</x:v>
      </x:c>
      <x:c r="AA193" s="43" t="str">
        <x:v>Validar disponibilidade/preços atuais antes de decisão final</x:v>
      </x:c>
      <x:c r="AB193" s="43" t="str">
        <x:v>Alta</x:v>
      </x:c>
    </x:row>
    <x:row r="194">
      <x:c r="A194" s="43" t="str">
        <x:v>Saramago Condomínio</x:v>
      </x:c>
      <x:c r="B194" s="43" t="str">
        <x:v>B3E</x:v>
      </x:c>
      <x:c r="C194" s="43" t="n">
        <x:v>3</x:v>
      </x:c>
      <x:c r="D194" s="43" t="str">
        <x:v>T2</x:v>
      </x:c>
      <x:c r="E194" s="43" t="str">
        <x:v>N/D</x:v>
      </x:c>
      <x:c r="F194" s="85" t="n">
        <x:v>99.6</x:v>
      </x:c>
      <x:c r="G194" s="85" t="n">
        <x:v>19.6</x:v>
      </x:c>
      <x:c r="H194" s="85" t="n">
        <x:v>119.19999999999999</x:v>
      </x:c>
      <x:c r="I194" s="86" t="n">
        <x:v>425000</x:v>
      </x:c>
      <x:c r="J194" s="87" t="n">
        <x:v>2024</x:v>
      </x:c>
      <x:c r="K194" s="85" t="n">
        <x:v>4267.06827309237</x:v>
      </x:c>
      <x:c r="L194" s="85" t="n">
        <x:v>3565.4362416107388</x:v>
      </x:c>
      <x:c r="M194" s="43" t="str">
        <x:v>Histórico</x:v>
      </x:c>
      <x:c r="N194" s="43" t="str">
        <x:v>Tabela comercial Saramago enviada pelo utilizador</x:v>
      </x:c>
      <x:c r="O194" s="43" t="str"/>
      <x:c r="P194" s="43" t="str">
        <x:v>2024</x:v>
      </x:c>
      <x:c r="Q194" s="43" t="str">
        <x:v>Benchmark local perto da Marina</x:v>
      </x:c>
      <x:c r="R194" s="43" t="str">
        <x:v>Nova construção</x:v>
      </x:c>
      <x:c r="S194" s="43"/>
      <x:c r="T194" s="43" t="str">
        <x:v>Sim</x:v>
      </x:c>
      <x:c r="U194" s="43" t="str">
        <x:v>Sim</x:v>
      </x:c>
      <x:c r="V194" s="43"/>
      <x:c r="W194" s="53" t="n">
        <x:v>0.45</x:v>
      </x:c>
      <x:c r="X194" s="43" t="str">
        <x:v>B/C · Benchmark local histórico</x:v>
      </x:c>
      <x:c r="Y194" s="43" t="str">
        <x:v>Média</x:v>
      </x:c>
      <x:c r="Z194" s="43" t="str">
        <x:v>Tabela de preços 2024. Sem orientação/vista por fração; usar como benchmark local, não como concorrente direto premium.</x:v>
      </x:c>
      <x:c r="AA194" s="43" t="str">
        <x:v>Validar disponibilidade/preços atuais antes de decisão final</x:v>
      </x:c>
      <x:c r="AB194" s="43" t="str">
        <x:v>Alta</x:v>
      </x:c>
    </x:row>
    <x:row r="195">
      <x:c r="A195" s="43" t="str">
        <x:v>Saramago Condomínio</x:v>
      </x:c>
      <x:c r="B195" s="43" t="str">
        <x:v>C3E</x:v>
      </x:c>
      <x:c r="C195" s="43" t="n">
        <x:v>3</x:v>
      </x:c>
      <x:c r="D195" s="43" t="str">
        <x:v>T2</x:v>
      </x:c>
      <x:c r="E195" s="43" t="str">
        <x:v>N/D</x:v>
      </x:c>
      <x:c r="F195" s="85" t="n">
        <x:v>101.2</x:v>
      </x:c>
      <x:c r="G195" s="85" t="n">
        <x:v>21.45</x:v>
      </x:c>
      <x:c r="H195" s="85" t="n">
        <x:v>122.65</x:v>
      </x:c>
      <x:c r="I195" s="86" t="n">
        <x:v>435000</x:v>
      </x:c>
      <x:c r="J195" s="87" t="n">
        <x:v>2024</x:v>
      </x:c>
      <x:c r="K195" s="85" t="n">
        <x:v>4298.418972332016</x:v>
      </x:c>
      <x:c r="L195" s="85" t="n">
        <x:v>3546.6775377089275</x:v>
      </x:c>
      <x:c r="M195" s="43" t="str">
        <x:v>Histórico</x:v>
      </x:c>
      <x:c r="N195" s="43" t="str">
        <x:v>Tabela comercial Saramago enviada pelo utilizador</x:v>
      </x:c>
      <x:c r="O195" s="43" t="str"/>
      <x:c r="P195" s="43" t="str">
        <x:v>2024</x:v>
      </x:c>
      <x:c r="Q195" s="43" t="str">
        <x:v>Benchmark local perto da Marina</x:v>
      </x:c>
      <x:c r="R195" s="43" t="str">
        <x:v>Nova construção</x:v>
      </x:c>
      <x:c r="S195" s="43"/>
      <x:c r="T195" s="43" t="str">
        <x:v>Sim</x:v>
      </x:c>
      <x:c r="U195" s="43" t="str">
        <x:v>Sim</x:v>
      </x:c>
      <x:c r="V195" s="43"/>
      <x:c r="W195" s="53" t="n">
        <x:v>0.45</x:v>
      </x:c>
      <x:c r="X195" s="43" t="str">
        <x:v>B/C · Benchmark local histórico</x:v>
      </x:c>
      <x:c r="Y195" s="43" t="str">
        <x:v>Média</x:v>
      </x:c>
      <x:c r="Z195" s="43" t="str">
        <x:v>Tabela de preços 2024. Sem orientação/vista por fração; usar como benchmark local, não como concorrente direto premium.</x:v>
      </x:c>
      <x:c r="AA195" s="43" t="str">
        <x:v>Validar disponibilidade/preços atuais antes de decisão final</x:v>
      </x:c>
      <x:c r="AB195" s="43" t="str">
        <x:v>Alta</x:v>
      </x:c>
    </x:row>
    <x:row r="196">
      <x:c r="A196" s="43" t="str">
        <x:v>Saramago Condomínio</x:v>
      </x:c>
      <x:c r="B196" s="43" t="str">
        <x:v>A4D</x:v>
      </x:c>
      <x:c r="C196" s="43" t="n">
        <x:v>4</x:v>
      </x:c>
      <x:c r="D196" s="43" t="str">
        <x:v>T2</x:v>
      </x:c>
      <x:c r="E196" s="43" t="str">
        <x:v>N/D</x:v>
      </x:c>
      <x:c r="F196" s="85" t="n">
        <x:v>101.2</x:v>
      </x:c>
      <x:c r="G196" s="85" t="n">
        <x:v>20.45</x:v>
      </x:c>
      <x:c r="H196" s="85" t="n">
        <x:v>121.65</x:v>
      </x:c>
      <x:c r="I196" s="86" t="n">
        <x:v>520000</x:v>
      </x:c>
      <x:c r="J196" s="87" t="n">
        <x:v>2024</x:v>
      </x:c>
      <x:c r="K196" s="85" t="n">
        <x:v>5138.339920948616</x:v>
      </x:c>
      <x:c r="L196" s="85" t="n">
        <x:v>4274.55815865187</x:v>
      </x:c>
      <x:c r="M196" s="43" t="str">
        <x:v>Histórico</x:v>
      </x:c>
      <x:c r="N196" s="43" t="str">
        <x:v>Tabela comercial Saramago enviada pelo utilizador</x:v>
      </x:c>
      <x:c r="O196" s="43" t="str"/>
      <x:c r="P196" s="43" t="str">
        <x:v>2024</x:v>
      </x:c>
      <x:c r="Q196" s="43" t="str">
        <x:v>Benchmark local perto da Marina</x:v>
      </x:c>
      <x:c r="R196" s="43" t="str">
        <x:v>Nova construção</x:v>
      </x:c>
      <x:c r="S196" s="43"/>
      <x:c r="T196" s="43" t="str">
        <x:v>Sim</x:v>
      </x:c>
      <x:c r="U196" s="43" t="str">
        <x:v>Sim</x:v>
      </x:c>
      <x:c r="V196" s="43"/>
      <x:c r="W196" s="53" t="n">
        <x:v>0.45</x:v>
      </x:c>
      <x:c r="X196" s="43" t="str">
        <x:v>B/C · Benchmark local histórico</x:v>
      </x:c>
      <x:c r="Y196" s="43" t="str">
        <x:v>Média</x:v>
      </x:c>
      <x:c r="Z196" s="43" t="str">
        <x:v>Tabela de preços 2024. Sem orientação/vista por fração; usar como benchmark local, não como concorrente direto premium.</x:v>
      </x:c>
      <x:c r="AA196" s="43" t="str">
        <x:v>Validar disponibilidade/preços atuais antes de decisão final</x:v>
      </x:c>
      <x:c r="AB196" s="43" t="str">
        <x:v>Alta</x:v>
      </x:c>
    </x:row>
    <x:row r="197">
      <x:c r="A197" s="43" t="str">
        <x:v>Saramago Condomínio</x:v>
      </x:c>
      <x:c r="B197" s="43" t="str">
        <x:v>A4E</x:v>
      </x:c>
      <x:c r="C197" s="43" t="n">
        <x:v>4</x:v>
      </x:c>
      <x:c r="D197" s="43" t="str">
        <x:v>T3</x:v>
      </x:c>
      <x:c r="E197" s="43" t="str">
        <x:v>N/D</x:v>
      </x:c>
      <x:c r="F197" s="85" t="n">
        <x:v>116.2</x:v>
      </x:c>
      <x:c r="G197" s="85" t="n">
        <x:v>20.1</x:v>
      </x:c>
      <x:c r="H197" s="85" t="n">
        <x:v>136.3</x:v>
      </x:c>
      <x:c r="I197" s="86" t="n">
        <x:v>590000</x:v>
      </x:c>
      <x:c r="J197" s="87" t="n">
        <x:v>2024</x:v>
      </x:c>
      <x:c r="K197" s="85" t="n">
        <x:v>5077.452667814114</x:v>
      </x:c>
      <x:c r="L197" s="85" t="n">
        <x:v>4328.686720469552</x:v>
      </x:c>
      <x:c r="M197" s="43" t="str">
        <x:v>Histórico</x:v>
      </x:c>
      <x:c r="N197" s="43" t="str">
        <x:v>Tabela comercial Saramago enviada pelo utilizador</x:v>
      </x:c>
      <x:c r="O197" s="43" t="str"/>
      <x:c r="P197" s="43" t="str">
        <x:v>2024</x:v>
      </x:c>
      <x:c r="Q197" s="43" t="str">
        <x:v>Benchmark local perto da Marina</x:v>
      </x:c>
      <x:c r="R197" s="43" t="str">
        <x:v>Nova construção</x:v>
      </x:c>
      <x:c r="S197" s="43"/>
      <x:c r="T197" s="43" t="str">
        <x:v>Sim</x:v>
      </x:c>
      <x:c r="U197" s="43" t="str">
        <x:v>Sim</x:v>
      </x:c>
      <x:c r="V197" s="43"/>
      <x:c r="W197" s="53" t="n">
        <x:v>0.45</x:v>
      </x:c>
      <x:c r="X197" s="43" t="str">
        <x:v>B/C · Benchmark local histórico</x:v>
      </x:c>
      <x:c r="Y197" s="43" t="str">
        <x:v>Média</x:v>
      </x:c>
      <x:c r="Z197" s="43" t="str">
        <x:v>Tabela de preços 2024. Sem orientação/vista por fração; usar como benchmark local, não como concorrente direto premium.</x:v>
      </x:c>
      <x:c r="AA197" s="43" t="str">
        <x:v>Validar disponibilidade/preços atuais antes de decisão final</x:v>
      </x:c>
      <x:c r="AB197" s="43" t="str">
        <x:v>Alta</x:v>
      </x:c>
    </x:row>
    <x:row r="198">
      <x:c r="A198" s="43" t="str">
        <x:v>Saramago Condomínio</x:v>
      </x:c>
      <x:c r="B198" s="43" t="str">
        <x:v>B4E</x:v>
      </x:c>
      <x:c r="C198" s="43" t="n">
        <x:v>4</x:v>
      </x:c>
      <x:c r="D198" s="43" t="str">
        <x:v>T2</x:v>
      </x:c>
      <x:c r="E198" s="43" t="str">
        <x:v>N/D</x:v>
      </x:c>
      <x:c r="F198" s="85" t="n">
        <x:v>99.6</x:v>
      </x:c>
      <x:c r="G198" s="85" t="n">
        <x:v>19.6</x:v>
      </x:c>
      <x:c r="H198" s="85" t="n">
        <x:v>119.19999999999999</x:v>
      </x:c>
      <x:c r="I198" s="86" t="n">
        <x:v>520000</x:v>
      </x:c>
      <x:c r="J198" s="87" t="n">
        <x:v>2024</x:v>
      </x:c>
      <x:c r="K198" s="85" t="n">
        <x:v>5220.883534136547</x:v>
      </x:c>
      <x:c r="L198" s="85" t="n">
        <x:v>4362.416107382551</x:v>
      </x:c>
      <x:c r="M198" s="43" t="str">
        <x:v>Histórico</x:v>
      </x:c>
      <x:c r="N198" s="43" t="str">
        <x:v>Tabela comercial Saramago enviada pelo utilizador</x:v>
      </x:c>
      <x:c r="O198" s="43" t="str"/>
      <x:c r="P198" s="43" t="str">
        <x:v>2024</x:v>
      </x:c>
      <x:c r="Q198" s="43" t="str">
        <x:v>Benchmark local perto da Marina</x:v>
      </x:c>
      <x:c r="R198" s="43" t="str">
        <x:v>Nova construção</x:v>
      </x:c>
      <x:c r="S198" s="43"/>
      <x:c r="T198" s="43" t="str">
        <x:v>Sim</x:v>
      </x:c>
      <x:c r="U198" s="43" t="str">
        <x:v>Sim</x:v>
      </x:c>
      <x:c r="V198" s="43"/>
      <x:c r="W198" s="53" t="n">
        <x:v>0.45</x:v>
      </x:c>
      <x:c r="X198" s="43" t="str">
        <x:v>B/C · Benchmark local histórico</x:v>
      </x:c>
      <x:c r="Y198" s="43" t="str">
        <x:v>Média</x:v>
      </x:c>
      <x:c r="Z198" s="43" t="str">
        <x:v>Tabela de preços 2024. Sem orientação/vista por fração; usar como benchmark local, não como concorrente direto premium.</x:v>
      </x:c>
      <x:c r="AA198" s="43" t="str">
        <x:v>Validar disponibilidade/preços atuais antes de decisão final</x:v>
      </x:c>
      <x:c r="AB198" s="43" t="str">
        <x:v>Alta</x:v>
      </x:c>
    </x:row>
  </x:sheetData>
  <x:conditionalFormatting sqref="AB2:AB173">
    <x:cfRule type="expression" dxfId="0" priority="1">
      <x:formula>$AB2="Alta"</x:formula>
    </x:cfRule>
  </x:conditionalFormatting>
  <x:conditionalFormatting sqref="X2:X173">
    <x:cfRule type="expression" dxfId="1" priority="2">
      <x:formula>LEFT($X2,1)="A"</x:formula>
    </x:cfRule>
    <x:cfRule type="expression" dxfId="2" priority="3">
      <x:formula>LEFT($X2,1)="C"</x:formula>
    </x:cfRule>
  </x:conditionalFormatting>
  <x:dataValidations count="4">
    <x:dataValidation type="list" sqref="M2:M173">
      <x:formula1>"Projeto,Ativo,Rever,Histórico,Reservado,Vendido"</x:formula1>
    </x:dataValidation>
    <x:dataValidation type="list" sqref="Q2:Q173">
      <x:formula1>"Projeto,Premium waterfront/marina,Benchmark local,Histórico,A classificar"</x:formula1>
    </x:dataValidation>
    <x:dataValidation type="list" sqref="R2:R173">
      <x:formula1>"Nova construção,Usado recente,Usado,A confirmar"</x:formula1>
    </x:dataValidation>
    <x:dataValidation type="list" sqref="T2:U173">
      <x:formula1>"Sim,Não,A confirmar"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847c77baeb43c5"/>
  </x:tableParts>
</x:worksheet>
</file>

<file path=xl/worksheets/sheet2.xml><?xml version="1.0" encoding="utf-8"?>
<x:worksheet xmlns:x="http://schemas.openxmlformats.org/spreadsheetml/2006/main">
  <x:sheetFormatPr defaultRowHeight="14.399999618530273"/>
  <x:cols>
    <x:col min="1" max="1" width="80" customWidth="1"/>
  </x:cols>
  <x:sheetData>
    <x:row r="1">
      <x:c r="A1" s="2" t="s">
        <x:v>159</x:v>
      </x:c>
    </x:row>
    <x:row r="2">
      <x:c r="A2" s="3"/>
    </x:row>
    <x:row r="3">
      <x:c r="A3" s="2" t="s">
        <x:v>160</x:v>
      </x:c>
    </x:row>
    <x:row r="4">
      <x:c r="A4" s="3" t="s">
        <x:v>161</x:v>
      </x:c>
    </x:row>
    <x:row r="5">
      <x:c r="A5" s="3" t="s">
        <x:v>162</x:v>
      </x:c>
    </x:row>
    <x:row r="6">
      <x:c r="A6" s="3" t="s">
        <x:v>163</x:v>
      </x:c>
    </x:row>
    <x:row r="7">
      <x:c r="A7" s="3"/>
    </x:row>
    <x:row r="8">
      <x:c r="A8" s="2" t="s">
        <x:v>164</x:v>
      </x:c>
    </x:row>
    <x:row r="9" ht="28.799999237060547">
      <x:c r="A9" s="2" t="s">
        <x:v>165</x:v>
      </x:c>
    </x:row>
    <x:row r="10">
      <x:c r="A10" s="2" t="s">
        <x:v>166</x:v>
      </x:c>
    </x:row>
    <x:row r="11">
      <x:c r="A11" s="2" t="s">
        <x:v>167</x:v>
      </x:c>
    </x:row>
    <x:row r="12">
      <x:c r="A12" s="2" t="s">
        <x:v>168</x:v>
      </x:c>
    </x:row>
    <x:row r="13">
      <x:c r="A13" s="2" t="s">
        <x:v>169</x:v>
      </x:c>
    </x:row>
    <x:row r="14">
      <x:c r="A14" s="2" t="s">
        <x:v>170</x:v>
      </x:c>
    </x:row>
    <x:row r="15">
      <x:c r="A15" s="2" t="s">
        <x:v>171</x:v>
      </x:c>
    </x:row>
    <x:row r="16">
      <x:c r="A16" s="2" t="s">
        <x:v>172</x:v>
      </x:c>
    </x:row>
    <x:row r="17">
      <x:c r="A17" s="2" t="s">
        <x:v>173</x:v>
      </x:c>
    </x:row>
    <x:row r="18">
      <x:c r="A18" s="3"/>
    </x:row>
    <x:row r="19">
      <x:c r="A19" s="2" t="s">
        <x:v>174</x:v>
      </x:c>
    </x:row>
    <x:row r="20">
      <x:c r="A20" s="3" t="s">
        <x:v>175</x:v>
      </x:c>
    </x:row>
    <x:row r="21">
      <x:c r="A21" s="3" t="s">
        <x:v>176</x:v>
      </x:c>
    </x:row>
    <x:row r="22">
      <x:c r="A22" s="3" t="s">
        <x:v>177</x:v>
      </x:c>
    </x:row>
    <x:row r="23">
      <x:c r="A23" s="3"/>
    </x:row>
    <x:row r="24">
      <x:c r="A24" s="2" t="s">
        <x:v>178</x:v>
      </x:c>
    </x:row>
    <x:row r="25">
      <x:c r="A25" s="3" t="s">
        <x:v>179</x:v>
      </x:c>
    </x:row>
    <x:row r="26">
      <x:c r="A26" s="3" t="s">
        <x:v>180</x:v>
      </x:c>
    </x:row>
    <x:row r="27">
      <x:c r="A27" s="3" t="s">
        <x:v>181</x:v>
      </x:c>
    </x:row>
    <x:row r="28">
      <x:c r="A28" s="3" t="s">
        <x:v>182</x:v>
      </x:c>
    </x:row>
    <x:row r="29">
      <x:c r="A29" s="3" t="s">
        <x:v>183</x:v>
      </x:c>
    </x:row>
    <x:row r="30">
      <x:c r="A30" s="3"/>
    </x:row>
    <x:row r="31">
      <x:c r="A31" s="2" t="s">
        <x:v>184</x:v>
      </x:c>
    </x:row>
    <x:row r="32">
      <x:c r="A32" s="2" t="s">
        <x:v>185</x:v>
      </x:c>
    </x:row>
    <x:row r="33">
      <x:c r="A33" s="2" t="s">
        <x:v>186</x:v>
      </x:c>
    </x:row>
    <x:row r="34">
      <x:c r="A34" s="2" t="s">
        <x:v>187</x:v>
      </x:c>
    </x:row>
    <x:row r="35">
      <x:c r="A35" s="2" t="s">
        <x:v>188</x:v>
      </x:c>
    </x:row>
    <x:row r="36" ht="28.799999237060547">
      <x:c r="A36" s="2" t="s">
        <x:v>189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.75" hidden="0" customWidth="1"/>
    <x:col min="2" max="2" width="5.110000133514404" hidden="0" customWidth="1"/>
    <x:col min="3" max="3" width="16.020000457763672" hidden="0" customWidth="1"/>
    <x:col min="4" max="4" width="8.34000015258789" hidden="0" customWidth="1"/>
    <x:col min="5" max="5" width="8.609999656677246" hidden="0" customWidth="1"/>
    <x:col min="6" max="6" width="31.09000015258789" hidden="0" customWidth="1"/>
  </x:cols>
  <x:sheetData>
    <x:row r="1">
      <x:c r="A1" s="33" t="str">
        <x:v>Diagnóstico da base de dados — The View</x:v>
      </x:c>
    </x:row>
    <x:row r="3">
      <x:c r="A3" s="37" t="str">
        <x:v>Métrica</x:v>
      </x:c>
      <x:c r="B3" s="37" t="str">
        <x:v>Valor</x:v>
      </x:c>
      <x:c r="C3" s="37" t="str">
        <x:v>Comentário</x:v>
      </x:c>
    </x:row>
    <x:row r="4">
      <x:c r="A4" t="str">
        <x:v>Total de linhas</x:v>
      </x:c>
      <x:c r="B4" t="n">
        <x:v>172</x:v>
      </x:c>
      <x:c r="C4" t="str">
        <x:v>Inclui The View e concorrentes</x:v>
      </x:c>
    </x:row>
    <x:row r="5">
      <x:c r="A5" t="str">
        <x:v>Frações The View</x:v>
      </x:c>
      <x:c r="B5" t="n">
        <x:v>39</x:v>
      </x:c>
      <x:c r="C5" t="str">
        <x:v>Projeto próprio</x:v>
      </x:c>
    </x:row>
    <x:row r="6">
      <x:c r="A6" t="str">
        <x:v>Frações concorrentes</x:v>
      </x:c>
      <x:c r="B6" t="n">
        <x:v>133</x:v>
      </x:c>
      <x:c r="C6" t="str">
        <x:v>Base competitiva atual</x:v>
      </x:c>
    </x:row>
    <x:row r="7">
      <x:c r="A7" t="str">
        <x:v>Linhas 2024</x:v>
      </x:c>
      <x:c r="B7" t="n">
        <x:v>86</x:v>
      </x:c>
      <x:c r="C7" t="str">
        <x:v>Prioridade alta de atualização</x:v>
      </x:c>
    </x:row>
    <x:row r="8">
      <x:c r="A8" t="str">
        <x:v>Linhas 2026</x:v>
      </x:c>
      <x:c r="B8" t="n">
        <x:v>86</x:v>
      </x:c>
      <x:c r="C8" t="str">
        <x:v>Base mais atual</x:v>
      </x:c>
    </x:row>
    <x:row r="9">
      <x:c r="A9" t="str">
        <x:v>Empreendimentos concorrentes</x:v>
      </x:c>
      <x:c r="B9" t="n">
        <x:v>3</x:v>
      </x:c>
      <x:c r="C9" t="str">
        <x:v>Ideal: 6 a 10 empreendimentos</x:v>
      </x:c>
    </x:row>
    <x:row r="12">
      <x:c r="A12" s="37" t="str">
        <x:v>Empreendimento</x:v>
      </x:c>
      <x:c r="B12" s="37" t="str">
        <x:v>Linhas</x:v>
      </x:c>
      <x:c r="C12" s="37" t="str">
        <x:v>Mediana €/m² total</x:v>
      </x:c>
      <x:c r="D12" s="37" t="str">
        <x:v>Mín. €/m²</x:v>
      </x:c>
      <x:c r="E12" s="37" t="str">
        <x:v>Máx. €/m²</x:v>
      </x:c>
      <x:c r="F12" s="37" t="str">
        <x:v>Diagnóstico</x:v>
      </x:c>
    </x:row>
    <x:row r="13">
      <x:c r="A13" t="str">
        <x:v>Aura Living</x:v>
      </x:c>
      <x:c r="B13" t="n">
        <x:v>27</x:v>
      </x:c>
      <x:c r="C13" s="40" t="n">
        <x:v>5561</x:v>
      </x:c>
      <x:c r="D13" s="40" t="n">
        <x:v>4173</x:v>
      </x:c>
      <x:c r="E13" s="40" t="n">
        <x:v>9380</x:v>
      </x:c>
      <x:c r="F13" t="str">
        <x:v>Concorrente relevante; atualizar fontes</x:v>
      </x:c>
    </x:row>
    <x:row r="14">
      <x:c r="A14" t="str">
        <x:v>Del Mar Waterfront</x:v>
      </x:c>
      <x:c r="B14" t="n">
        <x:v>47</x:v>
      </x:c>
      <x:c r="C14" s="40" t="n">
        <x:v>5264</x:v>
      </x:c>
      <x:c r="D14" s="40" t="n">
        <x:v>3714</x:v>
      </x:c>
      <x:c r="E14" s="40" t="n">
        <x:v>8618</x:v>
      </x:c>
      <x:c r="F14" t="str">
        <x:v>Concorrente relevante; atualizar fontes</x:v>
      </x:c>
    </x:row>
    <x:row r="15">
      <x:c r="A15" t="str">
        <x:v>Le Parc</x:v>
      </x:c>
      <x:c r="B15" t="n">
        <x:v>59</x:v>
      </x:c>
      <x:c r="C15" s="40" t="n">
        <x:v>3202</x:v>
      </x:c>
      <x:c r="D15" s="40" t="n">
        <x:v>2116</x:v>
      </x:c>
      <x:c r="E15" s="40" t="n">
        <x:v>4585</x:v>
      </x:c>
      <x:c r="F15" t="str">
        <x:v>Rever peso: benchmark secundário</x:v>
      </x:c>
    </x:row>
    <x:row r="16">
      <x:c r="A16" t="str">
        <x:v>The View</x:v>
      </x:c>
      <x:c r="B16" t="n">
        <x:v>39</x:v>
      </x:c>
      <x:c r="C16" s="40" t="n">
        <x:v>4025</x:v>
      </x:c>
      <x:c r="D16" s="40" t="n">
        <x:v>3381</x:v>
      </x:c>
      <x:c r="E16" s="40" t="n">
        <x:v>6781</x:v>
      </x:c>
      <x:c r="F16" t="str">
        <x:v>Projeto próprio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42" hidden="0" customWidth="1"/>
    <x:col min="4" max="4" width="36" hidden="0" customWidth="1"/>
    <x:col min="5" max="5" width="26" hidden="0" customWidth="1"/>
    <x:col min="6" max="6" width="26" hidden="0" customWidth="1"/>
  </x:cols>
  <x:sheetData>
    <x:row r="1">
      <x:c r="A1" s="33" t="str">
        <x:v>Plano de melhoria do compset</x:v>
      </x:c>
    </x:row>
    <x:row r="3">
      <x:c r="A3" s="42" t="str">
        <x:v>Prioridade</x:v>
      </x:c>
      <x:c r="B3" s="42" t="str">
        <x:v>Ação</x:v>
      </x:c>
      <x:c r="C3" s="42" t="str">
        <x:v>Como preencher</x:v>
      </x:c>
      <x:c r="D3" s="42" t="str">
        <x:v>Impacto no dashboard</x:v>
      </x:c>
      <x:c r="E3" s="42" t="str">
        <x:v>Responsável</x:v>
      </x:c>
      <x:c r="F3" s="42" t="str">
        <x:v>Estado</x:v>
      </x:c>
    </x:row>
    <x:row r="4">
      <x:c r="A4" s="43" t="str">
        <x:v>Alta</x:v>
      </x:c>
      <x:c r="B4" s="43" t="str">
        <x:v>Atualizar todos os concorrentes de 2024</x:v>
      </x:c>
      <x:c r="C4" s="43" t="str">
        <x:v>Confirmar PVP, status e URL nos portais/fontes comerciais</x:v>
      </x:c>
      <x:c r="D4" s="43" t="str">
        <x:v>Reduz distorção do pricing</x:v>
      </x:c>
      <x:c r="E4" s="43" t="str"/>
      <x:c r="F4" s="43" t="str">
        <x:v>Por fazer</x:v>
      </x:c>
    </x:row>
    <x:row r="5">
      <x:c r="A5" s="43" t="str">
        <x:v>Alta</x:v>
      </x:c>
      <x:c r="B5" s="43" t="str">
        <x:v>Adicionar 3–6 novos empreendimentos premium</x:v>
      </x:c>
      <x:c r="C5" s="43" t="str">
        <x:v>Olhão, Marina, Ria Formosa, waterfront, nova construção</x:v>
      </x:c>
      <x:c r="D5" s="43" t="str">
        <x:v>Aumenta robustez do preço IA/rigoroso</x:v>
      </x:c>
      <x:c r="E5" s="43" t="str"/>
      <x:c r="F5" s="43" t="str">
        <x:v>Por fazer</x:v>
      </x:c>
    </x:row>
    <x:row r="6">
      <x:c r="A6" s="43" t="str">
        <x:v>Alta</x:v>
      </x:c>
      <x:c r="B6" s="43" t="str">
        <x:v>Classificar Le Parc como benchmark local</x:v>
      </x:c>
      <x:c r="C6" s="43" t="str">
        <x:v>Manter, mas com peso inferior ao premium waterfront</x:v>
      </x:c>
      <x:c r="D6" s="43" t="str">
        <x:v>Evita subprecificação por comparável fraco</x:v>
      </x:c>
      <x:c r="E6" s="43" t="str"/>
      <x:c r="F6" s="43" t="str">
        <x:v>Por fazer</x:v>
      </x:c>
    </x:row>
    <x:row r="7">
      <x:c r="A7" s="43" t="str">
        <x:v>Média</x:v>
      </x:c>
      <x:c r="B7" s="43" t="str">
        <x:v>Completar Fonte, URL e Data de atualização</x:v>
      </x:c>
      <x:c r="C7" s="43" t="str">
        <x:v>Obrigatório para linhas concorrentes</x:v>
      </x:c>
      <x:c r="D7" s="43" t="str">
        <x:v>Melhora qualidade e auditabilidade</x:v>
      </x:c>
      <x:c r="E7" s="43" t="str"/>
      <x:c r="F7" s="43" t="str">
        <x:v>Por fazer</x:v>
      </x:c>
    </x:row>
    <x:row r="8">
      <x:c r="A8" s="43" t="str">
        <x:v>Média</x:v>
      </x:c>
      <x:c r="B8" s="43" t="str">
        <x:v>Preencher Garagem/Piscina/Condição</x:v>
      </x:c>
      <x:c r="C8" s="43" t="str">
        <x:v>Usar Sim/Não/A confirmar</x:v>
      </x:c>
      <x:c r="D8" s="43" t="str">
        <x:v>Permite ajustes finos futuros</x:v>
      </x:c>
      <x:c r="E8" s="43" t="str"/>
      <x:c r="F8" s="43" t="str">
        <x:v>Por fazer</x:v>
      </x:c>
    </x:row>
    <x:row r="9">
      <x:c r="A9" s="43" t="str">
        <x:v>Média</x:v>
      </x:c>
      <x:c r="B9" s="43" t="str">
        <x:v>Criar equivalências comerciais para T1+1/T2+1/Duplex</x:v>
      </x:c>
      <x:c r="C9" s="43" t="str">
        <x:v>Documentar na coluna Observações comerciais</x:v>
      </x:c>
      <x:c r="D9" s="43" t="str">
        <x:v>Evita amostra vazia para tipologias especiais</x:v>
      </x:c>
      <x:c r="E9" s="43" t="str"/>
      <x:c r="F9" s="43" t="str">
        <x:v>Por fazer</x:v>
      </x:c>
    </x:row>
    <x:row r="10">
      <x:c r="A10" s="43" t="str">
        <x:v>Baixa</x:v>
      </x:c>
      <x:c r="B10" s="43" t="str">
        <x:v>Separar vendidos/reservados de disponíveis</x:v>
      </x:c>
      <x:c r="C10" s="43" t="str">
        <x:v>Status Ativo/Reservado/Vendido</x:v>
      </x:c>
      <x:c r="D10" s="43" t="str">
        <x:v>Melhora leitura comercial</x:v>
      </x:c>
      <x:c r="E10" s="43" t="str"/>
      <x:c r="F10" s="43" t="str">
        <x:v>Por fazer</x:v>
      </x:c>
    </x:row>
  </x:sheetData>
  <x:mergeCells>
    <x:mergeCell ref="A1:F1"/>
  </x:mergeCells>
  <x:dataValidations count="1">
    <x:dataValidation type="list" sqref="F4:F10">
      <x:formula1>"Por fazer,Em progresso,Concluído"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8" hidden="0" customWidth="1"/>
    <x:col min="4" max="4" width="24" hidden="0" customWidth="1"/>
    <x:col min="5" max="5" width="18" hidden="0" customWidth="1"/>
    <x:col min="6" max="6" width="14" hidden="0" customWidth="1"/>
    <x:col min="7" max="7" width="18" hidden="0" customWidth="1"/>
    <x:col min="8" max="8" width="24" hidden="0" customWidth="1"/>
    <x:col min="9" max="9" width="22" hidden="0" customWidth="1"/>
    <x:col min="10" max="10" width="12" hidden="0" customWidth="1"/>
    <x:col min="11" max="11" width="14" hidden="0" customWidth="1"/>
    <x:col min="12" max="12" width="38" hidden="0" customWidth="1"/>
    <x:col min="13" max="13" width="42" hidden="0" customWidth="1"/>
    <x:col min="14" max="14" width="42" hidden="0" customWidth="1"/>
  </x:cols>
  <x:sheetData>
    <x:row r="1">
      <x:c r="A1" s="52" t="str">
        <x:v>Prioridade</x:v>
      </x:c>
      <x:c r="B1" s="52" t="str">
        <x:v>Empreendimento / Fonte</x:v>
      </x:c>
      <x:c r="C1" s="52" t="str">
        <x:v>Tipo</x:v>
      </x:c>
      <x:c r="D1" s="52" t="str">
        <x:v>Localização</x:v>
      </x:c>
      <x:c r="E1" s="52" t="str">
        <x:v>Tipologias</x:v>
      </x:c>
      <x:c r="F1" s="52" t="str">
        <x:v>Preço desde</x:v>
      </x:c>
      <x:c r="G1" s="52" t="str">
        <x:v>Área/escala</x:v>
      </x:c>
      <x:c r="H1" s="52" t="str">
        <x:v>Segmento sugerido</x:v>
      </x:c>
      <x:c r="I1" s="52" t="str">
        <x:v>Camada sugerida</x:v>
      </x:c>
      <x:c r="J1" s="52" t="str">
        <x:v>Peso sugerido</x:v>
      </x:c>
      <x:c r="K1" s="52" t="str">
        <x:v>Status sugerido</x:v>
      </x:c>
      <x:c r="L1" s="52" t="str">
        <x:v>O que recolher</x:v>
      </x:c>
      <x:c r="M1" s="52" t="str">
        <x:v>Fonte URL</x:v>
      </x:c>
      <x:c r="N1" s="52" t="str">
        <x:v>Notas</x:v>
      </x:c>
    </x:row>
    <x:row r="2">
      <x:c r="A2" s="43" t="str">
        <x:v>Alta</x:v>
      </x:c>
      <x:c r="B2" s="43" t="str">
        <x:v>Del Mar Waterfront Living</x:v>
      </x:c>
      <x:c r="C2" s="43" t="str">
        <x:v>Empreendimento</x:v>
      </x:c>
      <x:c r="D2" s="43" t="str">
        <x:v>Marina / Porto de Recreio de Olhão</x:v>
      </x:c>
      <x:c r="E2" s="43" t="str">
        <x:v>T2 e T3; projeto T1-T3</x:v>
      </x:c>
      <x:c r="F2" s="43" t="str">
        <x:v>690.000 €</x:v>
      </x:c>
      <x:c r="G2" s="43" t="str">
        <x:v>126 frações; 72-163 m²</x:v>
      </x:c>
      <x:c r="H2" s="43" t="str">
        <x:v>Premium waterfront/marina</x:v>
      </x:c>
      <x:c r="I2" s="43" t="str">
        <x:v>A · Premium ativo</x:v>
      </x:c>
      <x:c r="J2" s="53" t="n">
        <x:v>0.95</x:v>
      </x:c>
      <x:c r="K2" s="43" t="str">
        <x:v>Ativo</x:v>
      </x:c>
      <x:c r="L2" s="43" t="str">
        <x:v>Confirmar lista atual de unidades, preços por fração, piso, vista e áreas; atualizar 2026</x:v>
      </x:c>
      <x:c r="M2" s="43" t="str">
        <x:v>https://www.idealista.pt/empreendimento/34271659/</x:v>
      </x:c>
      <x:c r="N2" s="43" t="str">
        <x:v>Manter como principal benchmark premium; fonte indica marina, 126 frações, T1-T3, áreas 72-163 m², varandas, estacionamento e 5 piscinas.</x:v>
      </x:c>
    </x:row>
    <x:row r="3">
      <x:c r="A3" s="43" t="str">
        <x:v>Alta</x:v>
      </x:c>
      <x:c r="B3" s="43" t="str">
        <x:v>Del Mar Marina / Del Mar Marina Olhão</x:v>
      </x:c>
      <x:c r="C3" s="43" t="str">
        <x:v>Empreendimento</x:v>
      </x:c>
      <x:c r="D3" s="43" t="str">
        <x:v>Frente mar / Marina de Olhão</x:v>
      </x:c>
      <x:c r="E3" s="43" t="str">
        <x:v>T2; projeto T1-T4/T1-T3</x:v>
      </x:c>
      <x:c r="F3" s="43" t="str">
        <x:v>720.000 €</x:v>
      </x:c>
      <x:c r="G3" s="43" t="str">
        <x:v>83 frações; 4 pisos</x:v>
      </x:c>
      <x:c r="H3" s="43" t="str">
        <x:v>Premium waterfront/marina</x:v>
      </x:c>
      <x:c r="I3" s="43" t="str">
        <x:v>A · Premium ativo</x:v>
      </x:c>
      <x:c r="J3" s="53" t="n">
        <x:v>0.9</x:v>
      </x:c>
      <x:c r="K3" s="43" t="str">
        <x:v>Ativo</x:v>
      </x:c>
      <x:c r="L3" s="43" t="str">
        <x:v>Recolher unidades remanescentes e diferenciar de Del Mar Waterfront para não duplicar</x:v>
      </x:c>
      <x:c r="M3" s="43" t="str">
        <x:v>https://supercasa.pt/comprar-nova_construcao/olhao/olhao/com-preco-min-1200000</x:v>
      </x:c>
      <x:c r="N3" s="43" t="str">
        <x:v>Fonte indica 83 frações, frente marina/Ria Formosa, piscina, garagem e varandas/terraços.</x:v>
      </x:c>
    </x:row>
    <x:row r="4">
      <x:c r="A4" s="43" t="str">
        <x:v>Alta</x:v>
      </x:c>
      <x:c r="B4" s="43" t="str">
        <x:v>Saramago Condomínio</x:v>
      </x:c>
      <x:c r="C4" s="43" t="str">
        <x:v>Empreendimento</x:v>
      </x:c>
      <x:c r="D4" s="43" t="str">
        <x:v>Baixa de Olhão; cerca de 300 m da Marina</x:v>
      </x:c>
      <x:c r="E4" s="43" t="str">
        <x:v>T1, T2 e T3</x:v>
      </x:c>
      <x:c r="F4" s="43" t="str">
        <x:v>535.500 €</x:v>
      </x:c>
      <x:c r="G4" s="43" t="str">
        <x:v>39 apartamentos</x:v>
      </x:c>
      <x:c r="H4" s="43" t="str">
        <x:v>Nova construção premium local</x:v>
      </x:c>
      <x:c r="I4" s="43" t="str">
        <x:v>B · Benchmark local</x:v>
      </x:c>
      <x:c r="J4" s="53" t="n">
        <x:v>0.75</x:v>
      </x:c>
      <x:c r="K4" s="43" t="str">
        <x:v>Ativo</x:v>
      </x:c>
      <x:c r="L4" s="43" t="str">
        <x:v>Recolher tabela de preços por fração e confirmar vista/estacionamento/piscina</x:v>
      </x:c>
      <x:c r="M4" s="43" t="str">
        <x:v>https://supercasa.pt/comprar-nova_construcao/olhao</x:v>
      </x:c>
      <x:c r="N4" s="43" t="str">
        <x:v>Boa adição para liquidez e referência de nova construção; menos waterfront direto que The View.</x:v>
      </x:c>
    </x:row>
    <x:row r="5">
      <x:c r="A5" s="43" t="str">
        <x:v>Média</x:v>
      </x:c>
      <x:c r="B5" s="43" t="str">
        <x:v>PLESSIS</x:v>
      </x:c>
      <x:c r="C5" s="43" t="str">
        <x:v>Empreendimento</x:v>
      </x:c>
      <x:c r="D5" s="43" t="str">
        <x:v>Olhão; zona Ria Formosa/salinas</x:v>
      </x:c>
      <x:c r="E5" s="43" t="str">
        <x:v>T2, T3, T4+</x:v>
      </x:c>
      <x:c r="F5" s="43" t="str">
        <x:v>415.000 €</x:v>
      </x:c>
      <x:c r="G5" s="43" t="str">
        <x:v>39 apartamentos; 90-240 m²</x:v>
      </x:c>
      <x:c r="H5" s="43" t="str">
        <x:v>Nova construção local / lifestyle</x:v>
      </x:c>
      <x:c r="I5" s="43" t="str">
        <x:v>B · Benchmark local</x:v>
      </x:c>
      <x:c r="J5" s="53" t="n">
        <x:v>0.65</x:v>
      </x:c>
      <x:c r="K5" s="43" t="str">
        <x:v>Ativo</x:v>
      </x:c>
      <x:c r="L5" s="43" t="str">
        <x:v>Validar distância, vista real, acabamentos e tabela de preços por tipologia</x:v>
      </x:c>
      <x:c r="M5" s="43" t="str">
        <x:v>https://supercasa.pt/comprar-nova_construcao/olhao/olhao/com-preco-min-1200000</x:v>
      </x:c>
      <x:c r="N5" s="43" t="str">
        <x:v>Usar como benchmark amplo; não deve competir com o mesmo peso de waterfront.</x:v>
      </x:c>
    </x:row>
    <x:row r="6">
      <x:c r="A6" s="43" t="str">
        <x:v>Média</x:v>
      </x:c>
      <x:c r="B6" s="43" t="str">
        <x:v>Luxuosos apartamentos com terraço privativo</x:v>
      </x:c>
      <x:c r="C6" s="43" t="str">
        <x:v>Empreendimento/listagem agregada</x:v>
      </x:c>
      <x:c r="D6" s="43" t="str">
        <x:v>Olhão</x:v>
      </x:c>
      <x:c r="E6" s="43" t="str">
        <x:v>T2, T3, T4+</x:v>
      </x:c>
      <x:c r="F6" s="43" t="str">
        <x:v>415.000 €</x:v>
      </x:c>
      <x:c r="G6" s="43" t="str">
        <x:v>A confirmar</x:v>
      </x:c>
      <x:c r="H6" s="43" t="str">
        <x:v>Nova construção local</x:v>
      </x:c>
      <x:c r="I6" s="43" t="str">
        <x:v>B · Benchmark local</x:v>
      </x:c>
      <x:c r="J6" s="53" t="n">
        <x:v>0.6</x:v>
      </x:c>
      <x:c r="K6" s="43" t="str">
        <x:v>Ativo</x:v>
      </x:c>
      <x:c r="L6" s="43" t="str">
        <x:v>Identificar nome real do empreendimento e evitar duplicação com PLESSIS/Saramago</x:v>
      </x:c>
      <x:c r="M6" s="43" t="str">
        <x:v>https://supercasa.pt/comprar-nova_construcao/olhao/olhao/com-preco-min-1200000</x:v>
      </x:c>
      <x:c r="N6" s="43" t="str">
        <x:v>Fonte agregada; precisa validação antes de entrar como unidades no Dados.</x:v>
      </x:c>
    </x:row>
    <x:row r="7">
      <x:c r="A7" s="43" t="str">
        <x:v>Média</x:v>
      </x:c>
      <x:c r="B7" s="43" t="str">
        <x:v>Apartamentos Marina Olhão com terraço</x:v>
      </x:c>
      <x:c r="C7" s="43" t="str">
        <x:v>Listagens individuais</x:v>
      </x:c>
      <x:c r="D7" s="43" t="str">
        <x:v>Marina, Olhão</x:v>
      </x:c>
      <x:c r="E7" s="43" t="str">
        <x:v>T1+1, T2, penthouse</x:v>
      </x:c>
      <x:c r="F7" s="43" t="str">
        <x:v>335.000 €+ / exemplos 380.000 € a 755.000 €</x:v>
      </x:c>
      <x:c r="G7" s="43" t="str">
        <x:v>Listagens individuais</x:v>
      </x:c>
      <x:c r="H7" s="43" t="str">
        <x:v>Revenda premium/local</x:v>
      </x:c>
      <x:c r="I7" s="43" t="str">
        <x:v>B · Benchmark local</x:v>
      </x:c>
      <x:c r="J7" s="53" t="n">
        <x:v>0.55</x:v>
      </x:c>
      <x:c r="K7" s="43" t="str">
        <x:v>Ativo</x:v>
      </x:c>
      <x:c r="L7" s="43" t="str">
        <x:v>Recolher apenas anúncios com área, piso, vista, varanda/terraço e link; não misturar sem ficha completa</x:v>
      </x:c>
      <x:c r="M7" s="43" t="str">
        <x:v>https://www.idealista.pt/comprar-casas/olhao/marina/com-apartamentos%2Cterraco/</x:v>
      </x:c>
      <x:c r="N7" s="43" t="str">
        <x:v>Útil para tipologias sem comparáveis diretos, como T1+1 e penthouses, mas deve ter menor peso.</x:v>
      </x:c>
    </x:row>
    <x:row r="8">
      <x:c r="A8" s="43" t="str">
        <x:v>Baixa</x:v>
      </x:c>
      <x:c r="B8" s="43" t="str">
        <x:v>Urbanização Village Marina</x:v>
      </x:c>
      <x:c r="C8" s="43" t="str">
        <x:v>Revenda / zona</x:v>
      </x:c>
      <x:c r="D8" s="43" t="str">
        <x:v>Olhão - Village Marina</x:v>
      </x:c>
      <x:c r="E8" s="43" t="str">
        <x:v>Apartamentos variados</x:v>
      </x:c>
      <x:c r="F8" s="43" t="str">
        <x:v>335.000 €</x:v>
      </x:c>
      <x:c r="G8" s="43" t="str">
        <x:v>11 anúncios na zona</x:v>
      </x:c>
      <x:c r="H8" s="43" t="str">
        <x:v>Benchmark local usado</x:v>
      </x:c>
      <x:c r="I8" s="43" t="str">
        <x:v>C · Histórico/secundário</x:v>
      </x:c>
      <x:c r="J8" s="53" t="n">
        <x:v>0.45</x:v>
      </x:c>
      <x:c r="K8" s="43" t="str">
        <x:v>Ativo</x:v>
      </x:c>
      <x:c r="L8" s="43" t="str">
        <x:v>Usar apenas para contexto local e validar estado/ano antes de misturar</x:v>
      </x:c>
      <x:c r="M8" s="43" t="str">
        <x:v>https://www.idealista.pt/geo/comprar-casas/urbanizacao-village-marina/com-apartamentos/</x:v>
      </x:c>
      <x:c r="N8" s="43" t="str">
        <x:v>Ajuda a calibrar mercado secundário, mas não deve comandar preço premium.</x:v>
      </x:c>
    </x:row>
    <x:row r="9">
      <x:c r="A9" s="43" t="str">
        <x:v>Baixa</x:v>
      </x:c>
      <x:c r="B9" s="43" t="str">
        <x:v>Casas De Sal</x:v>
      </x:c>
      <x:c r="C9" s="43" t="str">
        <x:v>Produto alternativo</x:v>
      </x:c>
      <x:c r="D9" s="43" t="str">
        <x:v>Moncarapacho e Fuseta</x:v>
      </x:c>
      <x:c r="E9" s="43" t="str">
        <x:v>Moradias T3</x:v>
      </x:c>
      <x:c r="F9" s="43" t="str">
        <x:v>860.000 €</x:v>
      </x:c>
      <x:c r="G9" s="43" t="str">
        <x:v>Moradias em banda</x:v>
      </x:c>
      <x:c r="H9" s="43" t="str">
        <x:v>Alternativa lifestyle fora do micro mercado</x:v>
      </x:c>
      <x:c r="I9" s="43" t="str">
        <x:v>C · Histórico/secundário</x:v>
      </x:c>
      <x:c r="J9" s="53" t="n">
        <x:v>0.35</x:v>
      </x:c>
      <x:c r="K9" s="43" t="str">
        <x:v>Ativo</x:v>
      </x:c>
      <x:c r="L9" s="43" t="str">
        <x:v>Só usar se quiser comparar poder de compra/lifestyle; não usar no preço oficial de apartamentos</x:v>
      </x:c>
      <x:c r="M9" s="43" t="str">
        <x:v>https://www.idealista.pt/comprar-empreendimentos/olhao/</x:v>
      </x:c>
      <x:c r="N9" s="43" t="str">
        <x:v>Fora do micro mercado Marina/Olhão apartamentos; útil apenas como referência estratégica.</x:v>
      </x:c>
    </x:row>
  </x:sheetData>
  <x:conditionalFormatting sqref="A2:A9">
    <x:cfRule type="expression" dxfId="3" priority="1">
      <x:formula>$A2="Alta"</x:formula>
    </x:cfRule>
    <x:cfRule type="expression" dxfId="4" priority="2">
      <x:formula>$A2="Média"</x:formula>
    </x:cfRule>
    <x:cfRule type="expression" dxfId="5" priority="3">
      <x:formula>$A2="Baixa"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6" hidden="0" customWidth="1"/>
    <x:col min="3" max="3" width="16" hidden="0" customWidth="1"/>
    <x:col min="4" max="4" width="14" hidden="0" customWidth="1"/>
    <x:col min="5" max="5" width="38" hidden="0" customWidth="1"/>
    <x:col min="6" max="6" width="28" hidden="0" customWidth="1"/>
  </x:cols>
  <x:sheetData>
    <x:row r="1">
      <x:c r="A1" s="52" t="str">
        <x:v>Critério</x:v>
      </x:c>
      <x:c r="B1" s="52" t="str">
        <x:v>Valor / condição</x:v>
      </x:c>
      <x:c r="C1" s="52" t="str">
        <x:v>Peso recomendado</x:v>
      </x:c>
      <x:c r="D1" s="52" t="str">
        <x:v>Camada</x:v>
      </x:c>
      <x:c r="E1" s="52" t="str">
        <x:v>Como usar no compset</x:v>
      </x:c>
      <x:c r="F1" s="52" t="str">
        <x:v>Exemplo</x:v>
      </x:c>
    </x:row>
    <x:row r="2">
      <x:c r="A2" s="43" t="str">
        <x:v>Localização</x:v>
      </x:c>
      <x:c r="B2" s="43" t="str">
        <x:v>Waterfront / Marina / Ria Formosa comparável</x:v>
      </x:c>
      <x:c r="C2" s="43" t="n">
        <x:v>1</x:v>
      </x:c>
      <x:c r="D2" s="43" t="str">
        <x:v>A</x:v>
      </x:c>
      <x:c r="E2" s="43" t="str">
        <x:v>Usar no preço oficial quando também casar tipologia/piso/vista</x:v>
      </x:c>
      <x:c r="F2" s="43" t="str">
        <x:v>Del Mar Waterfront atualizado</x:v>
      </x:c>
    </x:row>
    <x:row r="3">
      <x:c r="A3" s="43" t="str">
        <x:v>Localização</x:v>
      </x:c>
      <x:c r="B3" s="43" t="str">
        <x:v>Olhão central / próximo da marina, mas sem frente de água</x:v>
      </x:c>
      <x:c r="C3" s="43" t="n">
        <x:v>0.7</x:v>
      </x:c>
      <x:c r="D3" s="43" t="str">
        <x:v>B</x:v>
      </x:c>
      <x:c r="E3" s="43" t="str">
        <x:v>Usar como benchmark; menor peso no preço IA</x:v>
      </x:c>
      <x:c r="F3" s="43" t="str">
        <x:v>Saramago Condomínio</x:v>
      </x:c>
    </x:row>
    <x:row r="4">
      <x:c r="A4" s="43" t="str">
        <x:v>Localização</x:v>
      </x:c>
      <x:c r="B4" s="43" t="str">
        <x:v>Fora do micro mercado ou produto diferente</x:v>
      </x:c>
      <x:c r="C4" s="43" t="n">
        <x:v>0.35</x:v>
      </x:c>
      <x:c r="D4" s="43" t="str">
        <x:v>C</x:v>
      </x:c>
      <x:c r="E4" s="43" t="str">
        <x:v>Apenas contexto estratégico</x:v>
      </x:c>
      <x:c r="F4" s="43" t="str">
        <x:v>Casas De Sal</x:v>
      </x:c>
    </x:row>
    <x:row r="5">
      <x:c r="A5" s="43" t="str">
        <x:v>Atualidade</x:v>
      </x:c>
      <x:c r="B5" s="43" t="str">
        <x:v>Ativo/atualizado nos últimos 90 dias</x:v>
      </x:c>
      <x:c r="C5" s="43" t="n">
        <x:v>1</x:v>
      </x:c>
      <x:c r="D5" s="43" t="str">
        <x:v>A/B</x:v>
      </x:c>
      <x:c r="E5" s="43" t="str">
        <x:v>Pode entrar com peso normal</x:v>
      </x:c>
      <x:c r="F5" s="43" t="str">
        <x:v>URL e data confirmada</x:v>
      </x:c>
    </x:row>
    <x:row r="6">
      <x:c r="A6" s="43" t="str">
        <x:v>Atualidade</x:v>
      </x:c>
      <x:c r="B6" s="43" t="str">
        <x:v>2024 ou sem data de atualização</x:v>
      </x:c>
      <x:c r="C6" s="43" t="n">
        <x:v>0.4</x:v>
      </x:c>
      <x:c r="D6" s="43" t="str">
        <x:v>C</x:v>
      </x:c>
      <x:c r="E6" s="43" t="str">
        <x:v>Não deve puxar preço final sozinho</x:v>
      </x:c>
      <x:c r="F6" s="43" t="str">
        <x:v>Le Parc antigo sem atualização</x:v>
      </x:c>
    </x:row>
    <x:row r="7">
      <x:c r="A7" s="43" t="str">
        <x:v>Produto</x:v>
      </x:c>
      <x:c r="B7" s="43" t="str">
        <x:v>Nova construção com garagem, piscina e varanda/terraço</x:v>
      </x:c>
      <x:c r="C7" s="43" t="n">
        <x:v>0.9</x:v>
      </x:c>
      <x:c r="D7" s="43" t="str">
        <x:v>A/B</x:v>
      </x:c>
      <x:c r="E7" s="43" t="str">
        <x:v>Bom comparável se áreas e vistas forem completas</x:v>
      </x:c>
      <x:c r="F7" s="43" t="str">
        <x:v>Del Mar / Saramago</x:v>
      </x:c>
    </x:row>
    <x:row r="8">
      <x:c r="A8" s="43" t="str">
        <x:v>Produto</x:v>
      </x:c>
      <x:c r="B8" s="43" t="str">
        <x:v>Revenda ou produto semi-novo</x:v>
      </x:c>
      <x:c r="C8" s="43" t="n">
        <x:v>0.5</x:v>
      </x:c>
      <x:c r="D8" s="43" t="str">
        <x:v>B/C</x:v>
      </x:c>
      <x:c r="E8" s="43" t="str">
        <x:v>Usar apenas se ficha completa e localização muito boa</x:v>
      </x:c>
      <x:c r="F8" s="43" t="str">
        <x:v>Village Marina</x:v>
      </x:c>
    </x:row>
    <x:row r="9">
      <x:c r="A9" s="43" t="str">
        <x:v>Dados</x:v>
      </x:c>
      <x:c r="B9" s="43" t="str">
        <x:v>Ficha completa com URL, data, área, piso, vista e preço</x:v>
      </x:c>
      <x:c r="C9" s="43" t="n">
        <x:v>1</x:v>
      </x:c>
      <x:c r="D9" s="43" t="str">
        <x:v>A/B</x:v>
      </x:c>
      <x:c r="E9" s="43" t="str">
        <x:v>Confiável para pricing</x:v>
      </x:c>
      <x:c r="F9" s="43" t="str">
        <x:v>Anúncio detalhado</x:v>
      </x:c>
    </x:row>
    <x:row r="10">
      <x:c r="A10" s="43" t="str">
        <x:v>Dados</x:v>
      </x:c>
      <x:c r="B10" s="43" t="str">
        <x:v>Sem URL, sem data ou sem área útil/total</x:v>
      </x:c>
      <x:c r="C10" s="43" t="n">
        <x:v>0.4</x:v>
      </x:c>
      <x:c r="D10" s="43" t="str">
        <x:v>C</x:v>
      </x:c>
      <x:c r="E10" s="43" t="str">
        <x:v>Prioridade de atualização alta</x:v>
      </x:c>
      <x:c r="F10" s="43" t="str">
        <x:v>Linha antiga sem fonte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9.289999961853027" hidden="0" customWidth="1"/>
    <x:col min="4" max="4" width="22" hidden="0" customWidth="1"/>
    <x:col min="5" max="5" width="22" hidden="0" customWidth="1"/>
    <x:col min="6" max="6" width="3.2300000190734863" hidden="0" customWidth="1"/>
    <x:col min="7" max="7" width="13.59000015258789" hidden="0" customWidth="1"/>
    <x:col min="8" max="8" width="8.210000038146973" hidden="0" customWidth="1"/>
    <x:col min="9" max="9" width="7.809999942779541" hidden="0" customWidth="1"/>
    <x:col min="10" max="10" width="12.380000114440918" hidden="0" customWidth="1"/>
    <x:col min="11" max="11" width="17.5" hidden="0" customWidth="1"/>
    <x:col min="12" max="12" width="17.6299991607666" hidden="0" customWidth="1"/>
    <x:col min="13" max="13" width="22" hidden="0" customWidth="1"/>
    <x:col min="14" max="14" width="22" hidden="0" customWidth="1"/>
    <x:col min="15" max="15" width="38" hidden="0" customWidth="1"/>
    <x:col min="16" max="16" width="15.880000114440918" hidden="0" customWidth="1"/>
    <x:col min="17" max="17" width="22" hidden="0" customWidth="1"/>
    <x:col min="18" max="18" width="22" hidden="0" customWidth="1"/>
    <x:col min="19" max="19" width="12.520000457763672" hidden="0" customWidth="1"/>
    <x:col min="20" max="20" width="9.289999961853027" hidden="0" customWidth="1"/>
    <x:col min="21" max="21" width="9.289999961853027" hidden="0" customWidth="1"/>
    <x:col min="22" max="22" width="17.899999618530273" hidden="0" customWidth="1"/>
    <x:col min="23" max="23" width="13.729999542236328" hidden="0" customWidth="1"/>
    <x:col min="24" max="24" width="22" hidden="0" customWidth="1"/>
    <x:col min="25" max="25" width="22" hidden="0" customWidth="1"/>
    <x:col min="26" max="26" width="38" hidden="0" customWidth="1"/>
    <x:col min="27" max="27" width="38" hidden="0" customWidth="1"/>
    <x:col min="28" max="28" width="22" hidden="0" customWidth="1"/>
    <x:col min="30" max="30" width="6" hidden="0" customWidth="1"/>
    <x:col min="31" max="31" width="62" hidden="0" customWidth="1"/>
  </x:cols>
  <x:sheetData>
    <x:row r="1" ht="30" customHeight="1">
      <x:c r="A1" s="58" t="str">
        <x:v>Empreendimento</x:v>
      </x:c>
      <x:c r="B1" s="58" t="str">
        <x:v>Fração</x:v>
      </x:c>
      <x:c r="C1" s="58" t="str">
        <x:v>Piso</x:v>
      </x:c>
      <x:c r="D1" s="58" t="str">
        <x:v>Tipologia</x:v>
      </x:c>
      <x:c r="E1" s="58" t="str">
        <x:v>Vista</x:v>
      </x:c>
      <x:c r="F1" s="58" t="str">
        <x:v>ABP</x:v>
      </x:c>
      <x:c r="G1" s="58" t="str">
        <x:v>Varanda/Terraço</x:v>
      </x:c>
      <x:c r="H1" s="58" t="str">
        <x:v>Área Total</x:v>
      </x:c>
      <x:c r="I1" s="58" t="str">
        <x:v>PVP</x:v>
      </x:c>
      <x:c r="J1" s="58" t="str">
        <x:v>Ano Referência</x:v>
      </x:c>
      <x:c r="K1" s="58" t="str">
        <x:v>Sem Varanda/Terraço</x:v>
      </x:c>
      <x:c r="L1" s="58" t="str">
        <x:v>Com Varanda/Terraço</x:v>
      </x:c>
      <x:c r="M1" s="58" t="str">
        <x:v>Status</x:v>
      </x:c>
      <x:c r="N1" s="58" t="str">
        <x:v>Fonte</x:v>
      </x:c>
      <x:c r="O1" s="58" t="str">
        <x:v>URL</x:v>
      </x:c>
      <x:c r="P1" s="58" t="str">
        <x:v>Data de atualização</x:v>
      </x:c>
      <x:c r="Q1" s="58" t="str">
        <x:v>Segmento</x:v>
      </x:c>
      <x:c r="R1" s="58" t="str">
        <x:v>Condição</x:v>
      </x:c>
      <x:c r="S1" s="58" t="str">
        <x:v>Ano de entrega</x:v>
      </x:c>
      <x:c r="T1" s="58" t="str">
        <x:v>Garagem</x:v>
      </x:c>
      <x:c r="U1" s="58" t="str">
        <x:v>Piscina</x:v>
      </x:c>
      <x:c r="V1" s="58" t="str">
        <x:v>Distância ao The View</x:v>
      </x:c>
      <x:c r="W1" s="58" t="str">
        <x:v>Peso comparável</x:v>
      </x:c>
      <x:c r="X1" s="58" t="str">
        <x:v>Camada compset</x:v>
      </x:c>
      <x:c r="Y1" s="58" t="str">
        <x:v>Qualidade dados</x:v>
      </x:c>
      <x:c r="Z1" s="58" t="str">
        <x:v>Observações comerciais</x:v>
      </x:c>
      <x:c r="AA1" s="58" t="str">
        <x:v>Ação recomendada</x:v>
      </x:c>
      <x:c r="AB1" s="58" t="str">
        <x:v>Prioridade atualização</x:v>
      </x:c>
      <x:c r="AD1" s="65" t="str">
        <x:v>Como usar esta folha</x:v>
      </x:c>
      <x:c r="AE1" s="65"/>
      <x:c r="AF1" s="65"/>
      <x:c r="AG1" s="65"/>
      <x:c r="AH1" s="65"/>
    </x:row>
    <x:row r="2">
      <x:c r="A2" s="59" t="str">
        <x:v>Del Mar Waterfront Living</x:v>
      </x:c>
      <x:c r="B2" s="59" t="str">
        <x:v>CAND-001</x:v>
      </x:c>
      <x:c r="C2" s="59" t="str">
        <x:v>A confirmar</x:v>
      </x:c>
      <x:c r="D2" s="59" t="str">
        <x:v>T2 / T3</x:v>
      </x:c>
      <x:c r="E2" s="59" t="str">
        <x:v>Marina / Ria Formosa</x:v>
      </x:c>
      <x:c r="F2" s="59"/>
      <x:c r="G2" s="59"/>
      <x:c r="H2" s="59"/>
      <x:c r="I2" s="60" t="n">
        <x:v>690000</x:v>
      </x:c>
      <x:c r="J2" s="59" t="n">
        <x:v>2026</x:v>
      </x:c>
      <x:c r="K2" s="60" t="str">
        <x:f>IF(OR(F2="",I2=""),"",I2/F2)</x:f>
      </x:c>
      <x:c r="L2" s="60" t="str">
        <x:f>IF(OR(H2="",I2=""),"",I2/H2)</x:f>
      </x:c>
      <x:c r="M2" s="59" t="str">
        <x:v>Candidato / Ativo</x:v>
      </x:c>
      <x:c r="N2" s="59" t="str">
        <x:v>Idealista</x:v>
      </x:c>
      <x:c r="O2" s="59" t="str">
        <x:v>https://www.idealista.pt/empreendimento/34271659/</x:v>
      </x:c>
      <x:c r="P2" s="61" t="n">
        <x:v>46149</x:v>
      </x:c>
      <x:c r="Q2" s="59" t="str">
        <x:v>Premium waterfront/marina</x:v>
      </x:c>
      <x:c r="R2" s="59" t="str">
        <x:v>Nova construção</x:v>
      </x:c>
      <x:c r="S2" s="59"/>
      <x:c r="T2" s="59" t="str">
        <x:v>Sim</x:v>
      </x:c>
      <x:c r="U2" s="59" t="str">
        <x:v>Sim</x:v>
      </x:c>
      <x:c r="V2" s="59"/>
      <x:c r="W2" s="62" t="n">
        <x:v>0.95</x:v>
      </x:c>
      <x:c r="X2" s="59" t="str">
        <x:v>A · Premium ativo</x:v>
      </x:c>
      <x:c r="Y2" s="59" t="str">
        <x:v>Média</x:v>
      </x:c>
      <x:c r="Z2" s="59" t="str">
        <x:v>Adicionar unidades reais por fração; confirmar preços, pisos, vistas, ABP, varandas e disponibilidade.</x:v>
      </x:c>
      <x:c r="AA2" s="59" t="str">
        <x:v>Recolher tabela de unidades e substituir esta linha por frações individuais.</x:v>
      </x:c>
      <x:c r="AB2" s="59" t="str">
        <x:v>Alta</x:v>
      </x:c>
      <x:c r="AD2" s="43" t="str">
        <x:v>1</x:v>
      </x:c>
      <x:c r="AE2" s="43" t="str">
        <x:v>Esta folha usa exatamente as mesmas colunas da folha Dados.</x:v>
      </x:c>
    </x:row>
    <x:row r="3">
      <x:c r="A3" s="59" t="str">
        <x:v>Del Mar Marina / Del Mar Marina Olhão</x:v>
      </x:c>
      <x:c r="B3" s="59" t="str">
        <x:v>CAND-002</x:v>
      </x:c>
      <x:c r="C3" s="59" t="str">
        <x:v>A confirmar</x:v>
      </x:c>
      <x:c r="D3" s="59" t="str">
        <x:v>T1 / T2 / T3 / T4</x:v>
      </x:c>
      <x:c r="E3" s="59" t="str">
        <x:v>Frente mar / Marina</x:v>
      </x:c>
      <x:c r="F3" s="59"/>
      <x:c r="G3" s="59"/>
      <x:c r="H3" s="59"/>
      <x:c r="I3" s="60" t="n">
        <x:v>720000</x:v>
      </x:c>
      <x:c r="J3" s="59" t="n">
        <x:v>2026</x:v>
      </x:c>
      <x:c r="K3" s="60" t="str">
        <x:f>IF(OR(F3="",I3=""),"",I3/F3)</x:f>
      </x:c>
      <x:c r="L3" s="60" t="str">
        <x:f>IF(OR(H3="",I3=""),"",I3/H3)</x:f>
      </x:c>
      <x:c r="M3" s="59" t="str">
        <x:v>Candidato / Ativo</x:v>
      </x:c>
      <x:c r="N3" s="59" t="str">
        <x:v>SuperCasa</x:v>
      </x:c>
      <x:c r="O3" s="59" t="str">
        <x:v>https://supercasa.pt/comprar-nova_construcao/olhao/olhao/com-preco-min-1200000</x:v>
      </x:c>
      <x:c r="P3" s="61" t="n">
        <x:v>46149</x:v>
      </x:c>
      <x:c r="Q3" s="59" t="str">
        <x:v>Premium waterfront/marina</x:v>
      </x:c>
      <x:c r="R3" s="59" t="str">
        <x:v>Nova construção</x:v>
      </x:c>
      <x:c r="S3" s="59"/>
      <x:c r="T3" s="59" t="str">
        <x:v>Sim</x:v>
      </x:c>
      <x:c r="U3" s="59" t="str">
        <x:v>Sim</x:v>
      </x:c>
      <x:c r="V3" s="59"/>
      <x:c r="W3" s="62" t="n">
        <x:v>0.9</x:v>
      </x:c>
      <x:c r="X3" s="59" t="str">
        <x:v>A · Premium ativo</x:v>
      </x:c>
      <x:c r="Y3" s="59" t="str">
        <x:v>Média</x:v>
      </x:c>
      <x:c r="Z3" s="59" t="str">
        <x:v>Validar se é distinto do Del Mar Waterfront Living para evitar duplicação.</x:v>
      </x:c>
      <x:c r="AA3" s="59" t="str">
        <x:v>Recolher unidades remanescentes; confirmar nome comercial e fichas por fração.</x:v>
      </x:c>
      <x:c r="AB3" s="59" t="str">
        <x:v>Alta</x:v>
      </x:c>
      <x:c r="AD3" s="43" t="str">
        <x:v>2</x:v>
      </x:c>
      <x:c r="AE3" s="43" t="str">
        <x:v>As linhas são candidatos, não frações definitivas.</x:v>
      </x:c>
    </x:row>
    <x:row r="4">
      <x:c r="A4" s="59" t="str">
        <x:v>Saramago Condomínio</x:v>
      </x:c>
      <x:c r="B4" s="59" t="str">
        <x:v>CAND-003</x:v>
      </x:c>
      <x:c r="C4" s="59" t="str">
        <x:v>A confirmar</x:v>
      </x:c>
      <x:c r="D4" s="59" t="str">
        <x:v>T1 / T2 / T3</x:v>
      </x:c>
      <x:c r="E4" s="59" t="str">
        <x:v>A confirmar</x:v>
      </x:c>
      <x:c r="F4" s="59"/>
      <x:c r="G4" s="59"/>
      <x:c r="H4" s="59"/>
      <x:c r="I4" s="60" t="n">
        <x:v>535500</x:v>
      </x:c>
      <x:c r="J4" s="59" t="n">
        <x:v>2026</x:v>
      </x:c>
      <x:c r="K4" s="60" t="str">
        <x:f>IF(OR(F4="",I4=""),"",I4/F4)</x:f>
      </x:c>
      <x:c r="L4" s="60" t="str">
        <x:f>IF(OR(H4="",I4=""),"",I4/H4)</x:f>
      </x:c>
      <x:c r="M4" s="59" t="str">
        <x:v>Candidato / Ativo</x:v>
      </x:c>
      <x:c r="N4" s="59" t="str">
        <x:v>SuperCasa</x:v>
      </x:c>
      <x:c r="O4" s="59" t="str">
        <x:v>https://supercasa.pt/comprar-nova_construcao/olhao</x:v>
      </x:c>
      <x:c r="P4" s="61" t="n">
        <x:v>46149</x:v>
      </x:c>
      <x:c r="Q4" s="59" t="str">
        <x:v>Nova construção premium local</x:v>
      </x:c>
      <x:c r="R4" s="59" t="str">
        <x:v>Nova construção</x:v>
      </x:c>
      <x:c r="S4" s="59"/>
      <x:c r="T4" s="59" t="str">
        <x:v>Sim</x:v>
      </x:c>
      <x:c r="U4" s="59" t="str">
        <x:v>Sim</x:v>
      </x:c>
      <x:c r="V4" s="59" t="n">
        <x:v>300</x:v>
      </x:c>
      <x:c r="W4" s="62" t="n">
        <x:v>0.75</x:v>
      </x:c>
      <x:c r="X4" s="59" t="str">
        <x:v>B · Benchmark local</x:v>
      </x:c>
      <x:c r="Y4" s="59" t="str">
        <x:v>Média</x:v>
      </x:c>
      <x:c r="Z4" s="59" t="str">
        <x:v>Bom benchmark local, mas menos waterfront direto do que The View.</x:v>
      </x:c>
      <x:c r="AA4" s="59" t="str">
        <x:v>Recolher tabela por fração, vista real, pisos, áreas e estacionamento.</x:v>
      </x:c>
      <x:c r="AB4" s="59" t="str">
        <x:v>Alta</x:v>
      </x:c>
      <x:c r="AD4" s="43" t="str">
        <x:v>3</x:v>
      </x:c>
      <x:c r="AE4" s="43" t="str">
        <x:v>Antes de copiar para Dados, substituir cada candidato por unidades reais com ABP, varanda, área total e PVP.</x:v>
      </x:c>
    </x:row>
    <x:row r="5">
      <x:c r="A5" s="59" t="str">
        <x:v>PLESSIS</x:v>
      </x:c>
      <x:c r="B5" s="59" t="str">
        <x:v>CAND-004</x:v>
      </x:c>
      <x:c r="C5" s="59" t="str">
        <x:v>A confirmar</x:v>
      </x:c>
      <x:c r="D5" s="59" t="str">
        <x:v>T2 / T3 / T4+</x:v>
      </x:c>
      <x:c r="E5" s="59" t="str">
        <x:v>Ria Formosa / Salinas a confirmar</x:v>
      </x:c>
      <x:c r="F5" s="59"/>
      <x:c r="G5" s="59"/>
      <x:c r="H5" s="59"/>
      <x:c r="I5" s="60" t="n">
        <x:v>415000</x:v>
      </x:c>
      <x:c r="J5" s="59" t="n">
        <x:v>2026</x:v>
      </x:c>
      <x:c r="K5" s="60" t="str">
        <x:f>IF(OR(F5="",I5=""),"",I5/F5)</x:f>
      </x:c>
      <x:c r="L5" s="60" t="str">
        <x:f>IF(OR(H5="",I5=""),"",I5/H5)</x:f>
      </x:c>
      <x:c r="M5" s="59" t="str">
        <x:v>Candidato / Ativo</x:v>
      </x:c>
      <x:c r="N5" s="59" t="str">
        <x:v>SuperCasa</x:v>
      </x:c>
      <x:c r="O5" s="59" t="str">
        <x:v>https://supercasa.pt/comprar-nova_construcao/olhao/olhao/com-preco-min-1200000</x:v>
      </x:c>
      <x:c r="P5" s="61" t="n">
        <x:v>46149</x:v>
      </x:c>
      <x:c r="Q5" s="59" t="str">
        <x:v>Nova construção local / lifestyle</x:v>
      </x:c>
      <x:c r="R5" s="59" t="str">
        <x:v>Nova construção</x:v>
      </x:c>
      <x:c r="S5" s="59"/>
      <x:c r="T5" s="59" t="str">
        <x:v>A confirmar</x:v>
      </x:c>
      <x:c r="U5" s="59" t="str">
        <x:v>A confirmar</x:v>
      </x:c>
      <x:c r="V5" s="59"/>
      <x:c r="W5" s="62" t="n">
        <x:v>0.65</x:v>
      </x:c>
      <x:c r="X5" s="59" t="str">
        <x:v>B · Benchmark local</x:v>
      </x:c>
      <x:c r="Y5" s="59" t="str">
        <x:v>Média</x:v>
      </x:c>
      <x:c r="Z5" s="59" t="str">
        <x:v>Usar como benchmark amplo; não deve ter o mesmo peso de waterfront.</x:v>
      </x:c>
      <x:c r="AA5" s="59" t="str">
        <x:v>Validar distância, vista real, acabamentos e tabela de preços por tipologia.</x:v>
      </x:c>
      <x:c r="AB5" s="59" t="str">
        <x:v>Média</x:v>
      </x:c>
      <x:c r="AD5" s="43" t="str">
        <x:v>4</x:v>
      </x:c>
      <x:c r="AE5" s="43" t="str">
        <x:v>Não usar linhas com ABP/Área vazias no pricing oficial.</x:v>
      </x:c>
    </x:row>
    <x:row r="6">
      <x:c r="A6" s="59" t="str">
        <x:v>Luxuosos apartamentos com terraço privativo</x:v>
      </x:c>
      <x:c r="B6" s="59" t="str">
        <x:v>CAND-005</x:v>
      </x:c>
      <x:c r="C6" s="59" t="str">
        <x:v>A confirmar</x:v>
      </x:c>
      <x:c r="D6" s="59" t="str">
        <x:v>T2 / T3 / T4+</x:v>
      </x:c>
      <x:c r="E6" s="59" t="str">
        <x:v>A confirmar</x:v>
      </x:c>
      <x:c r="F6" s="59"/>
      <x:c r="G6" s="59"/>
      <x:c r="H6" s="59"/>
      <x:c r="I6" s="60" t="n">
        <x:v>415000</x:v>
      </x:c>
      <x:c r="J6" s="59" t="n">
        <x:v>2026</x:v>
      </x:c>
      <x:c r="K6" s="60" t="str">
        <x:f>IF(OR(F6="",I6=""),"",I6/F6)</x:f>
      </x:c>
      <x:c r="L6" s="60" t="str">
        <x:f>IF(OR(H6="",I6=""),"",I6/H6)</x:f>
      </x:c>
      <x:c r="M6" s="59" t="str">
        <x:v>Candidato / A validar</x:v>
      </x:c>
      <x:c r="N6" s="59" t="str">
        <x:v>SuperCasa</x:v>
      </x:c>
      <x:c r="O6" s="59" t="str">
        <x:v>https://supercasa.pt/comprar-nova_construcao/olhao/olhao/com-preco-min-1200000</x:v>
      </x:c>
      <x:c r="P6" s="61" t="n">
        <x:v>46149</x:v>
      </x:c>
      <x:c r="Q6" s="59" t="str">
        <x:v>Nova construção local</x:v>
      </x:c>
      <x:c r="R6" s="59" t="str">
        <x:v>Nova construção</x:v>
      </x:c>
      <x:c r="S6" s="59"/>
      <x:c r="T6" s="59" t="str">
        <x:v>A confirmar</x:v>
      </x:c>
      <x:c r="U6" s="59" t="str">
        <x:v>A confirmar</x:v>
      </x:c>
      <x:c r="V6" s="59"/>
      <x:c r="W6" s="62" t="n">
        <x:v>0.6</x:v>
      </x:c>
      <x:c r="X6" s="59" t="str">
        <x:v>B · Benchmark local</x:v>
      </x:c>
      <x:c r="Y6" s="59" t="str">
        <x:v>Baixa</x:v>
      </x:c>
      <x:c r="Z6" s="59" t="str">
        <x:v>Fonte agregada; precisa confirmar nome real do empreendimento e evitar duplicação.</x:v>
      </x:c>
      <x:c r="AA6" s="59" t="str">
        <x:v>Identificar empreendimento real antes de inserir como concorrente oficial.</x:v>
      </x:c>
      <x:c r="AB6" s="59" t="str">
        <x:v>Média</x:v>
      </x:c>
      <x:c r="AD6" s="43" t="str">
        <x:v>5</x:v>
      </x:c>
      <x:c r="AE6" s="43" t="str">
        <x:v>Peso comparável é sugestão inicial; ajustar conforme qualidade da fonte e semelhança real.</x:v>
      </x:c>
    </x:row>
    <x:row r="7">
      <x:c r="A7" s="59" t="str">
        <x:v>Apartamentos Marina Olhão com terraço</x:v>
      </x:c>
      <x:c r="B7" s="59" t="str">
        <x:v>CAND-006</x:v>
      </x:c>
      <x:c r="C7" s="59" t="str">
        <x:v>A confirmar</x:v>
      </x:c>
      <x:c r="D7" s="59" t="str">
        <x:v>T1+1 / T2 / Penthouse</x:v>
      </x:c>
      <x:c r="E7" s="59" t="str">
        <x:v>Marina / A confirmar</x:v>
      </x:c>
      <x:c r="F7" s="59"/>
      <x:c r="G7" s="59"/>
      <x:c r="H7" s="59"/>
      <x:c r="I7" s="60" t="n">
        <x:v>335000</x:v>
      </x:c>
      <x:c r="J7" s="59" t="n">
        <x:v>2026</x:v>
      </x:c>
      <x:c r="K7" s="60" t="str">
        <x:f>IF(OR(F7="",I7=""),"",I7/F7)</x:f>
      </x:c>
      <x:c r="L7" s="60" t="str">
        <x:f>IF(OR(H7="",I7=""),"",I7/H7)</x:f>
      </x:c>
      <x:c r="M7" s="59" t="str">
        <x:v>Candidato / Listagens individuais</x:v>
      </x:c>
      <x:c r="N7" s="59" t="str">
        <x:v>Idealista</x:v>
      </x:c>
      <x:c r="O7" s="59" t="str">
        <x:v>https://www.idealista.pt/comprar-casas/olhao/marina/com-apartamentos%2Cterraco/</x:v>
      </x:c>
      <x:c r="P7" s="61" t="n">
        <x:v>46149</x:v>
      </x:c>
      <x:c r="Q7" s="59" t="str">
        <x:v>Revenda premium/local</x:v>
      </x:c>
      <x:c r="R7" s="59" t="str">
        <x:v>Usado / A confirmar</x:v>
      </x:c>
      <x:c r="S7" s="59"/>
      <x:c r="T7" s="59" t="str">
        <x:v>A confirmar</x:v>
      </x:c>
      <x:c r="U7" s="59" t="str">
        <x:v>A confirmar</x:v>
      </x:c>
      <x:c r="V7" s="59"/>
      <x:c r="W7" s="62" t="n">
        <x:v>0.55</x:v>
      </x:c>
      <x:c r="X7" s="59" t="str">
        <x:v>B · Benchmark local</x:v>
      </x:c>
      <x:c r="Y7" s="59" t="str">
        <x:v>Baixa</x:v>
      </x:c>
      <x:c r="Z7" s="59" t="str">
        <x:v>Útil para tipologias sem diretos, mas apenas com ficha completa por anúncio.</x:v>
      </x:c>
      <x:c r="AA7" s="59" t="str">
        <x:v>Selecionar apenas anúncios com preço, área, piso, vista, varanda/terraço e URL individual.</x:v>
      </x:c>
      <x:c r="AB7" s="59" t="str">
        <x:v>Média</x:v>
      </x:c>
      <x:c r="AD7" s="43" t="str">
        <x:v>6</x:v>
      </x:c>
      <x:c r="AE7" s="43" t="str">
        <x:v>Manter URL individual sempre que possível.</x:v>
      </x:c>
    </x:row>
    <x:row r="8">
      <x:c r="A8" s="59" t="str">
        <x:v>Urbanização Village Marina</x:v>
      </x:c>
      <x:c r="B8" s="59" t="str">
        <x:v>CAND-007</x:v>
      </x:c>
      <x:c r="C8" s="59" t="str">
        <x:v>A confirmar</x:v>
      </x:c>
      <x:c r="D8" s="59" t="str">
        <x:v>A confirmar</x:v>
      </x:c>
      <x:c r="E8" s="59" t="str">
        <x:v>A confirmar</x:v>
      </x:c>
      <x:c r="F8" s="59"/>
      <x:c r="G8" s="59"/>
      <x:c r="H8" s="59"/>
      <x:c r="I8" s="60" t="n">
        <x:v>335000</x:v>
      </x:c>
      <x:c r="J8" s="59" t="n">
        <x:v>2026</x:v>
      </x:c>
      <x:c r="K8" s="60" t="str">
        <x:f>IF(OR(F8="",I8=""),"",I8/F8)</x:f>
      </x:c>
      <x:c r="L8" s="60" t="str">
        <x:f>IF(OR(H8="",I8=""),"",I8/H8)</x:f>
      </x:c>
      <x:c r="M8" s="59" t="str">
        <x:v>Candidato / Ativo</x:v>
      </x:c>
      <x:c r="N8" s="59" t="str">
        <x:v>Idealista</x:v>
      </x:c>
      <x:c r="O8" s="59" t="str">
        <x:v>https://www.idealista.pt/geo/comprar-casas/urbanizacao-village-marina/com-apartamentos/</x:v>
      </x:c>
      <x:c r="P8" s="61" t="n">
        <x:v>46149</x:v>
      </x:c>
      <x:c r="Q8" s="59" t="str">
        <x:v>Benchmark local usado</x:v>
      </x:c>
      <x:c r="R8" s="59" t="str">
        <x:v>Usado</x:v>
      </x:c>
      <x:c r="S8" s="59"/>
      <x:c r="T8" s="59" t="str">
        <x:v>A confirmar</x:v>
      </x:c>
      <x:c r="U8" s="59" t="str">
        <x:v>A confirmar</x:v>
      </x:c>
      <x:c r="V8" s="59"/>
      <x:c r="W8" s="62" t="n">
        <x:v>0.45</x:v>
      </x:c>
      <x:c r="X8" s="59" t="str">
        <x:v>C · Histórico/secundário</x:v>
      </x:c>
      <x:c r="Y8" s="59" t="str">
        <x:v>Baixa</x:v>
      </x:c>
      <x:c r="Z8" s="59" t="str">
        <x:v>Benchmark de mercado secundário; não deve comandar pricing premium.</x:v>
      </x:c>
      <x:c r="AA8" s="59" t="str">
        <x:v>Usar só como contexto; validar estado, ano, áreas e localização exata.</x:v>
      </x:c>
      <x:c r="AB8" s="59" t="str">
        <x:v>Baixa</x:v>
      </x:c>
    </x:row>
    <x:row r="9">
      <x:c r="A9" s="59" t="str">
        <x:v>Casas De Sal</x:v>
      </x:c>
      <x:c r="B9" s="59" t="str">
        <x:v>CAND-008</x:v>
      </x:c>
      <x:c r="C9" s="59" t="str">
        <x:v>A confirmar</x:v>
      </x:c>
      <x:c r="D9" s="59" t="str">
        <x:v>T3 moradia</x:v>
      </x:c>
      <x:c r="E9" s="59" t="str">
        <x:v>Fora do micro mercado</x:v>
      </x:c>
      <x:c r="F9" s="59"/>
      <x:c r="G9" s="59"/>
      <x:c r="H9" s="59"/>
      <x:c r="I9" s="60" t="n">
        <x:v>860000</x:v>
      </x:c>
      <x:c r="J9" s="59" t="n">
        <x:v>2026</x:v>
      </x:c>
      <x:c r="K9" s="60" t="str">
        <x:f>IF(OR(F9="",I9=""),"",I9/F9)</x:f>
      </x:c>
      <x:c r="L9" s="60" t="str">
        <x:f>IF(OR(H9="",I9=""),"",I9/H9)</x:f>
      </x:c>
      <x:c r="M9" s="59" t="str">
        <x:v>Candidato / Estratégico</x:v>
      </x:c>
      <x:c r="N9" s="59" t="str">
        <x:v>Idealista</x:v>
      </x:c>
      <x:c r="O9" s="59" t="str">
        <x:v>https://www.idealista.pt/comprar-empreendimentos/olhao/</x:v>
      </x:c>
      <x:c r="P9" s="61" t="n">
        <x:v>46149</x:v>
      </x:c>
      <x:c r="Q9" s="59" t="str">
        <x:v>Alternativa lifestyle fora do micro mercado</x:v>
      </x:c>
      <x:c r="R9" s="59" t="str">
        <x:v>Nova construção</x:v>
      </x:c>
      <x:c r="S9" s="59"/>
      <x:c r="T9" s="59" t="str">
        <x:v>Sim</x:v>
      </x:c>
      <x:c r="U9" s="59" t="str">
        <x:v>Sim</x:v>
      </x:c>
      <x:c r="V9" s="59"/>
      <x:c r="W9" s="62" t="n">
        <x:v>0.35</x:v>
      </x:c>
      <x:c r="X9" s="59" t="str">
        <x:v>C · Histórico/secundário</x:v>
      </x:c>
      <x:c r="Y9" s="59" t="str">
        <x:v>Baixa</x:v>
      </x:c>
      <x:c r="Z9" s="59" t="str">
        <x:v>Produto alternativo; não usar no preço oficial de apartamentos The View.</x:v>
      </x:c>
      <x:c r="AA9" s="59" t="str">
        <x:v>Usar apenas para análise de poder de compra/lifestyle, não como concorrente direto.</x:v>
      </x:c>
      <x:c r="AB9" s="59" t="str">
        <x:v>Baixa</x:v>
      </x:c>
    </x:row>
  </x:sheetData>
  <x:mergeCells>
    <x:mergeCell ref="AD1:AH1"/>
  </x:mergeCells>
  <x:dataValidations count="3">
    <x:dataValidation type="list" sqref="M2:M9">
      <x:formula1>"Candidato / Ativo,Candidato / A validar,Candidato / Listagens individuais,Candidato / Estratégico,Ativo,Histórico"</x:formula1>
    </x:dataValidation>
    <x:dataValidation type="list" sqref="X2:X9">
      <x:formula1>"A · Premium ativo,B · Benchmark local,C · Histórico/secundário"</x:formula1>
    </x:dataValidation>
    <x:dataValidation type="list" sqref="AB2:AB9">
      <x:formula1>"Alta,Média,Baixa"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06f726b42b422a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6" hidden="0" customWidth="1"/>
    <x:col min="5" max="5" width="22" hidden="0" customWidth="1"/>
    <x:col min="6" max="6" width="12" hidden="0" customWidth="1"/>
    <x:col min="7" max="7" width="13" hidden="0" customWidth="1"/>
    <x:col min="8" max="8" width="13" hidden="0" customWidth="1"/>
    <x:col min="9" max="9" width="13" hidden="0" customWidth="1"/>
    <x:col min="10" max="10" width="22" hidden="0" customWidth="1"/>
    <x:col min="11" max="11" width="42" hidden="0" customWidth="1"/>
    <x:col min="12" max="12" width="62" hidden="0" customWidth="1"/>
  </x:cols>
  <x:sheetData>
    <x:row r="1">
      <x:c r="A1" s="70" t="str">
        <x:v>Data</x:v>
      </x:c>
      <x:c r="B1" s="70" t="str">
        <x:v>Fonte</x:v>
      </x:c>
      <x:c r="C1" s="70" t="str">
        <x:v>Tipo de dado</x:v>
      </x:c>
      <x:c r="D1" s="70" t="str">
        <x:v>Localização</x:v>
      </x:c>
      <x:c r="E1" s="70" t="str">
        <x:v>Segmento</x:v>
      </x:c>
      <x:c r="F1" s="70" t="str">
        <x:v>€/m²</x:v>
      </x:c>
      <x:c r="G1" s="70" t="str">
        <x:v>Variação mensal</x:v>
      </x:c>
      <x:c r="H1" s="70" t="str">
        <x:v>Variação trimestral</x:v>
      </x:c>
      <x:c r="I1" s="70" t="str">
        <x:v>Variação anual</x:v>
      </x:c>
      <x:c r="J1" s="70" t="str">
        <x:v>Uso recomendado</x:v>
      </x:c>
      <x:c r="K1" s="70" t="str">
        <x:v>Observação</x:v>
      </x:c>
      <x:c r="L1" s="70" t="str">
        <x:v>URL</x:v>
      </x:c>
    </x:row>
    <x:row r="2">
      <x:c r="A2" s="43" t="str">
        <x:v>2026-04</x:v>
      </x:c>
      <x:c r="B2" s="43" t="str">
        <x:v>Idealista</x:v>
      </x:c>
      <x:c r="C2" s="43" t="str">
        <x:v>Oferta/anúncio</x:v>
      </x:c>
      <x:c r="D2" s="43" t="str">
        <x:v>Portugal</x:v>
      </x:c>
      <x:c r="E2" s="43" t="str">
        <x:v>Mercado geral</x:v>
      </x:c>
      <x:c r="F2" s="71" t="n">
        <x:v>3121</x:v>
      </x:c>
      <x:c r="G2" s="72" t="n">
        <x:v>0.005</x:v>
      </x:c>
      <x:c r="H2" s="72" t="n">
        <x:v>0.024</x:v>
      </x:c>
      <x:c r="I2" s="72" t="n">
        <x:v>0.108</x:v>
      </x:c>
      <x:c r="J2" s="43" t="str">
        <x:v>Benchmark macro</x:v>
      </x:c>
      <x:c r="K2" s="43" t="str">
        <x:v>Preço mediano de casas anunciadas para venda; não usar como concorrente direto.</x:v>
      </x:c>
      <x:c r="L2" s="43" t="str">
        <x:v>https://www.idealista.pt/media/relatorios-preco-habitacao/</x:v>
      </x:c>
    </x:row>
    <x:row r="3">
      <x:c r="A3" s="43" t="str">
        <x:v>2026-04</x:v>
      </x:c>
      <x:c r="B3" s="43" t="str">
        <x:v>Idealista</x:v>
      </x:c>
      <x:c r="C3" s="43" t="str">
        <x:v>Oferta/anúncio</x:v>
      </x:c>
      <x:c r="D3" s="43" t="str">
        <x:v>Algarve</x:v>
      </x:c>
      <x:c r="E3" s="43" t="str">
        <x:v>Mercado regional</x:v>
      </x:c>
      <x:c r="F3" s="71" t="n">
        <x:v>4009</x:v>
      </x:c>
      <x:c r="G3" s="72" t="n">
        <x:v>0.005</x:v>
      </x:c>
      <x:c r="H3" s="72" t="n">
        <x:v>0.028</x:v>
      </x:c>
      <x:c r="I3" s="72" t="n">
        <x:v>0.109</x:v>
      </x:c>
      <x:c r="J3" s="43" t="str">
        <x:v>Benchmark regional</x:v>
      </x:c>
      <x:c r="K3" s="43" t="str">
        <x:v>Preço mediano de casas anunciadas para venda no Algarve; útil para posicionamento premium.</x:v>
      </x:c>
      <x:c r="L3" s="43" t="str">
        <x:v>https://www.idealista.pt/media/relatorios-preco-habitacao/venda/faro/</x:v>
      </x:c>
    </x:row>
    <x:row r="4">
      <x:c r="A4" s="43" t="str">
        <x:v>2026-04</x:v>
      </x:c>
      <x:c r="B4" s="43" t="str">
        <x:v>Idealista</x:v>
      </x:c>
      <x:c r="C4" s="43" t="str">
        <x:v>Oferta/anúncio</x:v>
      </x:c>
      <x:c r="D4" s="43" t="str">
        <x:v>Olhão</x:v>
      </x:c>
      <x:c r="E4" s="43" t="str">
        <x:v>Mercado local</x:v>
      </x:c>
      <x:c r="F4" s="71" t="n">
        <x:v>3261</x:v>
      </x:c>
      <x:c r="G4" s="72" t="n">
        <x:v>0.016</x:v>
      </x:c>
      <x:c r="H4" s="72" t="n">
        <x:v>0.027</x:v>
      </x:c>
      <x:c r="I4" s="72" t="n">
        <x:v>0.097</x:v>
      </x:c>
      <x:c r="J4" s="43" t="str">
        <x:v>Benchmark local</x:v>
      </x:c>
      <x:c r="K4" s="43" t="str">
        <x:v>Preço mediano de casas anunciadas para venda em Olhão; usar como base local geral.</x:v>
      </x:c>
      <x:c r="L4" s="43" t="str">
        <x:v>https://www.idealista.pt/media/relatorios-preco-habitacao/venda/faro/olhao/</x:v>
      </x:c>
    </x:row>
    <x:row r="5">
      <x:c r="A5" s="43" t="str">
        <x:v>2025</x:v>
      </x:c>
      <x:c r="B5" s="43" t="str">
        <x:v>INE</x:v>
      </x:c>
      <x:c r="C5" s="43" t="str">
        <x:v>Transação</x:v>
      </x:c>
      <x:c r="D5" s="43" t="str">
        <x:v>Portugal</x:v>
      </x:c>
      <x:c r="E5" s="43" t="str">
        <x:v>Mercado geral</x:v>
      </x:c>
      <x:c r="F5" s="71" t="n">
        <x:v>2076</x:v>
      </x:c>
      <x:c r="G5" s="72"/>
      <x:c r="H5" s="72"/>
      <x:c r="I5" s="72" t="n">
        <x:v>0.168</x:v>
      </x:c>
      <x:c r="J5" s="43" t="str">
        <x:v>Benchmark transação</x:v>
      </x:c>
      <x:c r="K5" s="43" t="str">
        <x:v>Preço mediano anual de alojamentos familiares transacionados; mais conservador que preço de oferta.</x:v>
      </x:c>
      <x:c r="L5" s="43" t="str">
        <x:v>https://www.ine.pt/xportal/xmain?DESTAQUESdest_boui=706274558&amp;DESTAQUESmodo=2&amp;xlang=pt&amp;xpgid=ine_destaques&amp;xpid=INE</x:v>
      </x:c>
    </x:row>
    <x:row r="6">
      <x:c r="A6" s="43" t="str">
        <x:v>2025</x:v>
      </x:c>
      <x:c r="B6" s="43" t="str">
        <x:v>INE</x:v>
      </x:c>
      <x:c r="C6" s="43" t="str">
        <x:v>Transação</x:v>
      </x:c>
      <x:c r="D6" s="43" t="str">
        <x:v>Algarve</x:v>
      </x:c>
      <x:c r="E6" s="43" t="str">
        <x:v>Mercado regional</x:v>
      </x:c>
      <x:c r="F6" s="71" t="n">
        <x:v>3139</x:v>
      </x:c>
      <x:c r="G6" s="72"/>
      <x:c r="H6" s="72"/>
      <x:c r="I6" s="72"/>
      <x:c r="J6" s="43" t="str">
        <x:v>Benchmark transação</x:v>
      </x:c>
      <x:c r="K6" s="43" t="str">
        <x:v>Preço mediano anual de alojamentos familiares transacionados no Algarve; útil para validar premium regional.</x:v>
      </x:c>
      <x:c r="L6" s="43" t="str">
        <x:v>https://www.ine.pt/xportal/xmain?DESTAQUESdest_boui=706274558&amp;DESTAQUESmodo=2&amp;xlang=pt&amp;xpgid=ine_destaques&amp;xpid=INE</x:v>
      </x:c>
    </x:row>
    <x:row r="7">
      <x:c r="A7" s="43" t="str">
        <x:v>2025-Q4</x:v>
      </x:c>
      <x:c r="B7" s="43" t="str">
        <x:v>INE</x:v>
      </x:c>
      <x:c r="C7" s="43" t="str">
        <x:v>Transação</x:v>
      </x:c>
      <x:c r="D7" s="43" t="str">
        <x:v>Portugal</x:v>
      </x:c>
      <x:c r="E7" s="43" t="str">
        <x:v>Mercado geral</x:v>
      </x:c>
      <x:c r="F7" s="71" t="n">
        <x:v>2198</x:v>
      </x:c>
      <x:c r="G7" s="72"/>
      <x:c r="H7" s="72"/>
      <x:c r="I7" s="72" t="n">
        <x:v>0.175</x:v>
      </x:c>
      <x:c r="J7" s="43" t="str">
        <x:v>Benchmark trimestral</x:v>
      </x:c>
      <x:c r="K7" s="43" t="str">
        <x:v>Preço mediano dos alojamentos familiares transacionados em Portugal no 4.º trimestre de 2025.</x:v>
      </x:c>
      <x:c r="L7" s="43" t="str">
        <x:v>https://www.ine.pt/ngt_server/attachfileu.jsp?att_display=n&amp;att_download=y&amp;look_parentBoui=789055201</x:v>
      </x:c>
    </x:row>
  </x:sheetData>
  <x:pageMargins left="0.7" right="0.7" top="0.75" bottom="0.75" header="0.3" footer="0.3"/>
  <x:tableParts count="1">
    <x:tablePart xmlns:r="http://schemas.openxmlformats.org/officeDocument/2006/relationships" r:id="R7378df16081c4fed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55" hidden="0" customWidth="1"/>
    <x:col min="4" max="4" width="48" hidden="0" customWidth="1"/>
    <x:col min="6" max="6" width="18" hidden="0" customWidth="1"/>
    <x:col min="7" max="7" width="42" hidden="0" customWidth="1"/>
    <x:col min="8" max="8" width="62" hidden="0" customWidth="1"/>
  </x:cols>
  <x:sheetData>
    <x:row r="1" ht="28" customHeight="1">
      <x:c r="A1" s="75" t="str">
        <x:v>Contexto de Mercado · The View Olhão</x:v>
      </x:c>
    </x:row>
    <x:row r="3">
      <x:c r="A3" s="70" t="str">
        <x:v>Indicador</x:v>
      </x:c>
      <x:c r="B3" s="70" t="str">
        <x:v>Valor</x:v>
      </x:c>
      <x:c r="C3" s="70" t="str">
        <x:v>Fonte / cálculo</x:v>
      </x:c>
      <x:c r="D3" s="70" t="str">
        <x:v>Leitura</x:v>
      </x:c>
      <x:c r="E3" t="str"/>
      <x:c r="F3" s="70" t="str">
        <x:v>Fontes usadas</x:v>
      </x:c>
      <x:c r="G3" t="str"/>
      <x:c r="H3" t="str"/>
    </x:row>
    <x:row r="4">
      <x:c r="A4" s="82" t="str">
        <x:v>Mediana The View €/m² c/ varanda</x:v>
      </x:c>
      <x:c r="B4" s="71" t="n">
        <x:f>MEDIAN(FILTER(Dados!$L$2:$L$173,Dados!$A$2:$A$173="The View"))</x:f>
        <x:v>4025.423728813559</x:v>
      </x:c>
      <x:c r="C4" s="43" t="str">
        <x:v>MEDIAN(FILTER(Dados[Com Varanda/Terraço], Dados[Empreendimento]="The View"))</x:v>
      </x:c>
      <x:c r="D4" s="43" t="str">
        <x:v>Âncora interna do empreendimento.</x:v>
      </x:c>
      <x:c r="F4" s="43" t="str">
        <x:v>Idealista</x:v>
      </x:c>
      <x:c r="G4" s="43" t="str">
        <x:v>Índice de preços de oferta/anúncio. Útil para perceber mercado pedido, não preço fechado.</x:v>
      </x:c>
      <x:c r="H4" s="43" t="str">
        <x:v>https://www.idealista.pt/media/relatorios-preco-habitacao/</x:v>
      </x:c>
    </x:row>
    <x:row r="5">
      <x:c r="A5" s="82" t="str">
        <x:v>Mediana concorrentes €/m² c/ varanda</x:v>
      </x:c>
      <x:c r="B5" s="71" t="n">
        <x:f>MEDIAN(FILTER(Dados!$L$2:$L$173,Dados!$A$2:$A$173&lt;&gt;"The View"))</x:f>
        <x:v>4294.952224688736</x:v>
      </x:c>
      <x:c r="C5" s="43" t="str">
        <x:v>MEDIAN(FILTER(Dados[Com Varanda/Terraço], Dados[Empreendimento]&lt;&gt;"The View"))</x:v>
      </x:c>
      <x:c r="D5" s="43" t="str">
        <x:v>Referência direta do compset atual.</x:v>
      </x:c>
      <x:c r="F5" s="43" t="str">
        <x:v>Idealista Olhão</x:v>
      </x:c>
      <x:c r="G5" s="43" t="str">
        <x:v>Preço do m² em Olhão a abril de 2026: 3.261 €/m².</x:v>
      </x:c>
      <x:c r="H5" s="43" t="str">
        <x:v>https://www.idealista.pt/media/relatorios-preco-habitacao/venda/faro/olhao/</x:v>
      </x:c>
    </x:row>
    <x:row r="6">
      <x:c r="A6" s="82" t="str">
        <x:v>Benchmark Olhão · oferta</x:v>
      </x:c>
      <x:c r="B6" s="71" t="n">
        <x:f>XLOOKUP("Olhão",Benchmark_Mercado!$D$2:$D$7,Benchmark_Mercado!$F$2:$F$7)</x:f>
        <x:v>3261</x:v>
      </x:c>
      <x:c r="C6" s="43" t="str">
        <x:v>Benchmark_Mercado</x:v>
      </x:c>
      <x:c r="D6" s="43" t="str">
        <x:v>Base local geral; não é concorrência direta.</x:v>
      </x:c>
      <x:c r="F6" s="43" t="str">
        <x:v>Idealista Algarve</x:v>
      </x:c>
      <x:c r="G6" s="43" t="str">
        <x:v>Preço do m² no Algarve/Faro a abril de 2026: 4.009 €/m².</x:v>
      </x:c>
      <x:c r="H6" s="43" t="str">
        <x:v>https://www.idealista.pt/media/relatorios-preco-habitacao/venda/faro/</x:v>
      </x:c>
    </x:row>
    <x:row r="7">
      <x:c r="A7" s="82" t="str">
        <x:v>Benchmark Algarve · oferta</x:v>
      </x:c>
      <x:c r="B7" s="71" t="n">
        <x:f>XLOOKUP("Algarve",Benchmark_Mercado!$D$2:$D$7,Benchmark_Mercado!$F$2:$F$7)</x:f>
        <x:v>4009</x:v>
      </x:c>
      <x:c r="C7" s="43" t="str">
        <x:v>Benchmark_Mercado</x:v>
      </x:c>
      <x:c r="D7" s="43" t="str">
        <x:v>Base regional; útil para justificar posicionamento premium.</x:v>
      </x:c>
      <x:c r="F7" s="43" t="str">
        <x:v>INE</x:v>
      </x:c>
      <x:c r="G7" s="43" t="str">
        <x:v>Estatísticas de preços de habitação ao nível local; transações reais.</x:v>
      </x:c>
      <x:c r="H7" s="43" t="str">
        <x:v>https://www.ine.pt/xportal/xmain?DESTAQUESdest_boui=706274558&amp;DESTAQUESmodo=2&amp;xlang=pt&amp;xpgid=ine_destaques&amp;xpid=INE</x:v>
      </x:c>
    </x:row>
    <x:row r="8">
      <x:c r="A8" s="82" t="str">
        <x:v>Benchmark Portugal · oferta</x:v>
      </x:c>
      <x:c r="B8" s="71" t="n">
        <x:f>XLOOKUP("Portugal",Benchmark_Mercado!$D$2:$D$7,Benchmark_Mercado!$F$2:$F$7)</x:f>
        <x:v>3121</x:v>
      </x:c>
      <x:c r="C8" s="43" t="str">
        <x:v>Benchmark_Mercado</x:v>
      </x:c>
      <x:c r="D8" s="43" t="str">
        <x:v>Base macro; usado apenas para enquadramento.</x:v>
      </x:c>
    </x:row>
    <x:row r="9">
      <x:c r="A9" s="82" t="str">
        <x:v>The View vs Olhão</x:v>
      </x:c>
      <x:c r="B9" s="72" t="n">
        <x:f>B4/B6-1</x:f>
        <x:v>0.23441390028014686</x:v>
      </x:c>
      <x:c r="C9" s="43" t="str">
        <x:v>Mediana The View / Olhão - 1</x:v>
      </x:c>
      <x:c r="D9" s="43" t="str">
        <x:v>Mostra o prémio local.</x:v>
      </x:c>
    </x:row>
    <x:row r="10">
      <x:c r="A10" s="82" t="str">
        <x:v>The View vs Algarve</x:v>
      </x:c>
      <x:c r="B10" s="72" t="n">
        <x:f>B4/B7-1</x:f>
        <x:v>0.004096714595549722</x:v>
      </x:c>
      <x:c r="C10" s="43" t="str">
        <x:v>Mediana The View / Algarve - 1</x:v>
      </x:c>
      <x:c r="D10" s="43" t="str">
        <x:v>Mostra o posicionamento regional.</x:v>
      </x:c>
    </x:row>
    <x:row r="11">
      <x:c r="A11" s="82" t="str">
        <x:v>The View vs Portugal</x:v>
      </x:c>
      <x:c r="B11" s="72" t="n">
        <x:f>B4/B8-1</x:f>
        <x:v>0.28978651996589533</x:v>
      </x:c>
      <x:c r="C11" s="43" t="str">
        <x:v>Mediana The View / Portugal - 1</x:v>
      </x:c>
      <x:c r="D11" s="43" t="str">
        <x:v>Mostra o prémio macro.</x:v>
      </x:c>
    </x:row>
    <x:row r="13">
      <x:c r="A13" s="78" t="str">
        <x:v>Recomendação analítica</x:v>
      </x:c>
      <x:c r="B13" t="str"/>
      <x:c r="C13" t="str"/>
      <x:c r="D13" t="str"/>
      <x:c r="E13" t="str"/>
      <x:c r="F13" t="str"/>
      <x:c r="G13" t="str"/>
      <x:c r="H13" t="str"/>
    </x:row>
    <x:row r="14">
      <x:c r="A14" s="43" t="str">
        <x:v>1</x:v>
      </x:c>
      <x:c r="B14" s="43" t="str">
        <x:v>Não misturar benchmarks macro/regionais com concorrentes diretos.</x:v>
      </x:c>
      <x:c r="C14" s="43" t="str">
        <x:v>Olhão, Algarve e Portugal devem validar o posicionamento, não calcular o preço de cada fração.</x:v>
      </x:c>
    </x:row>
    <x:row r="15">
      <x:c r="A15" s="43" t="str">
        <x:v>2</x:v>
      </x:c>
      <x:c r="B15" s="43" t="str">
        <x:v>Manter penalização do Le Parc e dos dados 2024.</x:v>
      </x:c>
      <x:c r="C15" s="43" t="str">
        <x:v>O compset continua útil, mas precisa de peso menor quando o dado é antigo ou menos premium.</x:v>
      </x:c>
    </x:row>
    <x:row r="16">
      <x:c r="A16" s="43" t="str">
        <x:v>3</x:v>
      </x:c>
      <x:c r="B16" s="43" t="str">
        <x:v>Reforçar compset T1+1, T2+1 e Duplex.</x:v>
      </x:c>
      <x:c r="C16" s="43" t="str">
        <x:v>Estas tipologias têm pouca ou nenhuma concorrência direta; recomendação deve depender mais da coerência interna.</x:v>
      </x:c>
    </x:row>
    <x:row r="17">
      <x:c r="A17" s="43" t="str">
        <x:v>4</x:v>
      </x:c>
      <x:c r="B17" s="43" t="str">
        <x:v>Usar o benchmark Olhão para narrativa comercial.</x:v>
      </x:c>
      <x:c r="C17" s="43" t="str">
        <x:v>The View pode justificar prémio se o produto for novo, premium, com localização/vista/áreas exteriores superiores.</x:v>
      </x:c>
    </x:row>
    <x:row r="18">
      <x:c r="A18" s="43" t="str">
        <x:v>5</x:v>
      </x:c>
      <x:c r="B18" s="43" t="str">
        <x:v>Diferenciar oferta de transação.</x:v>
      </x:c>
      <x:c r="C18" s="43" t="str">
        <x:v>Idealista é preço pedido/oferta; INE é preço transacionado. São leituras complementares.</x:v>
      </x:c>
    </x:row>
    <x:row r="21">
      <x:c r="A21" s="94" t="str">
        <x:v>Saramago 2024 · leitura rápida</x:v>
      </x:c>
      <x:c r="B21" t="str"/>
      <x:c r="C21" t="str"/>
      <x:c r="D21" t="str"/>
    </x:row>
    <x:row r="22">
      <x:c r="A22" s="43" t="str">
        <x:v>Linhas adicionadas</x:v>
      </x:c>
      <x:c r="B22" s="43" t="n">
        <x:v>25</x:v>
      </x:c>
      <x:c r="C22" s="43" t="str">
        <x:v>Dados!A174:AB198</x:v>
      </x:c>
      <x:c r="D22" s="43" t="str">
        <x:v>Apenas linhas com preço numérico foram adicionadas.</x:v>
      </x:c>
    </x:row>
    <x:row r="23">
      <x:c r="A23" s="43" t="str">
        <x:v>Mediana €/m² c/ exterior</x:v>
      </x:c>
      <x:c r="B23" s="71" t="n">
        <x:f>MEDIAN(Saramago_2024_Convertido!$L$2:$L$26)</x:f>
        <x:v>3486.646884272997</x:v>
      </x:c>
      <x:c r="C23" s="43" t="str">
        <x:v>MEDIAN(Saramago_2024_Convertido[€/m² com varanda/terraço])</x:v>
      </x:c>
      <x:c r="D23" s="43" t="str">
        <x:v>Benchmark local histórico 2024.</x:v>
      </x:c>
    </x:row>
    <x:row r="24">
      <x:c r="A24" s="43" t="str">
        <x:v>Status</x:v>
      </x:c>
      <x:c r="B24" s="43" t="str">
        <x:v>Histórico</x:v>
      </x:c>
      <x:c r="C24" s="43" t="str">
        <x:v>Tabela 2024</x:v>
      </x:c>
      <x:c r="D24" s="43" t="str">
        <x:v>Atualizar antes de decisão final.</x:v>
      </x:c>
    </x:row>
    <x:row r="25">
      <x:c r="A25" s="43" t="str">
        <x:v>Peso comparável</x:v>
      </x:c>
      <x:c r="B25" s="53" t="n">
        <x:v>0.45</x:v>
      </x:c>
      <x:c r="C25" s="43" t="str">
        <x:v>Ano 2024 + benchmark local</x:v>
      </x:c>
      <x:c r="D25" s="43" t="str">
        <x:v>Reduz impacto no modelo.</x:v>
      </x:c>
    </x:row>
    <x:row r="26">
      <x:c r="A26" s="43" t="str">
        <x:v>Limitação</x:v>
      </x:c>
      <x:c r="B26" s="43" t="str">
        <x:v>Sem vista/orientação</x:v>
      </x:c>
      <x:c r="C26" s="43" t="str">
        <x:v>Vista=N/D</x:v>
      </x:c>
      <x:c r="D26" s="43" t="str">
        <x:v>Não deve entrar como concorrente direto por vista.</x:v>
      </x:c>
    </x:row>
  </x:sheetData>
  <x:mergeCells>
    <x:mergeCell ref="A1:H1"/>
    <x:mergeCell ref="A13:H13"/>
    <x:mergeCell ref="F3:H3"/>
    <x:mergeCell ref="A21:D21"/>
  </x:mergeCells>
  <x:conditionalFormatting sqref="B9:B11">
    <x:cfRule type="cellIs" dxfId="6" priority="1" operator="greater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12" hidden="0" customWidth="1"/>
    <x:col min="4" max="4" width="12" hidden="0" customWidth="1"/>
    <x:col min="5" max="5" width="10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8" hidden="0" customWidth="1"/>
  </x:cols>
  <x:sheetData>
    <x:row r="1">
      <x:c r="A1" s="92" t="str">
        <x:v>Empreendimento</x:v>
      </x:c>
      <x:c r="B1" s="92" t="str">
        <x:v>Fração</x:v>
      </x:c>
      <x:c r="C1" s="92" t="str">
        <x:v>Piso</x:v>
      </x:c>
      <x:c r="D1" s="92" t="str">
        <x:v>Tipologia</x:v>
      </x:c>
      <x:c r="E1" s="92" t="str">
        <x:v>Vista</x:v>
      </x:c>
      <x:c r="F1" s="92" t="str">
        <x:v>ABP</x:v>
      </x:c>
      <x:c r="G1" s="92" t="str">
        <x:v>Varanda/Terraço</x:v>
      </x:c>
      <x:c r="H1" s="92" t="str">
        <x:v>Área Total</x:v>
      </x:c>
      <x:c r="I1" s="92" t="str">
        <x:v>PVP</x:v>
      </x:c>
      <x:c r="J1" s="92" t="str">
        <x:v>Ano Referência</x:v>
      </x:c>
      <x:c r="K1" s="92" t="str">
        <x:v>€/m² sem varanda</x:v>
      </x:c>
      <x:c r="L1" s="92" t="str">
        <x:v>€/m² com varanda/terraço</x:v>
      </x:c>
      <x:c r="M1" s="92" t="str">
        <x:v>Peso comparável</x:v>
      </x:c>
      <x:c r="N1" s="92" t="str">
        <x:v>Observação</x:v>
      </x:c>
    </x:row>
    <x:row r="2">
      <x:c r="A2" s="43" t="str">
        <x:v>Saramago Condomínio</x:v>
      </x:c>
      <x:c r="B2" s="43" t="str">
        <x:v>A0D</x:v>
      </x:c>
      <x:c r="C2" s="43" t="n">
        <x:v>0</x:v>
      </x:c>
      <x:c r="D2" s="43" t="str">
        <x:v>T2</x:v>
      </x:c>
      <x:c r="E2" s="43" t="str">
        <x:v>N/D</x:v>
      </x:c>
      <x:c r="F2" s="85" t="n">
        <x:v>91.55</x:v>
      </x:c>
      <x:c r="G2" s="85" t="n">
        <x:v>38.85</x:v>
      </x:c>
      <x:c r="H2" s="85" t="n">
        <x:v>130.4</x:v>
      </x:c>
      <x:c r="I2" s="86" t="n">
        <x:v>400000</x:v>
      </x:c>
      <x:c r="J2" s="85" t="n">
        <x:v>2024</x:v>
      </x:c>
      <x:c r="K2" s="85" t="n">
        <x:v>4369.197160021846</x:v>
      </x:c>
      <x:c r="L2" s="85" t="n">
        <x:v>3067.484662576687</x:v>
      </x:c>
      <x:c r="M2" s="53" t="n">
        <x:v>0.45</x:v>
      </x:c>
      <x:c r="N2" s="43" t="str">
        <x:v>Tabela de preços 2024. Sem orientação/vista por fração; usar como benchmark local, não como concorrente direto premium.</x:v>
      </x:c>
    </x:row>
    <x:row r="3">
      <x:c r="A3" s="43" t="str">
        <x:v>Saramago Condomínio</x:v>
      </x:c>
      <x:c r="B3" s="43" t="str">
        <x:v>A0E</x:v>
      </x:c>
      <x:c r="C3" s="43" t="n">
        <x:v>0</x:v>
      </x:c>
      <x:c r="D3" s="43" t="str">
        <x:v>T3</x:v>
      </x:c>
      <x:c r="E3" s="43" t="str">
        <x:v>N/D</x:v>
      </x:c>
      <x:c r="F3" s="85" t="n">
        <x:v>110.1</x:v>
      </x:c>
      <x:c r="G3" s="85" t="n">
        <x:v>44.2</x:v>
      </x:c>
      <x:c r="H3" s="85" t="n">
        <x:v>154.3</x:v>
      </x:c>
      <x:c r="I3" s="86" t="n">
        <x:v>500000</x:v>
      </x:c>
      <x:c r="J3" s="85" t="n">
        <x:v>2024</x:v>
      </x:c>
      <x:c r="K3" s="85" t="n">
        <x:v>4541.326067211626</x:v>
      </x:c>
      <x:c r="L3" s="85" t="n">
        <x:v>3240.440699935191</x:v>
      </x:c>
      <x:c r="M3" s="53" t="n">
        <x:v>0.45</x:v>
      </x:c>
      <x:c r="N3" s="43" t="str">
        <x:v>Tabela de preços 2024. Sem orientação/vista por fração; usar como benchmark local, não como concorrente direto premium.</x:v>
      </x:c>
    </x:row>
    <x:row r="4">
      <x:c r="A4" s="43" t="str">
        <x:v>Saramago Condomínio</x:v>
      </x:c>
      <x:c r="B4" s="43" t="str">
        <x:v>B0D</x:v>
      </x:c>
      <x:c r="C4" s="43" t="n">
        <x:v>0</x:v>
      </x:c>
      <x:c r="D4" s="43" t="str">
        <x:v>T3</x:v>
      </x:c>
      <x:c r="E4" s="43" t="str">
        <x:v>N/D</x:v>
      </x:c>
      <x:c r="F4" s="85" t="n">
        <x:v>111.1</x:v>
      </x:c>
      <x:c r="G4" s="85" t="n">
        <x:v>44.2</x:v>
      </x:c>
      <x:c r="H4" s="85" t="n">
        <x:v>155.3</x:v>
      </x:c>
      <x:c r="I4" s="86" t="n">
        <x:v>490000</x:v>
      </x:c>
      <x:c r="J4" s="85" t="n">
        <x:v>2024</x:v>
      </x:c>
      <x:c r="K4" s="85" t="n">
        <x:v>4410.441044104411</x:v>
      </x:c>
      <x:c r="L4" s="85" t="n">
        <x:v>3155.1835157759174</x:v>
      </x:c>
      <x:c r="M4" s="53" t="n">
        <x:v>0.45</x:v>
      </x:c>
      <x:c r="N4" s="43" t="str">
        <x:v>Tabela de preços 2024. Sem orientação/vista por fração; usar como benchmark local, não como concorrente direto premium.</x:v>
      </x:c>
    </x:row>
    <x:row r="5">
      <x:c r="A5" s="43" t="str">
        <x:v>Saramago Condomínio</x:v>
      </x:c>
      <x:c r="B5" s="43" t="str">
        <x:v>C0D</x:v>
      </x:c>
      <x:c r="C5" s="43" t="n">
        <x:v>0</x:v>
      </x:c>
      <x:c r="D5" s="43" t="str">
        <x:v>T3</x:v>
      </x:c>
      <x:c r="E5" s="43" t="str">
        <x:v>N/D</x:v>
      </x:c>
      <x:c r="F5" s="85" t="n">
        <x:v>111.1</x:v>
      </x:c>
      <x:c r="G5" s="85" t="n">
        <x:v>44.2</x:v>
      </x:c>
      <x:c r="H5" s="85" t="n">
        <x:v>155.3</x:v>
      </x:c>
      <x:c r="I5" s="86" t="n">
        <x:v>500000</x:v>
      </x:c>
      <x:c r="J5" s="85" t="n">
        <x:v>2024</x:v>
      </x:c>
      <x:c r="K5" s="85" t="n">
        <x:v>4500.450045004501</x:v>
      </x:c>
      <x:c r="L5" s="85" t="n">
        <x:v>3219.575016097875</x:v>
      </x:c>
      <x:c r="M5" s="53" t="n">
        <x:v>0.45</x:v>
      </x:c>
      <x:c r="N5" s="43" t="str">
        <x:v>Tabela de preços 2024. Sem orientação/vista por fração; usar como benchmark local, não como concorrente direto premium.</x:v>
      </x:c>
    </x:row>
    <x:row r="6">
      <x:c r="A6" s="43" t="str">
        <x:v>Saramago Condomínio</x:v>
      </x:c>
      <x:c r="B6" s="43" t="str">
        <x:v>C0E</x:v>
      </x:c>
      <x:c r="C6" s="43" t="n">
        <x:v>0</x:v>
      </x:c>
      <x:c r="D6" s="43" t="str">
        <x:v>T2</x:v>
      </x:c>
      <x:c r="E6" s="43" t="str">
        <x:v>N/D</x:v>
      </x:c>
      <x:c r="F6" s="85" t="n">
        <x:v>91.55</x:v>
      </x:c>
      <x:c r="G6" s="85" t="n">
        <x:v>38.6</x:v>
      </x:c>
      <x:c r="H6" s="85" t="n">
        <x:v>130.15</x:v>
      </x:c>
      <x:c r="I6" s="86" t="n">
        <x:v>400000</x:v>
      </x:c>
      <x:c r="J6" s="85" t="n">
        <x:v>2024</x:v>
      </x:c>
      <x:c r="K6" s="85" t="n">
        <x:v>4369.197160021846</x:v>
      </x:c>
      <x:c r="L6" s="85" t="n">
        <x:v>3073.376872839032</x:v>
      </x:c>
      <x:c r="M6" s="53" t="n">
        <x:v>0.45</x:v>
      </x:c>
      <x:c r="N6" s="43" t="str">
        <x:v>Tabela de preços 2024. Sem orientação/vista por fração; usar como benchmark local, não como concorrente direto premium.</x:v>
      </x:c>
    </x:row>
    <x:row r="7">
      <x:c r="A7" s="43" t="str">
        <x:v>Saramago Condomínio</x:v>
      </x:c>
      <x:c r="B7" s="43" t="str">
        <x:v>A1D</x:v>
      </x:c>
      <x:c r="C7" s="43" t="n">
        <x:v>1</x:v>
      </x:c>
      <x:c r="D7" s="43" t="str">
        <x:v>T2</x:v>
      </x:c>
      <x:c r="E7" s="43" t="str">
        <x:v>N/D</x:v>
      </x:c>
      <x:c r="F7" s="85" t="n">
        <x:v>101.2</x:v>
      </x:c>
      <x:c r="G7" s="85" t="n">
        <x:v>21.9</x:v>
      </x:c>
      <x:c r="H7" s="85" t="n">
        <x:v>123.1</x:v>
      </x:c>
      <x:c r="I7" s="86" t="n">
        <x:v>400000</x:v>
      </x:c>
      <x:c r="J7" s="85" t="n">
        <x:v>2024</x:v>
      </x:c>
      <x:c r="K7" s="85" t="n">
        <x:v>3952.569169960474</x:v>
      </x:c>
      <x:c r="L7" s="85" t="n">
        <x:v>3249.3907392363935</x:v>
      </x:c>
      <x:c r="M7" s="53" t="n">
        <x:v>0.45</x:v>
      </x:c>
      <x:c r="N7" s="43" t="str">
        <x:v>Tabela de preços 2024. Sem orientação/vista por fração; usar como benchmark local, não como concorrente direto premium.</x:v>
      </x:c>
    </x:row>
    <x:row r="8">
      <x:c r="A8" s="43" t="str">
        <x:v>Saramago Condomínio</x:v>
      </x:c>
      <x:c r="B8" s="43" t="str">
        <x:v>A1EF</x:v>
      </x:c>
      <x:c r="C8" s="43" t="n">
        <x:v>1</x:v>
      </x:c>
      <x:c r="D8" s="43" t="str">
        <x:v>T1</x:v>
      </x:c>
      <x:c r="E8" s="43" t="str">
        <x:v>N/D</x:v>
      </x:c>
      <x:c r="F8" s="85" t="n">
        <x:v>57</x:v>
      </x:c>
      <x:c r="G8" s="85" t="n">
        <x:v>9.85</x:v>
      </x:c>
      <x:c r="H8" s="85" t="n">
        <x:v>66.85</x:v>
      </x:c>
      <x:c r="I8" s="86" t="n">
        <x:v>280000</x:v>
      </x:c>
      <x:c r="J8" s="85" t="n">
        <x:v>2024</x:v>
      </x:c>
      <x:c r="K8" s="85" t="n">
        <x:v>4912.2807017543855</x:v>
      </x:c>
      <x:c r="L8" s="85" t="n">
        <x:v>4188.481675392671</x:v>
      </x:c>
      <x:c r="M8" s="53" t="n">
        <x:v>0.45</x:v>
      </x:c>
      <x:c r="N8" s="43" t="str">
        <x:v>Tabela de preços 2024. Sem orientação/vista por fração; usar como benchmark local, não como concorrente direto premium.</x:v>
      </x:c>
    </x:row>
    <x:row r="9">
      <x:c r="A9" s="43" t="str">
        <x:v>Saramago Condomínio</x:v>
      </x:c>
      <x:c r="B9" s="43" t="str">
        <x:v>B1DF</x:v>
      </x:c>
      <x:c r="C9" s="43" t="n">
        <x:v>1</x:v>
      </x:c>
      <x:c r="D9" s="43" t="str">
        <x:v>T1</x:v>
      </x:c>
      <x:c r="E9" s="43" t="str">
        <x:v>N/D</x:v>
      </x:c>
      <x:c r="F9" s="85" t="n">
        <x:v>57</x:v>
      </x:c>
      <x:c r="G9" s="85" t="n">
        <x:v>9</x:v>
      </x:c>
      <x:c r="H9" s="85" t="n">
        <x:v>66</x:v>
      </x:c>
      <x:c r="I9" s="86" t="n">
        <x:v>275000</x:v>
      </x:c>
      <x:c r="J9" s="85" t="n">
        <x:v>2024</x:v>
      </x:c>
      <x:c r="K9" s="85" t="n">
        <x:v>4824.561403508772</x:v>
      </x:c>
      <x:c r="L9" s="85" t="n">
        <x:v>4166.666666666667</x:v>
      </x:c>
      <x:c r="M9" s="53" t="n">
        <x:v>0.45</x:v>
      </x:c>
      <x:c r="N9" s="43" t="str">
        <x:v>Tabela de preços 2024. Sem orientação/vista por fração; usar como benchmark local, não como concorrente direto premium.</x:v>
      </x:c>
    </x:row>
    <x:row r="10">
      <x:c r="A10" s="43" t="str">
        <x:v>Saramago Condomínio</x:v>
      </x:c>
      <x:c r="B10" s="43" t="str">
        <x:v>B1E</x:v>
      </x:c>
      <x:c r="C10" s="43" t="n">
        <x:v>1</x:v>
      </x:c>
      <x:c r="D10" s="43" t="str">
        <x:v>T2</x:v>
      </x:c>
      <x:c r="E10" s="43" t="str">
        <x:v>N/D</x:v>
      </x:c>
      <x:c r="F10" s="85" t="n">
        <x:v>99.6</x:v>
      </x:c>
      <x:c r="G10" s="85" t="n">
        <x:v>18.45</x:v>
      </x:c>
      <x:c r="H10" s="85" t="n">
        <x:v>118.05</x:v>
      </x:c>
      <x:c r="I10" s="86" t="n">
        <x:v>380000</x:v>
      </x:c>
      <x:c r="J10" s="85" t="n">
        <x:v>2024</x:v>
      </x:c>
      <x:c r="K10" s="85" t="n">
        <x:v>3815.261044176707</x:v>
      </x:c>
      <x:c r="L10" s="85" t="n">
        <x:v>3218.9750105887338</x:v>
      </x:c>
      <x:c r="M10" s="53" t="n">
        <x:v>0.45</x:v>
      </x:c>
      <x:c r="N10" s="43" t="str">
        <x:v>Tabela de preços 2024. Sem orientação/vista por fração; usar como benchmark local, não como concorrente direto premium.</x:v>
      </x:c>
    </x:row>
    <x:row r="11">
      <x:c r="A11" s="43" t="str">
        <x:v>Saramago Condomínio</x:v>
      </x:c>
      <x:c r="B11" s="43" t="str">
        <x:v>C1DF</x:v>
      </x:c>
      <x:c r="C11" s="43" t="n">
        <x:v>1</x:v>
      </x:c>
      <x:c r="D11" s="43" t="str">
        <x:v>T1</x:v>
      </x:c>
      <x:c r="E11" s="43" t="str">
        <x:v>N/D</x:v>
      </x:c>
      <x:c r="F11" s="85" t="n">
        <x:v>57</x:v>
      </x:c>
      <x:c r="G11" s="85" t="n">
        <x:v>9.95</x:v>
      </x:c>
      <x:c r="H11" s="85" t="n">
        <x:v>66.95</x:v>
      </x:c>
      <x:c r="I11" s="86" t="n">
        <x:v>275000</x:v>
      </x:c>
      <x:c r="J11" s="85" t="n">
        <x:v>2024</x:v>
      </x:c>
      <x:c r="K11" s="85" t="n">
        <x:v>4824.561403508772</x:v>
      </x:c>
      <x:c r="L11" s="85" t="n">
        <x:v>4107.542942494399</x:v>
      </x:c>
      <x:c r="M11" s="53" t="n">
        <x:v>0.45</x:v>
      </x:c>
      <x:c r="N11" s="43" t="str">
        <x:v>Tabela de preços 2024. Sem orientação/vista por fração; usar como benchmark local, não como concorrente direto premium.</x:v>
      </x:c>
    </x:row>
    <x:row r="12">
      <x:c r="A12" s="43" t="str">
        <x:v>Saramago Condomínio</x:v>
      </x:c>
      <x:c r="B12" s="43" t="str">
        <x:v>C1E</x:v>
      </x:c>
      <x:c r="C12" s="43" t="n">
        <x:v>1</x:v>
      </x:c>
      <x:c r="D12" s="43" t="str">
        <x:v>T2</x:v>
      </x:c>
      <x:c r="E12" s="43" t="str">
        <x:v>N/D</x:v>
      </x:c>
      <x:c r="F12" s="85" t="n">
        <x:v>101.2</x:v>
      </x:c>
      <x:c r="G12" s="85" t="n">
        <x:v>31.9</x:v>
      </x:c>
      <x:c r="H12" s="85" t="n">
        <x:v>133.1</x:v>
      </x:c>
      <x:c r="I12" s="86" t="n">
        <x:v>385000</x:v>
      </x:c>
      <x:c r="J12" s="85" t="n">
        <x:v>2024</x:v>
      </x:c>
      <x:c r="K12" s="85" t="n">
        <x:v>3804.3478260869565</x:v>
      </x:c>
      <x:c r="L12" s="85" t="n">
        <x:v>2892.5619834710747</x:v>
      </x:c>
      <x:c r="M12" s="53" t="n">
        <x:v>0.45</x:v>
      </x:c>
      <x:c r="N12" s="43" t="str">
        <x:v>Tabela de preços 2024. Sem orientação/vista por fração; usar como benchmark local, não como concorrente direto premium.</x:v>
      </x:c>
    </x:row>
    <x:row r="13">
      <x:c r="A13" s="43" t="str">
        <x:v>Saramago Condomínio</x:v>
      </x:c>
      <x:c r="B13" s="43" t="str">
        <x:v>A2D</x:v>
      </x:c>
      <x:c r="C13" s="43" t="n">
        <x:v>2</x:v>
      </x:c>
      <x:c r="D13" s="43" t="str">
        <x:v>T2</x:v>
      </x:c>
      <x:c r="E13" s="43" t="str">
        <x:v>N/D</x:v>
      </x:c>
      <x:c r="F13" s="85" t="n">
        <x:v>101.2</x:v>
      </x:c>
      <x:c r="G13" s="85" t="n">
        <x:v>22.55</x:v>
      </x:c>
      <x:c r="H13" s="85" t="n">
        <x:v>123.75</x:v>
      </x:c>
      <x:c r="I13" s="86" t="n">
        <x:v>400000</x:v>
      </x:c>
      <x:c r="J13" s="85" t="n">
        <x:v>2024</x:v>
      </x:c>
      <x:c r="K13" s="85" t="n">
        <x:v>3952.569169960474</x:v>
      </x:c>
      <x:c r="L13" s="85" t="n">
        <x:v>3232.3232323232323</x:v>
      </x:c>
      <x:c r="M13" s="53" t="n">
        <x:v>0.45</x:v>
      </x:c>
      <x:c r="N13" s="43" t="str">
        <x:v>Tabela de preços 2024. Sem orientação/vista por fração; usar como benchmark local, não como concorrente direto premium.</x:v>
      </x:c>
    </x:row>
    <x:row r="14">
      <x:c r="A14" s="43" t="str">
        <x:v>Saramago Condomínio</x:v>
      </x:c>
      <x:c r="B14" s="43" t="str">
        <x:v>A2EF</x:v>
      </x:c>
      <x:c r="C14" s="43" t="n">
        <x:v>2</x:v>
      </x:c>
      <x:c r="D14" s="43" t="str">
        <x:v>T1</x:v>
      </x:c>
      <x:c r="E14" s="43" t="str">
        <x:v>N/D</x:v>
      </x:c>
      <x:c r="F14" s="85" t="n">
        <x:v>57</x:v>
      </x:c>
      <x:c r="G14" s="85" t="n">
        <x:v>9</x:v>
      </x:c>
      <x:c r="H14" s="85" t="n">
        <x:v>66</x:v>
      </x:c>
      <x:c r="I14" s="86" t="n">
        <x:v>285000</x:v>
      </x:c>
      <x:c r="J14" s="85" t="n">
        <x:v>2024</x:v>
      </x:c>
      <x:c r="K14" s="85" t="n">
        <x:v>5000</x:v>
      </x:c>
      <x:c r="L14" s="85" t="n">
        <x:v>4318.181818181818</x:v>
      </x:c>
      <x:c r="M14" s="53" t="n">
        <x:v>0.45</x:v>
      </x:c>
      <x:c r="N14" s="43" t="str">
        <x:v>Tabela de preços 2024. Sem orientação/vista por fração; usar como benchmark local, não como concorrente direto premium.</x:v>
      </x:c>
    </x:row>
    <x:row r="15">
      <x:c r="A15" s="43" t="str">
        <x:v>Saramago Condomínio</x:v>
      </x:c>
      <x:c r="B15" s="43" t="str">
        <x:v>B2DF</x:v>
      </x:c>
      <x:c r="C15" s="43" t="n">
        <x:v>2</x:v>
      </x:c>
      <x:c r="D15" s="43" t="str">
        <x:v>T1</x:v>
      </x:c>
      <x:c r="E15" s="43" t="str">
        <x:v>N/D</x:v>
      </x:c>
      <x:c r="F15" s="85" t="n">
        <x:v>57</x:v>
      </x:c>
      <x:c r="G15" s="85" t="n">
        <x:v>9.85</x:v>
      </x:c>
      <x:c r="H15" s="85" t="n">
        <x:v>66.85</x:v>
      </x:c>
      <x:c r="I15" s="86" t="n">
        <x:v>290000</x:v>
      </x:c>
      <x:c r="J15" s="85" t="n">
        <x:v>2024</x:v>
      </x:c>
      <x:c r="K15" s="85" t="n">
        <x:v>5087.7192982456145</x:v>
      </x:c>
      <x:c r="L15" s="85" t="n">
        <x:v>4338.070306656695</x:v>
      </x:c>
      <x:c r="M15" s="53" t="n">
        <x:v>0.45</x:v>
      </x:c>
      <x:c r="N15" s="43" t="str">
        <x:v>Tabela de preços 2024. Sem orientação/vista por fração; usar como benchmark local, não como concorrente direto premium.</x:v>
      </x:c>
    </x:row>
    <x:row r="16">
      <x:c r="A16" s="43" t="str">
        <x:v>Saramago Condomínio</x:v>
      </x:c>
      <x:c r="B16" s="43" t="str">
        <x:v>B2E</x:v>
      </x:c>
      <x:c r="C16" s="43" t="n">
        <x:v>2</x:v>
      </x:c>
      <x:c r="D16" s="43" t="str">
        <x:v>T2</x:v>
      </x:c>
      <x:c r="E16" s="43" t="str">
        <x:v>N/D</x:v>
      </x:c>
      <x:c r="F16" s="85" t="n">
        <x:v>99.6</x:v>
      </x:c>
      <x:c r="G16" s="85" t="n">
        <x:v>19.6</x:v>
      </x:c>
      <x:c r="H16" s="85" t="n">
        <x:v>119.19999999999999</x:v>
      </x:c>
      <x:c r="I16" s="86" t="n">
        <x:v>405000</x:v>
      </x:c>
      <x:c r="J16" s="85" t="n">
        <x:v>2024</x:v>
      </x:c>
      <x:c r="K16" s="85" t="n">
        <x:v>4066.265060240964</x:v>
      </x:c>
      <x:c r="L16" s="85" t="n">
        <x:v>3397.6510067114095</x:v>
      </x:c>
      <x:c r="M16" s="53" t="n">
        <x:v>0.45</x:v>
      </x:c>
      <x:c r="N16" s="43" t="str">
        <x:v>Tabela de preços 2024. Sem orientação/vista por fração; usar como benchmark local, não como concorrente direto premium.</x:v>
      </x:c>
    </x:row>
    <x:row r="17">
      <x:c r="A17" s="43" t="str">
        <x:v>Saramago Condomínio</x:v>
      </x:c>
      <x:c r="B17" s="43" t="str">
        <x:v>C2DT</x:v>
      </x:c>
      <x:c r="C17" s="43" t="n">
        <x:v>2</x:v>
      </x:c>
      <x:c r="D17" s="43" t="str">
        <x:v>T1</x:v>
      </x:c>
      <x:c r="E17" s="43" t="str">
        <x:v>N/D</x:v>
      </x:c>
      <x:c r="F17" s="85" t="n">
        <x:v>55.85</x:v>
      </x:c>
      <x:c r="G17" s="85" t="n">
        <x:v>11.1</x:v>
      </x:c>
      <x:c r="H17" s="85" t="n">
        <x:v>66.95</x:v>
      </x:c>
      <x:c r="I17" s="86" t="n">
        <x:v>215000</x:v>
      </x:c>
      <x:c r="J17" s="85" t="n">
        <x:v>2024</x:v>
      </x:c>
      <x:c r="K17" s="85" t="n">
        <x:v>3849.5971351835274</x:v>
      </x:c>
      <x:c r="L17" s="85" t="n">
        <x:v>3211.351755041075</x:v>
      </x:c>
      <x:c r="M17" s="53" t="n">
        <x:v>0.45</x:v>
      </x:c>
      <x:c r="N17" s="43" t="str">
        <x:v>Tabela de preços 2024. Sem orientação/vista por fração; usar como benchmark local, não como concorrente direto premium.</x:v>
      </x:c>
    </x:row>
    <x:row r="18">
      <x:c r="A18" s="43" t="str">
        <x:v>Saramago Condomínio</x:v>
      </x:c>
      <x:c r="B18" s="43" t="str">
        <x:v>A3D</x:v>
      </x:c>
      <x:c r="C18" s="43" t="n">
        <x:v>3</x:v>
      </x:c>
      <x:c r="D18" s="43" t="str">
        <x:v>T2</x:v>
      </x:c>
      <x:c r="E18" s="43" t="str">
        <x:v>N/D</x:v>
      </x:c>
      <x:c r="F18" s="85" t="n">
        <x:v>101.2</x:v>
      </x:c>
      <x:c r="G18" s="85" t="n">
        <x:v>21.9</x:v>
      </x:c>
      <x:c r="H18" s="85" t="n">
        <x:v>123.1</x:v>
      </x:c>
      <x:c r="I18" s="86" t="n">
        <x:v>415000</x:v>
      </x:c>
      <x:c r="J18" s="85" t="n">
        <x:v>2024</x:v>
      </x:c>
      <x:c r="K18" s="85" t="n">
        <x:v>4100.790513833992</x:v>
      </x:c>
      <x:c r="L18" s="85" t="n">
        <x:v>3371.2428919577583</x:v>
      </x:c>
      <x:c r="M18" s="53" t="n">
        <x:v>0.45</x:v>
      </x:c>
      <x:c r="N18" s="43" t="str">
        <x:v>Tabela de preços 2024. Sem orientação/vista por fração; usar como benchmark local, não como concorrente direto premium.</x:v>
      </x:c>
    </x:row>
    <x:row r="19">
      <x:c r="A19" s="43" t="str">
        <x:v>Saramago Condomínio</x:v>
      </x:c>
      <x:c r="B19" s="43" t="str">
        <x:v>A3ET</x:v>
      </x:c>
      <x:c r="C19" s="43" t="n">
        <x:v>3</x:v>
      </x:c>
      <x:c r="D19" s="43" t="str">
        <x:v>T1</x:v>
      </x:c>
      <x:c r="E19" s="43" t="str">
        <x:v>N/D</x:v>
      </x:c>
      <x:c r="F19" s="85" t="n">
        <x:v>55.85</x:v>
      </x:c>
      <x:c r="G19" s="85" t="n">
        <x:v>11.1</x:v>
      </x:c>
      <x:c r="H19" s="85" t="n">
        <x:v>66.95</x:v>
      </x:c>
      <x:c r="I19" s="86" t="n">
        <x:v>235000</x:v>
      </x:c>
      <x:c r="J19" s="85" t="n">
        <x:v>2024</x:v>
      </x:c>
      <x:c r="K19" s="85" t="n">
        <x:v>4207.699194270367</x:v>
      </x:c>
      <x:c r="L19" s="85" t="n">
        <x:v>3510.0821508588497</x:v>
      </x:c>
      <x:c r="M19" s="53" t="n">
        <x:v>0.45</x:v>
      </x:c>
      <x:c r="N19" s="43" t="str">
        <x:v>Tabela de preços 2024. Sem orientação/vista por fração; usar como benchmark local, não como concorrente direto premium.</x:v>
      </x:c>
    </x:row>
    <x:row r="20">
      <x:c r="A20" s="43" t="str">
        <x:v>Saramago Condomínio</x:v>
      </x:c>
      <x:c r="B20" s="43" t="str">
        <x:v>A3EF</x:v>
      </x:c>
      <x:c r="C20" s="43" t="n">
        <x:v>3</x:v>
      </x:c>
      <x:c r="D20" s="43" t="str">
        <x:v>T1</x:v>
      </x:c>
      <x:c r="E20" s="43" t="str">
        <x:v>N/D</x:v>
      </x:c>
      <x:c r="F20" s="85" t="n">
        <x:v>57</x:v>
      </x:c>
      <x:c r="G20" s="85" t="n">
        <x:v>9.85</x:v>
      </x:c>
      <x:c r="H20" s="85" t="n">
        <x:v>66.85</x:v>
      </x:c>
      <x:c r="I20" s="86" t="n">
        <x:v>295000</x:v>
      </x:c>
      <x:c r="J20" s="85" t="n">
        <x:v>2024</x:v>
      </x:c>
      <x:c r="K20" s="85" t="n">
        <x:v>5175.438596491228</x:v>
      </x:c>
      <x:c r="L20" s="85" t="n">
        <x:v>4412.864622288706</x:v>
      </x:c>
      <x:c r="M20" s="53" t="n">
        <x:v>0.45</x:v>
      </x:c>
      <x:c r="N20" s="43" t="str">
        <x:v>Tabela de preços 2024. Sem orientação/vista por fração; usar como benchmark local, não como concorrente direto premium.</x:v>
      </x:c>
    </x:row>
    <x:row r="21">
      <x:c r="A21" s="43" t="str">
        <x:v>Saramago Condomínio</x:v>
      </x:c>
      <x:c r="B21" s="43" t="str">
        <x:v>B3DT</x:v>
      </x:c>
      <x:c r="C21" s="43" t="n">
        <x:v>3</x:v>
      </x:c>
      <x:c r="D21" s="43" t="str">
        <x:v>T1</x:v>
      </x:c>
      <x:c r="E21" s="43" t="str">
        <x:v>N/D</x:v>
      </x:c>
      <x:c r="F21" s="85" t="n">
        <x:v>55.85</x:v>
      </x:c>
      <x:c r="G21" s="85" t="n">
        <x:v>11.55</x:v>
      </x:c>
      <x:c r="H21" s="85" t="n">
        <x:v>67.4</x:v>
      </x:c>
      <x:c r="I21" s="86" t="n">
        <x:v>235000</x:v>
      </x:c>
      <x:c r="J21" s="85" t="n">
        <x:v>2024</x:v>
      </x:c>
      <x:c r="K21" s="85" t="n">
        <x:v>4207.699194270367</x:v>
      </x:c>
      <x:c r="L21" s="85" t="n">
        <x:v>3486.646884272997</x:v>
      </x:c>
      <x:c r="M21" s="53" t="n">
        <x:v>0.45</x:v>
      </x:c>
      <x:c r="N21" s="43" t="str">
        <x:v>Tabela de preços 2024. Sem orientação/vista por fração; usar como benchmark local, não como concorrente direto premium.</x:v>
      </x:c>
    </x:row>
    <x:row r="22">
      <x:c r="A22" s="43" t="str">
        <x:v>Saramago Condomínio</x:v>
      </x:c>
      <x:c r="B22" s="43" t="str">
        <x:v>B3E</x:v>
      </x:c>
      <x:c r="C22" s="43" t="n">
        <x:v>3</x:v>
      </x:c>
      <x:c r="D22" s="43" t="str">
        <x:v>T2</x:v>
      </x:c>
      <x:c r="E22" s="43" t="str">
        <x:v>N/D</x:v>
      </x:c>
      <x:c r="F22" s="85" t="n">
        <x:v>99.6</x:v>
      </x:c>
      <x:c r="G22" s="85" t="n">
        <x:v>19.6</x:v>
      </x:c>
      <x:c r="H22" s="85" t="n">
        <x:v>119.19999999999999</x:v>
      </x:c>
      <x:c r="I22" s="86" t="n">
        <x:v>425000</x:v>
      </x:c>
      <x:c r="J22" s="85" t="n">
        <x:v>2024</x:v>
      </x:c>
      <x:c r="K22" s="85" t="n">
        <x:v>4267.06827309237</x:v>
      </x:c>
      <x:c r="L22" s="85" t="n">
        <x:v>3565.4362416107388</x:v>
      </x:c>
      <x:c r="M22" s="53" t="n">
        <x:v>0.45</x:v>
      </x:c>
      <x:c r="N22" s="43" t="str">
        <x:v>Tabela de preços 2024. Sem orientação/vista por fração; usar como benchmark local, não como concorrente direto premium.</x:v>
      </x:c>
    </x:row>
    <x:row r="23">
      <x:c r="A23" s="43" t="str">
        <x:v>Saramago Condomínio</x:v>
      </x:c>
      <x:c r="B23" s="43" t="str">
        <x:v>C3E</x:v>
      </x:c>
      <x:c r="C23" s="43" t="n">
        <x:v>3</x:v>
      </x:c>
      <x:c r="D23" s="43" t="str">
        <x:v>T2</x:v>
      </x:c>
      <x:c r="E23" s="43" t="str">
        <x:v>N/D</x:v>
      </x:c>
      <x:c r="F23" s="85" t="n">
        <x:v>101.2</x:v>
      </x:c>
      <x:c r="G23" s="85" t="n">
        <x:v>21.45</x:v>
      </x:c>
      <x:c r="H23" s="85" t="n">
        <x:v>122.65</x:v>
      </x:c>
      <x:c r="I23" s="86" t="n">
        <x:v>435000</x:v>
      </x:c>
      <x:c r="J23" s="85" t="n">
        <x:v>2024</x:v>
      </x:c>
      <x:c r="K23" s="85" t="n">
        <x:v>4298.418972332016</x:v>
      </x:c>
      <x:c r="L23" s="85" t="n">
        <x:v>3546.6775377089275</x:v>
      </x:c>
      <x:c r="M23" s="53" t="n">
        <x:v>0.45</x:v>
      </x:c>
      <x:c r="N23" s="43" t="str">
        <x:v>Tabela de preços 2024. Sem orientação/vista por fração; usar como benchmark local, não como concorrente direto premium.</x:v>
      </x:c>
    </x:row>
    <x:row r="24">
      <x:c r="A24" s="43" t="str">
        <x:v>Saramago Condomínio</x:v>
      </x:c>
      <x:c r="B24" s="43" t="str">
        <x:v>A4D</x:v>
      </x:c>
      <x:c r="C24" s="43" t="n">
        <x:v>4</x:v>
      </x:c>
      <x:c r="D24" s="43" t="str">
        <x:v>T2</x:v>
      </x:c>
      <x:c r="E24" s="43" t="str">
        <x:v>N/D</x:v>
      </x:c>
      <x:c r="F24" s="85" t="n">
        <x:v>101.2</x:v>
      </x:c>
      <x:c r="G24" s="85" t="n">
        <x:v>20.45</x:v>
      </x:c>
      <x:c r="H24" s="85" t="n">
        <x:v>121.65</x:v>
      </x:c>
      <x:c r="I24" s="86" t="n">
        <x:v>520000</x:v>
      </x:c>
      <x:c r="J24" s="85" t="n">
        <x:v>2024</x:v>
      </x:c>
      <x:c r="K24" s="85" t="n">
        <x:v>5138.339920948616</x:v>
      </x:c>
      <x:c r="L24" s="85" t="n">
        <x:v>4274.55815865187</x:v>
      </x:c>
      <x:c r="M24" s="53" t="n">
        <x:v>0.45</x:v>
      </x:c>
      <x:c r="N24" s="43" t="str">
        <x:v>Tabela de preços 2024. Sem orientação/vista por fração; usar como benchmark local, não como concorrente direto premium.</x:v>
      </x:c>
    </x:row>
    <x:row r="25">
      <x:c r="A25" s="43" t="str">
        <x:v>Saramago Condomínio</x:v>
      </x:c>
      <x:c r="B25" s="43" t="str">
        <x:v>A4E</x:v>
      </x:c>
      <x:c r="C25" s="43" t="n">
        <x:v>4</x:v>
      </x:c>
      <x:c r="D25" s="43" t="str">
        <x:v>T3</x:v>
      </x:c>
      <x:c r="E25" s="43" t="str">
        <x:v>N/D</x:v>
      </x:c>
      <x:c r="F25" s="85" t="n">
        <x:v>116.2</x:v>
      </x:c>
      <x:c r="G25" s="85" t="n">
        <x:v>20.1</x:v>
      </x:c>
      <x:c r="H25" s="85" t="n">
        <x:v>136.3</x:v>
      </x:c>
      <x:c r="I25" s="86" t="n">
        <x:v>590000</x:v>
      </x:c>
      <x:c r="J25" s="85" t="n">
        <x:v>2024</x:v>
      </x:c>
      <x:c r="K25" s="85" t="n">
        <x:v>5077.452667814114</x:v>
      </x:c>
      <x:c r="L25" s="85" t="n">
        <x:v>4328.686720469552</x:v>
      </x:c>
      <x:c r="M25" s="53" t="n">
        <x:v>0.45</x:v>
      </x:c>
      <x:c r="N25" s="43" t="str">
        <x:v>Tabela de preços 2024. Sem orientação/vista por fração; usar como benchmark local, não como concorrente direto premium.</x:v>
      </x:c>
    </x:row>
    <x:row r="26">
      <x:c r="A26" s="43" t="str">
        <x:v>Saramago Condomínio</x:v>
      </x:c>
      <x:c r="B26" s="43" t="str">
        <x:v>B4E</x:v>
      </x:c>
      <x:c r="C26" s="43" t="n">
        <x:v>4</x:v>
      </x:c>
      <x:c r="D26" s="43" t="str">
        <x:v>T2</x:v>
      </x:c>
      <x:c r="E26" s="43" t="str">
        <x:v>N/D</x:v>
      </x:c>
      <x:c r="F26" s="85" t="n">
        <x:v>99.6</x:v>
      </x:c>
      <x:c r="G26" s="85" t="n">
        <x:v>19.6</x:v>
      </x:c>
      <x:c r="H26" s="85" t="n">
        <x:v>119.19999999999999</x:v>
      </x:c>
      <x:c r="I26" s="86" t="n">
        <x:v>520000</x:v>
      </x:c>
      <x:c r="J26" s="85" t="n">
        <x:v>2024</x:v>
      </x:c>
      <x:c r="K26" s="85" t="n">
        <x:v>5220.883534136547</x:v>
      </x:c>
      <x:c r="L26" s="85" t="n">
        <x:v>4362.416107382551</x:v>
      </x:c>
      <x:c r="M26" s="53" t="n">
        <x:v>0.45</x:v>
      </x:c>
      <x:c r="N26" s="43" t="str">
        <x:v>Tabela de preços 2024. Sem orientação/vista por fração; usar como benchmark local, não como concorrente direto premium.</x:v>
      </x:c>
    </x:row>
  </x:sheetData>
  <x:pageMargins left="0.7" right="0.7" top="0.75" bottom="0.75" header="0.3" footer="0.3"/>
  <x:tableParts count="1">
    <x:tablePart xmlns:r="http://schemas.openxmlformats.org/officeDocument/2006/relationships" r:id="Rda46f72d562a435c"/>
  </x:tableParts>
</x:worksheet>
</file>