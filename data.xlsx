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484b6bcfdb4714" /></Relationships>
</file>

<file path=xl/workbook.xml><?xml version="1.0" encoding="utf-8"?>
<ns0:workbook xmlns:ns0="http://schemas.openxmlformats.org/spreadsheetml/2006/main" xmlns:ns1="http://schemas.openxmlformats.org/officeDocument/2006/relationships">
  <ns0:sheets>
    <ns0:sheet name="Dados" sheetId="1" ns1:id="R0c79b300d96248eb"/>
    <ns0:sheet name="Instruções" sheetId="2" ns1:id="Rc304e40178d04e4b"/>
    <ns0:sheet name="Resumo BD" sheetId="3" ns1:id="Rcc81885b7ad04d4e"/>
    <ns0:sheet name="Plano de melhoria" sheetId="4" ns1:id="R2b46e9e33e684ab7"/>
    <ns0:sheet name="Candidatos Compset" sheetId="5" ns1:id="Ra7b62220f51249f5"/>
    <ns0:sheet name="Critérios Pesos" sheetId="6" ns1:id="R9089855880064602"/>
    <ns0:sheet name="Candidatos Estrutura" sheetId="7" ns1:id="Re444c803d0ab45bc"/>
    <ns0:sheet name="Benchmark_Mercado" sheetId="8" ns1:id="R3e18b94f84d94b8d"/>
    <ns0:sheet name="Contexto_Mercado" sheetId="9" ns1:id="Rf1804b1d2ad0495a"/>
    <ns0:sheet name="Saramago_2024_Convertido" sheetId="10" ns1:id="R1ec89be0db1f4fff"/>
  </ns0:sheets>
  <ns0:calcPr fullCalcOnLoad="1" forceFullCalc="1"/>
</ns0:workbook>
</file>

<file path=xl/sharedStrings.xml><?xml version="1.0" encoding="utf-8"?>
<x:sst xmlns:x="http://schemas.openxmlformats.org/spreadsheetml/2006/main">
  <x:si>
    <x:t xml:space="preserve">Empreendimento</x:t>
  </x:si>
  <x:si>
    <x:t xml:space="preserve">Fração</x:t>
  </x:si>
  <x:si>
    <x:t xml:space="preserve">Piso</x:t>
  </x:si>
  <x:si>
    <x:t xml:space="preserve">Tipologia</x:t>
  </x:si>
  <x:si>
    <x:t xml:space="preserve">Vista</x:t>
  </x:si>
  <x:si>
    <x:t xml:space="preserve">ABP</x:t>
  </x:si>
  <x:si>
    <x:t xml:space="preserve">Varanda/Terraço</x:t>
  </x:si>
  <x:si>
    <x:t xml:space="preserve">Área Total</x:t>
  </x:si>
  <x:si>
    <x:t xml:space="preserve">PVP</x:t>
  </x:si>
  <x:si>
    <x:t xml:space="preserve">Ano Referência</x:t>
  </x:si>
  <x:si>
    <x:t xml:space="preserve">Sem Varanda/Terraço</x:t>
  </x:si>
  <x:si>
    <x:t xml:space="preserve">Com Varanda/Terraço</x:t>
  </x:si>
  <x:si>
    <x:t xml:space="preserve">Status</x:t>
  </x:si>
  <x:si>
    <x:t xml:space="preserve">Fonte</x:t>
  </x:si>
  <x:si>
    <x:t xml:space="preserve">URL</x:t>
  </x:si>
  <x:si>
    <x:t xml:space="preserve">Data de atualização</x:t>
  </x:si>
  <x:si>
    <x:t xml:space="preserve">Segmento</x:t>
  </x:si>
  <x:si>
    <x:t xml:space="preserve">Condição</x:t>
  </x:si>
  <x:si>
    <x:t xml:space="preserve">Ano de entrega</x:t>
  </x:si>
  <x:si>
    <x:t xml:space="preserve">Garagem</x:t>
  </x:si>
  <x:si>
    <x:t xml:space="preserve">Piscina</x:t>
  </x:si>
  <x:si>
    <x:t xml:space="preserve">Distância ao The View</x:t>
  </x:si>
  <x:si>
    <x:t xml:space="preserve">Peso comparável</x:t>
  </x:si>
  <x:si>
    <x:t xml:space="preserve">Camada compset</x:t>
  </x:si>
  <x:si>
    <x:t xml:space="preserve">Qualidade dados</x:t>
  </x:si>
  <x:si>
    <x:t xml:space="preserve">Observações comerciais</x:t>
  </x:si>
  <x:si>
    <x:t xml:space="preserve">Ação recomendada</x:t>
  </x:si>
  <x:si>
    <x:t xml:space="preserve">Prioridade atualização</x:t>
  </x:si>
  <x:si>
    <x:t xml:space="preserve">Del Mar Waterfront</x:t>
  </x:si>
  <x:si>
    <x:t xml:space="preserve">A</x:t>
  </x:si>
  <x:si>
    <x:t xml:space="preserve">R/C</x:t>
  </x:si>
  <x:si>
    <x:t xml:space="preserve">T2</x:t>
  </x:si>
  <x:si>
    <x:t xml:space="preserve">Nova construção</x:t>
  </x:si>
  <x:si>
    <x:t xml:space="preserve">B</x:t>
  </x:si>
  <x:si>
    <x:t xml:space="preserve">G</x:t>
  </x:si>
  <x:si>
    <x:t xml:space="preserve">H</x:t>
  </x:si>
  <x:si>
    <x:t xml:space="preserve">K</x:t>
  </x:si>
  <x:si>
    <x:t xml:space="preserve">L</x:t>
  </x:si>
  <x:si>
    <x:t xml:space="preserve">M</x:t>
  </x:si>
  <x:si>
    <x:t xml:space="preserve">Q</x:t>
  </x:si>
  <x:si>
    <x:t xml:space="preserve">U</x:t>
  </x:si>
  <x:si>
    <x:t xml:space="preserve">W</x:t>
  </x:si>
  <x:si>
    <x:t xml:space="preserve">T1</x:t>
  </x:si>
  <x:si>
    <x:t xml:space="preserve">X</x:t>
  </x:si>
  <x:si>
    <x:t xml:space="preserve">Y</x:t>
  </x:si>
  <x:si>
    <x:t xml:space="preserve">Z</x:t>
  </x:si>
  <x:si>
    <x:t xml:space="preserve">D</x:t>
  </x:si>
  <x:si>
    <x:t xml:space="preserve">AI</x:t>
  </x:si>
  <x:si>
    <x:t xml:space="preserve">AK</x:t>
  </x:si>
  <x:si>
    <x:t xml:space="preserve">AL</x:t>
  </x:si>
  <x:si>
    <x:t xml:space="preserve">AS</x:t>
  </x:si>
  <x:si>
    <x:t xml:space="preserve">AW</x:t>
  </x:si>
  <x:si>
    <x:t xml:space="preserve">AX</x:t>
  </x:si>
  <x:si>
    <x:t xml:space="preserve">BK</x:t>
  </x:si>
  <x:si>
    <x:t xml:space="preserve">BL</x:t>
  </x:si>
  <x:si>
    <x:t xml:space="preserve">BN</x:t>
  </x:si>
  <x:si>
    <x:t xml:space="preserve">BO</x:t>
  </x:si>
  <x:si>
    <x:t xml:space="preserve">BQ</x:t>
  </x:si>
  <x:si>
    <x:t xml:space="preserve">BS</x:t>
  </x:si>
  <x:si>
    <x:t xml:space="preserve">BU</x:t>
  </x:si>
  <x:si>
    <x:t xml:space="preserve">BW</x:t>
  </x:si>
  <x:si>
    <x:t xml:space="preserve">BX</x:t>
  </x:si>
  <x:si>
    <x:t xml:space="preserve">BY</x:t>
  </x:si>
  <x:si>
    <x:t xml:space="preserve">BZ</x:t>
  </x:si>
  <x:si>
    <x:t xml:space="preserve">T3</x:t>
  </x:si>
  <x:si>
    <x:t xml:space="preserve">CF</x:t>
  </x:si>
  <x:si>
    <x:t xml:space="preserve">CG</x:t>
  </x:si>
  <x:si>
    <x:t xml:space="preserve">CI</x:t>
  </x:si>
  <x:si>
    <x:t xml:space="preserve">CJ</x:t>
  </x:si>
  <x:si>
    <x:t xml:space="preserve">CK</x:t>
  </x:si>
  <x:si>
    <x:t xml:space="preserve">CL</x:t>
  </x:si>
  <x:si>
    <x:t xml:space="preserve">CO</x:t>
  </x:si>
  <x:si>
    <x:t xml:space="preserve">CR</x:t>
  </x:si>
  <x:si>
    <x:t xml:space="preserve">CT</x:t>
  </x:si>
  <x:si>
    <x:t xml:space="preserve">CV</x:t>
  </x:si>
  <x:si>
    <x:t xml:space="preserve">DB</x:t>
  </x:si>
  <x:si>
    <x:t xml:space="preserve">DD</x:t>
  </x:si>
  <x:si>
    <x:t xml:space="preserve">DE</x:t>
  </x:si>
  <x:si>
    <x:t xml:space="preserve">DH</x:t>
  </x:si>
  <x:si>
    <x:t xml:space="preserve">DO</x:t>
  </x:si>
  <x:si>
    <x:t xml:space="preserve">DS</x:t>
  </x:si>
  <x:si>
    <x:t xml:space="preserve">Le Parc</x:t>
  </x:si>
  <x:si>
    <x:t xml:space="preserve">1.1</x:t>
  </x:si>
  <x:si>
    <x:t xml:space="preserve">1.2</x:t>
  </x:si>
  <x:si>
    <x:t xml:space="preserve">2.1</x:t>
  </x:si>
  <x:si>
    <x:t xml:space="preserve">2.2</x:t>
  </x:si>
  <x:si>
    <x:t xml:space="preserve">3.1</x:t>
  </x:si>
  <x:si>
    <x:t xml:space="preserve">3.2</x:t>
  </x:si>
  <x:si>
    <x:t xml:space="preserve">4.1</x:t>
  </x:si>
  <x:si>
    <x:t xml:space="preserve">4.2</x:t>
  </x:si>
  <x:si>
    <x:t xml:space="preserve">1.3</x:t>
  </x:si>
  <x:si>
    <x:t xml:space="preserve">1.4</x:t>
  </x:si>
  <x:si>
    <x:t xml:space="preserve">1.5</x:t>
  </x:si>
  <x:si>
    <x:t xml:space="preserve">1.6</x:t>
  </x:si>
  <x:si>
    <x:t xml:space="preserve">2.3</x:t>
  </x:si>
  <x:si>
    <x:t xml:space="preserve">2.4</x:t>
  </x:si>
  <x:si>
    <x:t xml:space="preserve">2.5</x:t>
  </x:si>
  <x:si>
    <x:t xml:space="preserve">2.6</x:t>
  </x:si>
  <x:si>
    <x:t xml:space="preserve">3.3</x:t>
  </x:si>
  <x:si>
    <x:t xml:space="preserve">3.4</x:t>
  </x:si>
  <x:si>
    <x:t xml:space="preserve">3.5</x:t>
  </x:si>
  <x:si>
    <x:t xml:space="preserve">3.6</x:t>
  </x:si>
  <x:si>
    <x:t xml:space="preserve">4.3</x:t>
  </x:si>
  <x:si>
    <x:t xml:space="preserve">4.4</x:t>
  </x:si>
  <x:si>
    <x:t xml:space="preserve">T4</x:t>
  </x:si>
  <x:si>
    <x:t xml:space="preserve">4.5</x:t>
  </x:si>
  <x:si>
    <x:t xml:space="preserve">5.1</x:t>
  </x:si>
  <x:si>
    <x:t xml:space="preserve">5.2</x:t>
  </x:si>
  <x:si>
    <x:t xml:space="preserve">5.3</x:t>
  </x:si>
  <x:si>
    <x:t xml:space="preserve">5.4</x:t>
  </x:si>
  <x:si>
    <x:t xml:space="preserve">5.5</x:t>
  </x:si>
  <x:si>
    <x:t xml:space="preserve">6.1</x:t>
  </x:si>
  <x:si>
    <x:t xml:space="preserve">6.2</x:t>
  </x:si>
  <x:si>
    <x:t xml:space="preserve">6.3</x:t>
  </x:si>
  <x:si>
    <x:t xml:space="preserve">6.4</x:t>
  </x:si>
  <x:si>
    <x:t xml:space="preserve">6.5</x:t>
  </x:si>
  <x:si>
    <x:t xml:space="preserve">The View</x:t>
  </x:si>
  <x:si>
    <x:t xml:space="preserve">Apartamento 1</x:t>
  </x:si>
  <x:si>
    <x:t xml:space="preserve">Apartamento 2</x:t>
  </x:si>
  <x:si>
    <x:t xml:space="preserve">Apartamento 3</x:t>
  </x:si>
  <x:si>
    <x:t xml:space="preserve">Apartamento 4</x:t>
  </x:si>
  <x:si>
    <x:t xml:space="preserve">T1+1</x:t>
  </x:si>
  <x:si>
    <x:t xml:space="preserve">Apartamento 5</x:t>
  </x:si>
  <x:si>
    <x:t xml:space="preserve">Apartamento 6</x:t>
  </x:si>
  <x:si>
    <x:t xml:space="preserve">T2+1</x:t>
  </x:si>
  <x:si>
    <x:t xml:space="preserve">Apartamento 7</x:t>
  </x:si>
  <x:si>
    <x:t xml:space="preserve">Apartamento 8</x:t>
  </x:si>
  <x:si>
    <x:t xml:space="preserve">Apartamento 9</x:t>
  </x:si>
  <x:si>
    <x:t xml:space="preserve">Apartamento 10</x:t>
  </x:si>
  <x:si>
    <x:t xml:space="preserve">Apartamento 11</x:t>
  </x:si>
  <x:si>
    <x:t xml:space="preserve">Apartamento 12</x:t>
  </x:si>
  <x:si>
    <x:t xml:space="preserve">Apartamento 13</x:t>
  </x:si>
  <x:si>
    <x:t xml:space="preserve">Apartamento 14</x:t>
  </x:si>
  <x:si>
    <x:t xml:space="preserve">Apartamento 15</x:t>
  </x:si>
  <x:si>
    <x:t xml:space="preserve">Apartamento 16</x:t>
  </x:si>
  <x:si>
    <x:t xml:space="preserve">Apartamento 17</x:t>
  </x:si>
  <x:si>
    <x:t xml:space="preserve">Apartamento 18</x:t>
  </x:si>
  <x:si>
    <x:t xml:space="preserve">Apartamento 19</x:t>
  </x:si>
  <x:si>
    <x:t xml:space="preserve">Apartamento 20</x:t>
  </x:si>
  <x:si>
    <x:t xml:space="preserve">Apartamento 21</x:t>
  </x:si>
  <x:si>
    <x:t xml:space="preserve">Apartamento 22</x:t>
  </x:si>
  <x:si>
    <x:t xml:space="preserve">Apartamento 23</x:t>
  </x:si>
  <x:si>
    <x:t xml:space="preserve">Apartamento 24</x:t>
  </x:si>
  <x:si>
    <x:t xml:space="preserve">Apartamento 25</x:t>
  </x:si>
  <x:si>
    <x:t xml:space="preserve">Apartamento 26</x:t>
  </x:si>
  <x:si>
    <x:t xml:space="preserve">Apartamento 27</x:t>
  </x:si>
  <x:si>
    <x:t xml:space="preserve">Apartamento 28</x:t>
  </x:si>
  <x:si>
    <x:t xml:space="preserve">Apartamento 29</x:t>
  </x:si>
  <x:si>
    <x:t xml:space="preserve">Apartamento 30</x:t>
  </x:si>
  <x:si>
    <x:t xml:space="preserve">Apartamento 31</x:t>
  </x:si>
  <x:si>
    <x:t xml:space="preserve">Apartamento 32</x:t>
  </x:si>
  <x:si>
    <x:t xml:space="preserve">Apartamento 33</x:t>
  </x:si>
  <x:si>
    <x:t xml:space="preserve">Apartamento 34</x:t>
  </x:si>
  <x:si>
    <x:t xml:space="preserve">Apartamento 35</x:t>
  </x:si>
  <x:si>
    <x:t xml:space="preserve">T1-Duplex</x:t>
  </x:si>
  <x:si>
    <x:t xml:space="preserve">Apartamento 36</x:t>
  </x:si>
  <x:si>
    <x:t xml:space="preserve">Apartamento 37</x:t>
  </x:si>
  <x:si>
    <x:t xml:space="preserve">Apartamento 38</x:t>
  </x:si>
  <x:si>
    <x:t xml:space="preserve">Apartamento 39</x:t>
  </x:si>
  <x:si>
    <x:t xml:space="preserve">Aura Living</x:t>
  </x:si>
  <x:si>
    <x:t xml:space="preserve">S</x:t>
  </x:si>
  <x:si>
    <x:t xml:space="preserve">O</x:t>
  </x:si>
  <x:si>
    <x:t xml:space="preserve">N</x:t>
  </x:si>
  <x:si>
    <x:t xml:space="preserve">R</x:t>
  </x:si>
  <x:si>
    <x:t xml:space="preserve">AA</x:t>
  </x:si>
  <x:si>
    <x:t xml:space="preserve">BB</x:t>
  </x:si>
  <x:si>
    <x:t xml:space="preserve">CC</x:t>
  </x:si>
  <x:si>
    <x:t xml:space="preserve">EE</x:t>
  </x:si>
  <x:si>
    <x:t xml:space="preserve">FF</x:t>
  </x:si>
  <x:si>
    <x:t xml:space="preserve">GG</x:t>
  </x:si>
  <x:si>
    <x:t xml:space="preserve">HH</x:t>
  </x:si>
  <x:si>
    <x:t xml:space="preserve">I</x:t>
  </x:si>
  <x:si>
    <x:t xml:space="preserve">J</x:t>
  </x:si>
  <x:si>
    <x:t xml:space="preserve">II</x:t>
  </x:si>
  <x:si>
    <x:t xml:space="preserve">JJ</x:t>
  </x:si>
  <x:si>
    <x:t xml:space="preserve">KK</x:t>
  </x:si>
  <x:si>
    <x:t xml:space="preserve">Saramago Condomínio</x:t>
  </x:si>
  <x:si>
    <x:t xml:space="preserve">A0D</x:t>
  </x:si>
  <x:si>
    <x:t xml:space="preserve">Benchmark local</x:t>
  </x:si>
  <x:si>
    <x:t xml:space="preserve">A0E</x:t>
  </x:si>
  <x:si>
    <x:t xml:space="preserve">B0D</x:t>
  </x:si>
  <x:si>
    <x:t xml:space="preserve">C0D</x:t>
  </x:si>
  <x:si>
    <x:t xml:space="preserve">C0E</x:t>
  </x:si>
  <x:si>
    <x:t xml:space="preserve">A1D</x:t>
  </x:si>
  <x:si>
    <x:t xml:space="preserve">A1EF</x:t>
  </x:si>
  <x:si>
    <x:t xml:space="preserve">B1DF</x:t>
  </x:si>
  <x:si>
    <x:t xml:space="preserve">B1E</x:t>
  </x:si>
  <x:si>
    <x:t xml:space="preserve">C1DF</x:t>
  </x:si>
  <x:si>
    <x:t xml:space="preserve">C1E</x:t>
  </x:si>
  <x:si>
    <x:t xml:space="preserve">A2D</x:t>
  </x:si>
  <x:si>
    <x:t xml:space="preserve">A2EF</x:t>
  </x:si>
  <x:si>
    <x:t xml:space="preserve">B2DF</x:t>
  </x:si>
  <x:si>
    <x:t xml:space="preserve">B2E</x:t>
  </x:si>
  <x:si>
    <x:t xml:space="preserve">C2DT</x:t>
  </x:si>
  <x:si>
    <x:t xml:space="preserve">A3D</x:t>
  </x:si>
  <x:si>
    <x:t xml:space="preserve">A3ET</x:t>
  </x:si>
  <x:si>
    <x:t xml:space="preserve">A3EF</x:t>
  </x:si>
  <x:si>
    <x:t xml:space="preserve">B3DT</x:t>
  </x:si>
  <x:si>
    <x:t xml:space="preserve">B3E</x:t>
  </x:si>
  <x:si>
    <x:t xml:space="preserve">C3E</x:t>
  </x:si>
  <x:si>
    <x:t xml:space="preserve">A4D</x:t>
  </x:si>
  <x:si>
    <x:t xml:space="preserve">A4E</x:t>
  </x:si>
  <x:si>
    <x:t xml:space="preserve">B4E</x:t>
  </x:si>
  <x:si>
    <x:t xml:space="preserve">Palácio BR Avenida</x:t>
  </x:si>
  <x:si>
    <x:t xml:space="preserve">Bloco 1 · B.0</x:t>
  </x:si>
  <x:si>
    <x:t xml:space="preserve">Bloco 2 · D.0</x:t>
  </x:si>
  <x:si>
    <x:t xml:space="preserve">Bloco 2 · F.0</x:t>
  </x:si>
  <x:si>
    <x:t xml:space="preserve">T2 Duplex</x:t>
  </x:si>
  <x:si>
    <x:t xml:space="preserve">Bloco 1 · A.1</x:t>
  </x:si>
  <x:si>
    <x:t xml:space="preserve">Bloco 1 · B.1</x:t>
  </x:si>
  <x:si>
    <x:t xml:space="preserve">Bloco 1 · C.1</x:t>
  </x:si>
  <x:si>
    <x:t xml:space="preserve">Bloco 1 · A.2</x:t>
  </x:si>
  <x:si>
    <x:t xml:space="preserve">Bloco 1 · B.2</x:t>
  </x:si>
  <x:si>
    <x:t xml:space="preserve">Bloco 1 · C.2</x:t>
  </x:si>
  <x:si>
    <x:t xml:space="preserve">Bloco 2 · F.2</x:t>
  </x:si>
  <x:si>
    <x:t xml:space="preserve">Bloco 1 · A.3</x:t>
  </x:si>
  <x:si>
    <x:t xml:space="preserve">Bloco 1 · B.3</x:t>
  </x:si>
  <x:si>
    <x:t xml:space="preserve">Bloco 1 · C.3</x:t>
  </x:si>
  <x:si>
    <x:t xml:space="preserve">Bloco 1 · A.4</x:t>
  </x:si>
  <x:si>
    <x:t xml:space="preserve">Bloco 1 · B.4</x:t>
  </x:si>
  <x:si>
    <x:t xml:space="preserve">Bloco 1 · C.4</x:t>
  </x:si>
  <x:si>
    <x:t xml:space="preserve">Bloco 2 · F.4</x:t>
  </x:si>
  <x:si>
    <x:t xml:space="preserve">Bloco 2 · G.4</x:t>
  </x:si>
  <x:si>
    <x:t xml:space="preserve">Bloco 1 · A.5</x:t>
  </x:si>
  <x:si>
    <x:t xml:space="preserve">Bloco 1 · B.5</x:t>
  </x:si>
  <x:si>
    <x:t xml:space="preserve">Bloco 2 · D.5</x:t>
  </x:si>
  <x:si>
    <x:t xml:space="preserve">Bloco 2 · E.5</x:t>
  </x:si>
  <x:si>
    <x:t xml:space="preserve">Bloco 2 · G.5</x:t>
  </x:si>
  <x:si>
    <x:t xml:space="preserve">Bloco 1 · A.6</x:t>
  </x:si>
  <x:si>
    <x:t xml:space="preserve">Bloco 1 · B.6</x:t>
  </x:si>
  <x:si>
    <x:t xml:space="preserve">Bloco 2 · D.6</x:t>
  </x:si>
  <x:si>
    <x:t xml:space="preserve">Bloco 2 · E.6</x:t>
  </x:si>
  <x:si>
    <x:t xml:space="preserve">Bloco 2 · G.6</x:t>
  </x:si>
  <x:si>
    <x:t xml:space="preserve">Bloco 1 · B.7</x:t>
  </x:si>
  <x:si>
    <x:t xml:space="preserve">Bloco 2 · D.7</x:t>
  </x:si>
  <x:si>
    <x:t xml:space="preserve">Bloco 2 · E.7</x:t>
  </x:si>
  <x:si>
    <x:t xml:space="preserve">EVO Lux Garden</x:t>
  </x:si>
  <x:si>
    <x:t xml:space="preserve">Bloco D · A.0</x:t>
  </x:si>
  <x:si>
    <x:t xml:space="preserve">Premium waterfront/marina</x:t>
  </x:si>
  <x:si>
    <x:t xml:space="preserve">Bloco D · B.0</x:t>
  </x:si>
  <x:si>
    <x:t xml:space="preserve">Bloco D · A.1</x:t>
  </x:si>
  <x:si>
    <x:t xml:space="preserve">Bloco D · B.1</x:t>
  </x:si>
  <x:si>
    <x:t xml:space="preserve">Bloco D · A.2</x:t>
  </x:si>
  <x:si>
    <x:t xml:space="preserve">Bloco D · B.2</x:t>
  </x:si>
  <x:si>
    <x:t xml:space="preserve">Bloco D · C.2</x:t>
  </x:si>
  <x:si>
    <x:t xml:space="preserve">Bloco D · A.3</x:t>
  </x:si>
  <x:si>
    <x:t xml:space="preserve">Bloco D · B.3</x:t>
  </x:si>
  <x:si>
    <x:t xml:space="preserve">Bloco D · C.3</x:t>
  </x:si>
  <x:si>
    <x:t xml:space="preserve">Bloco D · A.4</x:t>
  </x:si>
  <x:si>
    <x:t xml:space="preserve">Bloco D · B.4</x:t>
  </x:si>
  <x:si>
    <x:t xml:space="preserve">Bloco D · C.4</x:t>
  </x:si>
  <x:si>
    <x:t xml:space="preserve">Bloco D · A.5</x:t>
  </x:si>
  <x:si>
    <x:t xml:space="preserve">T3G</x:t>
  </x:si>
  <x:si>
    <x:t xml:space="preserve">Bloco D · B.5</x:t>
  </x:si>
  <x:si>
    <x:t xml:space="preserve">Bloco E · A.0</x:t>
  </x:si>
  <x:si>
    <x:t xml:space="preserve">Bloco E · A.1</x:t>
  </x:si>
  <x:si>
    <x:t xml:space="preserve">Bloco E · A.2</x:t>
  </x:si>
  <x:si>
    <x:t xml:space="preserve">Bloco E · B.2</x:t>
  </x:si>
  <x:si>
    <x:t xml:space="preserve">Bloco E · A.3</x:t>
  </x:si>
  <x:si>
    <x:t xml:space="preserve">Bloco E · B.3</x:t>
  </x:si>
  <x:si>
    <x:t xml:space="preserve">Bloco E · A.4</x:t>
  </x:si>
  <x:si>
    <x:t xml:space="preserve">Bloco E · B.4</x:t>
  </x:si>
  <x:si>
    <x:t xml:space="preserve">Bloco E · A.5</x:t>
  </x:si>
  <x:si>
    <x:t xml:space="preserve">Bloco E · B.5</x:t>
  </x:si>
  <x:si>
    <x:t xml:space="preserve">Bloco F · A.0</x:t>
  </x:si>
  <x:si>
    <x:t xml:space="preserve">Bloco F · B.0</x:t>
  </x:si>
  <x:si>
    <x:t xml:space="preserve">Bloco F · A.1</x:t>
  </x:si>
  <x:si>
    <x:t xml:space="preserve">Bloco F · B.1</x:t>
  </x:si>
  <x:si>
    <x:t xml:space="preserve">Bloco F · A.2</x:t>
  </x:si>
  <x:si>
    <x:t xml:space="preserve">Bloco F · B.2</x:t>
  </x:si>
  <x:si>
    <x:t xml:space="preserve">Bloco F · A.3</x:t>
  </x:si>
  <x:si>
    <x:t xml:space="preserve">Bloco F · B.3</x:t>
  </x:si>
  <x:si>
    <x:t xml:space="preserve">Bloco F · A.4</x:t>
  </x:si>
  <x:si>
    <x:t xml:space="preserve">Bloco F · B.4</x:t>
  </x:si>
  <x:si>
    <x:t xml:space="preserve">Bloco F · A.5</x:t>
  </x:si>
  <x:si>
    <x:t xml:space="preserve">Bloco F · B.5</x:t>
  </x:si>
  <x:si>
    <x:t xml:space="preserve">Bloco A · A.0</x:t>
  </x:si>
  <x:si>
    <x:t xml:space="preserve">Bloco A · B.0</x:t>
  </x:si>
  <x:si>
    <x:t xml:space="preserve">Bloco A · A.1</x:t>
  </x:si>
  <x:si>
    <x:t xml:space="preserve">Bloco A · B.1</x:t>
  </x:si>
  <x:si>
    <x:t xml:space="preserve">Bloco A · C.1</x:t>
  </x:si>
  <x:si>
    <x:t xml:space="preserve">Bloco A · A.2</x:t>
  </x:si>
  <x:si>
    <x:t xml:space="preserve">Bloco A · B.2</x:t>
  </x:si>
  <x:si>
    <x:t xml:space="preserve">Bloco A · C.2</x:t>
  </x:si>
  <x:si>
    <x:t xml:space="preserve">Bloco A · A.3</x:t>
  </x:si>
  <x:si>
    <x:t xml:space="preserve">Bloco A · B.3</x:t>
  </x:si>
  <x:si>
    <x:t xml:space="preserve">Bloco A · C.3</x:t>
  </x:si>
  <x:si>
    <x:t xml:space="preserve">Bloco A · A.4</x:t>
  </x:si>
  <x:si>
    <x:t xml:space="preserve">Bloco A · B.4</x:t>
  </x:si>
  <x:si>
    <x:t xml:space="preserve">Bloco A · C.4</x:t>
  </x:si>
  <x:si>
    <x:t xml:space="preserve">Bloco A · A.5</x:t>
  </x:si>
  <x:si>
    <x:t xml:space="preserve">Bloco A · B.5</x:t>
  </x:si>
  <x:si>
    <x:t xml:space="preserve">Bloco B · A.0</x:t>
  </x:si>
  <x:si>
    <x:t xml:space="preserve">Bloco B · B.0</x:t>
  </x:si>
  <x:si>
    <x:t xml:space="preserve">Bloco B · A.1</x:t>
  </x:si>
  <x:si>
    <x:t xml:space="preserve">Bloco B · B.1</x:t>
  </x:si>
  <x:si>
    <x:t xml:space="preserve">Bloco B · A.2</x:t>
  </x:si>
  <x:si>
    <x:t xml:space="preserve">Bloco B · B.2</x:t>
  </x:si>
  <x:si>
    <x:t xml:space="preserve">Bloco B · A.3</x:t>
  </x:si>
  <x:si>
    <x:t xml:space="preserve">Bloco B · B.3</x:t>
  </x:si>
  <x:si>
    <x:t xml:space="preserve">Bloco B · A.4</x:t>
  </x:si>
  <x:si>
    <x:t xml:space="preserve">Bloco B · B.4</x:t>
  </x:si>
  <x:si>
    <x:t xml:space="preserve">Bloco B · A.5</x:t>
  </x:si>
  <x:si>
    <x:t xml:space="preserve">Bloco B · B.5</x:t>
  </x:si>
  <x:si>
    <x:t xml:space="preserve">Bloco C · A.0</x:t>
  </x:si>
  <x:si>
    <x:t xml:space="preserve">Bloco C · B.0</x:t>
  </x:si>
  <x:si>
    <x:t xml:space="preserve">Bloco C · A.1</x:t>
  </x:si>
  <x:si>
    <x:t xml:space="preserve">Bloco C · B.1</x:t>
  </x:si>
  <x:si>
    <x:t xml:space="preserve">Bloco C · A.2</x:t>
  </x:si>
  <x:si>
    <x:t xml:space="preserve">Bloco C · B.2</x:t>
  </x:si>
  <x:si>
    <x:t xml:space="preserve">Bloco C · A.3</x:t>
  </x:si>
  <x:si>
    <x:t xml:space="preserve">Bloco C · B.3</x:t>
  </x:si>
  <x:si>
    <x:t xml:space="preserve">Bloco C · A.4</x:t>
  </x:si>
  <x:si>
    <x:t xml:space="preserve">Bloco C · B.4</x:t>
  </x:si>
  <x:si>
    <x:t xml:space="preserve">Bloco C · A.5</x:t>
  </x:si>
  <x:si>
    <x:t xml:space="preserve">Bloco C · B.5</x:t>
  </x:si>
  <x:si>
    <x:t xml:space="preserve">INSTRUÇÕES PARA ATUALIZAR O DASHBOARD</x:t>
  </x:si>
  <x:si>
    <x:t xml:space="preserve">1. ESTRUTURA DO FICHEIRO</x:t>
  </x:si>
  <x:si>
    <x:t xml:space="preserve">   - Mantenha a folha 'Dados' com exatamente as mesmas colunas</x:t>
  </x:si>
  <x:si>
    <x:t xml:space="preserve">   - Não altere os nomes das colunas</x:t>
  </x:si>
  <x:si>
    <x:t xml:space="preserve">   - Não deixe linhas em branco no meio dos dados</x:t>
  </x:si>
  <x:si>
    <x:t xml:space="preserve">2. COLUNAS OBRIGATÓRIAS</x:t>
  </x:si>
  <x:si>
    <x:t xml:space="preserve">   • Empreendimento: Nome do empreendimento (ex: The View, Del Mar Waterfront, Aura Living)</x:t>
  </x:si>
  <x:si>
    <x:t xml:space="preserve">   • Fração: Identificador único (ex: Apartamento 1, W, CG)</x:t>
  </x:si>
  <x:si>
    <x:t xml:space="preserve">   • Piso: Número do piso ou R/C (ex: 1, 2, R/C)</x:t>
  </x:si>
  <x:si>
    <x:t xml:space="preserve">   • Tipologia: Tipo de apartamento (ex: T1, T2, T3, T1+1, T2+1, T1-Duplex)</x:t>
  </x:si>
  <x:si>
    <x:t xml:space="preserve">   • Vista: Código numérico da vista (ex: 1, 2, 3, 4)</x:t>
  </x:si>
  <x:si>
    <x:t xml:space="preserve">   • ABP: Área Bruta Privativa em m² (ex: 99.7)</x:t>
  </x:si>
  <x:si>
    <x:t xml:space="preserve">   • Varanda/Terraço: Área da varanda em m² (ex: 43.4)</x:t>
  </x:si>
  <x:si>
    <x:t xml:space="preserve">   • PVP: Preço de venda em € (ex: 545000)</x:t>
  </x:si>
  <x:si>
    <x:t xml:space="preserve">   • Ano Referência: Ano dos dados (ex: 2026)</x:t>
  </x:si>
  <x:si>
    <x:t xml:space="preserve">3. COMO ADICIONAR NOVOS EMPREENDIMENTOS</x:t>
  </x:si>
  <x:si>
    <x:t xml:space="preserve">   - Adicione novas linhas no final da tabela</x:t>
  </x:si>
  <x:si>
    <x:t xml:space="preserve">   - Preencha todos os campos obrigatórios</x:t>
  </x:si>
  <x:si>
    <x:t xml:space="preserve">   - Use o mesmo formato de dados (sem símbolos de moeda, etc)</x:t>
  </x:si>
  <x:si>
    <x:t xml:space="preserve">4. COMO FAZER UPLOAD</x:t>
  </x:si>
  <x:si>
    <x:t xml:space="preserve">   - Aceda ao dashboard em: viewdash-4miuthwx.manus.space</x:t>
  </x:si>
  <x:si>
    <x:t xml:space="preserve">   - Clique na aba '🔄 Atualizar'</x:t>
  </x:si>
  <x:si>
    <x:t xml:space="preserve">   - Clique em 'Selecionar Ficheiro'</x:t>
  </x:si>
  <x:si>
    <x:t xml:space="preserve">   - Escolha este ficheiro Excel</x:t>
  </x:si>
  <x:si>
    <x:t xml:space="preserve">   - O dashboard será atualizado automaticamente</x:t>
  </x:si>
  <x:si>
    <x:t xml:space="preserve">5. NOTAS IMPORTANTES</x:t>
  </x:si>
  <x:si>
    <x:t xml:space="preserve">   • T1+1, T1-Duplex são comparados com T2 (configurável na aba ⚙️ Configuração)</x:t>
  </x:si>
  <x:si>
    <x:t xml:space="preserve">   • Certifique-se de que não há espaços em branco extras nos nomes</x:t>
  </x:si>
  <x:si>
    <x:t xml:space="preserve">   • Use sempre o mesmo formato de data e números</x:t>
  </x:si>
  <x:si>
    <x:t xml:space="preserve">   • Faça backup do ficheiro antes de fazer grandes alterações</x:t>
  </x:si>
  <x:si>
    <x:t xml:space="preserve">   • Este ficheiro inclui todos os 4 empreendimentos: The View, Del Mar Waterfront, Le Parc, Aura Living</x:t>
  </x:si>
  <x:si>
    <x:t xml:space="preserve">Diagnóstico da base de dados — The View</x:t>
  </x:si>
  <x:si>
    <x:t xml:space="preserve">Métrica</x:t>
  </x:si>
  <x:si>
    <x:t xml:space="preserve">Valor</x:t>
  </x:si>
  <x:si>
    <x:t xml:space="preserve">Comentário</x:t>
  </x:si>
  <x:si>
    <x:t xml:space="preserve">Plano de melhoria do compset</x:t>
  </x:si>
  <x:si>
    <x:t xml:space="preserve">Prioridade</x:t>
  </x:si>
  <x:si>
    <x:t xml:space="preserve">Ação</x:t>
  </x:si>
  <x:si>
    <x:t xml:space="preserve">Como preencher</x:t>
  </x:si>
  <x:si>
    <x:t xml:space="preserve">Impacto no dashboard</x:t>
  </x:si>
  <x:si>
    <x:t xml:space="preserve">Responsável</x:t>
  </x:si>
  <x:si>
    <x:t xml:space="preserve">Estado</x:t>
  </x:si>
  <x:si>
    <x:t xml:space="preserve">Alta</x:t>
  </x:si>
  <x:si>
    <x:t xml:space="preserve">Atualizar todos os concorrentes de 2024</x:t>
  </x:si>
  <x:si>
    <x:t xml:space="preserve">Confirmar PVP, status e URL nos portais/fontes comerciais</x:t>
  </x:si>
  <x:si>
    <x:t xml:space="preserve">Reduz distorção do pricing</x:t>
  </x:si>
  <x:si>
    <x:t xml:space="preserve">Adicionar 3–6 novos empreendimentos premium</x:t>
  </x:si>
  <x:si>
    <x:t xml:space="preserve">Olhão, Marina, Ria Formosa, waterfront, nova construção</x:t>
  </x:si>
  <x:si>
    <x:t xml:space="preserve">Aumenta robustez do preço IA/rigoroso</x:t>
  </x:si>
  <x:si>
    <x:t xml:space="preserve">Classificar Le Parc como benchmark local</x:t>
  </x:si>
  <x:si>
    <x:t xml:space="preserve">Manter, mas com peso inferior ao premium waterfront</x:t>
  </x:si>
  <x:si>
    <x:t xml:space="preserve">Evita subprecificação por comparável fraco</x:t>
  </x:si>
  <x:si>
    <x:t xml:space="preserve">Média</x:t>
  </x:si>
  <x:si>
    <x:t xml:space="preserve">Completar Fonte, URL e Data de atualização</x:t>
  </x:si>
  <x:si>
    <x:t xml:space="preserve">Obrigatório para linhas concorrentes</x:t>
  </x:si>
  <x:si>
    <x:t xml:space="preserve">Melhora qualidade e auditabilidade</x:t>
  </x:si>
  <x:si>
    <x:t xml:space="preserve">Preencher Garagem/Piscina/Condição</x:t>
  </x:si>
  <x:si>
    <x:t xml:space="preserve">Usar Sim/Não/A confirmar</x:t>
  </x:si>
  <x:si>
    <x:t xml:space="preserve">Permite ajustes finos futuros</x:t>
  </x:si>
  <x:si>
    <x:t xml:space="preserve">Criar equivalências comerciais para T1+1/T2+1/Duplex</x:t>
  </x:si>
  <x:si>
    <x:t xml:space="preserve">Documentar na coluna Observações comerciais</x:t>
  </x:si>
  <x:si>
    <x:t xml:space="preserve">Evita amostra vazia para tipologias especiais</x:t>
  </x:si>
  <x:si>
    <x:t xml:space="preserve">Baixa</x:t>
  </x:si>
  <x:si>
    <x:t xml:space="preserve">Separar vendidos/reservados de disponíveis</x:t>
  </x:si>
  <x:si>
    <x:t xml:space="preserve">Status Ativo/Reservado/Vendido</x:t>
  </x:si>
  <x:si>
    <x:t xml:space="preserve">Melhora leitura comercial</x:t>
  </x:si>
  <x:si>
    <x:t xml:space="preserve">Por fazer</x:t>
  </x:si>
  <x:si>
    <x:t xml:space="preserve">Empreendimento / Fonte</x:t>
  </x:si>
  <x:si>
    <x:t xml:space="preserve">Tipo</x:t>
  </x:si>
  <x:si>
    <x:t xml:space="preserve">Localização</x:t>
  </x:si>
  <x:si>
    <x:t xml:space="preserve">Tipologias</x:t>
  </x:si>
  <x:si>
    <x:t xml:space="preserve">Preço desde</x:t>
  </x:si>
  <x:si>
    <x:t xml:space="preserve">Área/escala</x:t>
  </x:si>
  <x:si>
    <x:t xml:space="preserve">Segmento sugerido</x:t>
  </x:si>
  <x:si>
    <x:t xml:space="preserve">Camada sugerida</x:t>
  </x:si>
  <x:si>
    <x:t xml:space="preserve">Peso sugerido</x:t>
  </x:si>
  <x:si>
    <x:t xml:space="preserve">Status sugerido</x:t>
  </x:si>
  <x:si>
    <x:t xml:space="preserve">O que recolher</x:t>
  </x:si>
  <x:si>
    <x:t xml:space="preserve">Fonte URL</x:t>
  </x:si>
  <x:si>
    <x:t xml:space="preserve">Notas</x:t>
  </x:si>
  <x:si>
    <x:t xml:space="preserve">Del Mar Waterfront Living</x:t>
  </x:si>
  <x:si>
    <x:t xml:space="preserve">Marina / Porto de Recreio de Olhão</x:t>
  </x:si>
  <x:si>
    <x:t xml:space="preserve">T2 e T3; projeto T1-T3</x:t>
  </x:si>
  <x:si>
    <x:t xml:space="preserve">690.000 €</x:t>
  </x:si>
  <x:si>
    <x:t xml:space="preserve">126 frações; 72-163 m²</x:t>
  </x:si>
  <x:si>
    <x:t xml:space="preserve">A · Premium ativo</x:t>
  </x:si>
  <x:si>
    <x:t xml:space="preserve">Ativo</x:t>
  </x:si>
  <x:si>
    <x:t xml:space="preserve">Confirmar lista atual de unidades, preços por fração, piso, vista e áreas; atualizar 2026</x:t>
  </x:si>
  <x:si>
    <x:t xml:space="preserve">https://www.idealista.pt/empreendimento/34271659/</x:t>
  </x:si>
  <x:si>
    <x:t xml:space="preserve">Manter como principal benchmark premium; fonte indica marina, 126 frações, T1-T3, áreas 72-163 m², varandas, estacionamento e 5 piscinas.</x:t>
  </x:si>
  <x:si>
    <x:t xml:space="preserve">Del Mar Marina / Del Mar Marina Olhão</x:t>
  </x:si>
  <x:si>
    <x:t xml:space="preserve">Frente mar / Marina de Olhão</x:t>
  </x:si>
  <x:si>
    <x:t xml:space="preserve">T2; projeto T1-T4/T1-T3</x:t>
  </x:si>
  <x:si>
    <x:t xml:space="preserve">720.000 €</x:t>
  </x:si>
  <x:si>
    <x:t xml:space="preserve">83 frações; 4 pisos</x:t>
  </x:si>
  <x:si>
    <x:t xml:space="preserve">Recolher unidades remanescentes e diferenciar de Del Mar Waterfront para não duplicar</x:t>
  </x:si>
  <x:si>
    <x:t xml:space="preserve">https://supercasa.pt/comprar-nova_construcao/olhao/olhao/com-preco-min-1200000</x:t>
  </x:si>
  <x:si>
    <x:t xml:space="preserve">Fonte indica 83 frações, frente marina/Ria Formosa, piscina, garagem e varandas/terraços.</x:t>
  </x:si>
  <x:si>
    <x:t xml:space="preserve">Baixa de Olhão; cerca de 300 m da Marina</x:t>
  </x:si>
  <x:si>
    <x:t xml:space="preserve">T1, T2 e T3</x:t>
  </x:si>
  <x:si>
    <x:t xml:space="preserve">535.500 €</x:t>
  </x:si>
  <x:si>
    <x:t xml:space="preserve">39 apartamentos</x:t>
  </x:si>
  <x:si>
    <x:t xml:space="preserve">Nova construção premium local</x:t>
  </x:si>
  <x:si>
    <x:t xml:space="preserve">B · Benchmark local</x:t>
  </x:si>
  <x:si>
    <x:t xml:space="preserve">Recolher tabela de preços por fração e confirmar vista/estacionamento/piscina</x:t>
  </x:si>
  <x:si>
    <x:t xml:space="preserve">https://supercasa.pt/comprar-nova_construcao/olhao</x:t>
  </x:si>
  <x:si>
    <x:t xml:space="preserve">Boa adição para liquidez e referência de nova construção; menos waterfront direto que The View.</x:t>
  </x:si>
  <x:si>
    <x:t xml:space="preserve">Luxuosos apartamentos com terraço privativo</x:t>
  </x:si>
  <x:si>
    <x:t xml:space="preserve">Empreendimento/listagem agregada</x:t>
  </x:si>
  <x:si>
    <x:t xml:space="preserve">Olhão</x:t>
  </x:si>
  <x:si>
    <x:t xml:space="preserve">T2, T3, T4+</x:t>
  </x:si>
  <x:si>
    <x:t xml:space="preserve">415.000 €</x:t>
  </x:si>
  <x:si>
    <x:t xml:space="preserve">A confirmar</x:t>
  </x:si>
  <x:si>
    <x:t xml:space="preserve">Nova construção local</x:t>
  </x:si>
  <x:si>
    <x:t xml:space="preserve">Identificar nome real do empreendimento e evitar duplicação com PLESSIS/Saramago</x:t>
  </x:si>
  <x:si>
    <x:t xml:space="preserve">Fonte agregada; precisa validação antes de entrar como unidades no Dados.</x:t>
  </x:si>
  <x:si>
    <x:t xml:space="preserve">Apartamentos Marina Olhão com terraço</x:t>
  </x:si>
  <x:si>
    <x:t xml:space="preserve">Listagens individuais</x:t>
  </x:si>
  <x:si>
    <x:t xml:space="preserve">Marina, Olhão</x:t>
  </x:si>
  <x:si>
    <x:t xml:space="preserve">T1+1, T2, penthouse</x:t>
  </x:si>
  <x:si>
    <x:t xml:space="preserve">335.000 €+ / exemplos 380.000 € a 755.000 €</x:t>
  </x:si>
  <x:si>
    <x:t xml:space="preserve">Revenda premium/local</x:t>
  </x:si>
  <x:si>
    <x:t xml:space="preserve">Recolher apenas anúncios com área, piso, vista, varanda/terraço e link; não misturar sem ficha completa</x:t>
  </x:si>
  <x:si>
    <x:t xml:space="preserve">https://www.idealista.pt/comprar-casas/olhao/marina/com-apartamentos%2Cterraco/</x:t>
  </x:si>
  <x:si>
    <x:t xml:space="preserve">Útil para tipologias sem comparáveis diretos, como T1+1 e penthouses, mas deve ter menor peso.</x:t>
  </x:si>
  <x:si>
    <x:t xml:space="preserve">Urbanização Village Marina</x:t>
  </x:si>
  <x:si>
    <x:t xml:space="preserve">Revenda / zona</x:t>
  </x:si>
  <x:si>
    <x:t xml:space="preserve">Olhão - Village Marina</x:t>
  </x:si>
  <x:si>
    <x:t xml:space="preserve">Apartamentos variados</x:t>
  </x:si>
  <x:si>
    <x:t xml:space="preserve">335.000 €</x:t>
  </x:si>
  <x:si>
    <x:t xml:space="preserve">11 anúncios na zona</x:t>
  </x:si>
  <x:si>
    <x:t xml:space="preserve">Benchmark local usado</x:t>
  </x:si>
  <x:si>
    <x:t xml:space="preserve">C · Histórico/secundário</x:t>
  </x:si>
  <x:si>
    <x:t xml:space="preserve">Usar apenas para contexto local e validar estado/ano antes de misturar</x:t>
  </x:si>
  <x:si>
    <x:t xml:space="preserve">https://www.idealista.pt/geo/comprar-casas/urbanizacao-village-marina/com-apartamentos/</x:t>
  </x:si>
  <x:si>
    <x:t xml:space="preserve">Ajuda a calibrar mercado secundário, mas não deve comandar preço premium.</x:t>
  </x:si>
  <x:si>
    <x:t xml:space="preserve">Casas De Sal</x:t>
  </x:si>
  <x:si>
    <x:t xml:space="preserve">Produto alternativo</x:t>
  </x:si>
  <x:si>
    <x:t xml:space="preserve">Moncarapacho e Fuseta</x:t>
  </x:si>
  <x:si>
    <x:t xml:space="preserve">Moradias T3</x:t>
  </x:si>
  <x:si>
    <x:t xml:space="preserve">860.000 €</x:t>
  </x:si>
  <x:si>
    <x:t xml:space="preserve">Moradias em banda</x:t>
  </x:si>
  <x:si>
    <x:t xml:space="preserve">Alternativa lifestyle fora do micro mercado</x:t>
  </x:si>
  <x:si>
    <x:t xml:space="preserve">Só usar se quiser comparar poder de compra/lifestyle; não usar no preço oficial de apartamentos</x:t>
  </x:si>
  <x:si>
    <x:t xml:space="preserve">https://www.idealista.pt/comprar-empreendimentos/olhao/</x:t>
  </x:si>
  <x:si>
    <x:t xml:space="preserve">Fora do micro mercado Marina/Olhão apartamentos; útil apenas como referência estratégica.</x:t>
  </x:si>
  <x:si>
    <x:t xml:space="preserve">Critério</x:t>
  </x:si>
  <x:si>
    <x:t xml:space="preserve">Valor / condição</x:t>
  </x:si>
  <x:si>
    <x:t xml:space="preserve">Peso recomendado</x:t>
  </x:si>
  <x:si>
    <x:t xml:space="preserve">Camada</x:t>
  </x:si>
  <x:si>
    <x:t xml:space="preserve">Como usar no compset</x:t>
  </x:si>
  <x:si>
    <x:t xml:space="preserve">Exemplo</x:t>
  </x:si>
  <x:si>
    <x:t xml:space="preserve">Waterfront / Marina / Ria Formosa comparável</x:t>
  </x:si>
  <x:si>
    <x:t xml:space="preserve">Usar no preço oficial quando também casar tipologia/piso/vista</x:t>
  </x:si>
  <x:si>
    <x:t xml:space="preserve">Del Mar Waterfront atualizado</x:t>
  </x:si>
  <x:si>
    <x:t xml:space="preserve">Olhão central / próximo da marina, mas sem frente de água</x:t>
  </x:si>
  <x:si>
    <x:t xml:space="preserve">Usar como benchmark; menor peso no preço IA</x:t>
  </x:si>
  <x:si>
    <x:t xml:space="preserve">Fora do micro mercado ou produto diferente</x:t>
  </x:si>
  <x:si>
    <x:t xml:space="preserve">C</x:t>
  </x:si>
  <x:si>
    <x:t xml:space="preserve">Apenas contexto estratégico</x:t>
  </x:si>
  <x:si>
    <x:t xml:space="preserve">Atualidade</x:t>
  </x:si>
  <x:si>
    <x:t xml:space="preserve">Ativo/atualizado nos últimos 90 dias</x:t>
  </x:si>
  <x:si>
    <x:t xml:space="preserve">A/B</x:t>
  </x:si>
  <x:si>
    <x:t xml:space="preserve">Pode entrar com peso normal</x:t>
  </x:si>
  <x:si>
    <x:t xml:space="preserve">URL e data confirmada</x:t>
  </x:si>
  <x:si>
    <x:t xml:space="preserve">Produto</x:t>
  </x:si>
  <x:si>
    <x:t xml:space="preserve">Nova construção com garagem, piscina e varanda/terraço</x:t>
  </x:si>
  <x:si>
    <x:t xml:space="preserve">Bom comparável se áreas e vistas forem completas</x:t>
  </x:si>
  <x:si>
    <x:t xml:space="preserve">Del Mar / Saramago</x:t>
  </x:si>
  <x:si>
    <x:t xml:space="preserve">Revenda ou produto semi-novo</x:t>
  </x:si>
  <x:si>
    <x:t xml:space="preserve">B/C</x:t>
  </x:si>
  <x:si>
    <x:t xml:space="preserve">Usar apenas se ficha completa e localização muito boa</x:t>
  </x:si>
  <x:si>
    <x:t xml:space="preserve">Village Marina</x:t>
  </x:si>
  <x:si>
    <x:t xml:space="preserve">Dados</x:t>
  </x:si>
  <x:si>
    <x:t xml:space="preserve">Ficha completa com URL, data, área, piso, vista e preço</x:t>
  </x:si>
  <x:si>
    <x:t xml:space="preserve">Confiável para pricing</x:t>
  </x:si>
  <x:si>
    <x:t xml:space="preserve">Anúncio detalhado</x:t>
  </x:si>
  <x:si>
    <x:t xml:space="preserve">Sem URL, sem data ou sem área útil/total</x:t>
  </x:si>
  <x:si>
    <x:t xml:space="preserve">Prioridade de atualização alta</x:t>
  </x:si>
  <x:si>
    <x:t xml:space="preserve">Linha antiga sem fonte</x:t>
  </x:si>
  <x:si>
    <x:t xml:space="preserve">Como usar esta folha</x:t>
  </x:si>
  <x:si>
    <x:t xml:space="preserve">CAND-001</x:t>
  </x:si>
  <x:si>
    <x:t xml:space="preserve">T2 / T3</x:t>
  </x:si>
  <x:si>
    <x:t xml:space="preserve">Marina / Ria Formosa</x:t>
  </x:si>
  <x:si>
    <x:t xml:space="preserve">Candidato / Ativo</x:t>
  </x:si>
  <x:si>
    <x:t xml:space="preserve">Idealista</x:t>
  </x:si>
  <x:si>
    <x:t xml:space="preserve">Sim</x:t>
  </x:si>
  <x:si>
    <x:t xml:space="preserve">Adicionar unidades reais por fração; confirmar preços, pisos, vistas, ABP, varandas e disponibilidade.</x:t>
  </x:si>
  <x:si>
    <x:t xml:space="preserve">Recolher tabela de unidades e substituir esta linha por frações individuais.</x:t>
  </x:si>
  <x:si>
    <x:t xml:space="preserve">1</x:t>
  </x:si>
  <x:si>
    <x:t xml:space="preserve">Esta folha usa exatamente as mesmas colunas da folha Dados.</x:t>
  </x:si>
  <x:si>
    <x:t xml:space="preserve">CAND-002</x:t>
  </x:si>
  <x:si>
    <x:t xml:space="preserve">T1 / T2 / T3 / T4</x:t>
  </x:si>
  <x:si>
    <x:t xml:space="preserve">Frente mar / Marina</x:t>
  </x:si>
  <x:si>
    <x:t xml:space="preserve">SuperCasa</x:t>
  </x:si>
  <x:si>
    <x:t xml:space="preserve">Validar se é distinto do Del Mar Waterfront Living para evitar duplicação.</x:t>
  </x:si>
  <x:si>
    <x:t xml:space="preserve">Recolher unidades remanescentes; confirmar nome comercial e fichas por fração.</x:t>
  </x:si>
  <x:si>
    <x:t xml:space="preserve">2</x:t>
  </x:si>
  <x:si>
    <x:t xml:space="preserve">As linhas são candidatos, não frações definitivas.</x:t>
  </x:si>
  <x:si>
    <x:t xml:space="preserve">CAND-003</x:t>
  </x:si>
  <x:si>
    <x:t xml:space="preserve">T1 / T2 / T3</x:t>
  </x:si>
  <x:si>
    <x:t xml:space="preserve">Bom benchmark local, mas menos waterfront direto do que The View.</x:t>
  </x:si>
  <x:si>
    <x:t xml:space="preserve">Recolher tabela por fração, vista real, pisos, áreas e estacionamento.</x:t>
  </x:si>
  <x:si>
    <x:t xml:space="preserve">3</x:t>
  </x:si>
  <x:si>
    <x:t xml:space="preserve">Antes de copiar para Dados, substituir cada candidato por unidades reais com ABP, varanda, área total e PVP.</x:t>
  </x:si>
  <x:si>
    <x:t xml:space="preserve">4</x:t>
  </x:si>
  <x:si>
    <x:t xml:space="preserve">Não usar linhas com ABP/Área vazias no pricing oficial.</x:t>
  </x:si>
  <x:si>
    <x:t xml:space="preserve">CAND-005</x:t>
  </x:si>
  <x:si>
    <x:t xml:space="preserve">T2 / T3 / T4+</x:t>
  </x:si>
  <x:si>
    <x:t xml:space="preserve">Candidato / A validar</x:t>
  </x:si>
  <x:si>
    <x:t xml:space="preserve">Fonte agregada; precisa confirmar nome real do empreendimento e evitar duplicação.</x:t>
  </x:si>
  <x:si>
    <x:t xml:space="preserve">Identificar empreendimento real antes de inserir como concorrente oficial.</x:t>
  </x:si>
  <x:si>
    <x:t xml:space="preserve">5</x:t>
  </x:si>
  <x:si>
    <x:t xml:space="preserve">Peso comparável é sugestão inicial; ajustar conforme qualidade da fonte e semelhança real.</x:t>
  </x:si>
  <x:si>
    <x:t xml:space="preserve">CAND-006</x:t>
  </x:si>
  <x:si>
    <x:t xml:space="preserve">T1+1 / T2 / Penthouse</x:t>
  </x:si>
  <x:si>
    <x:t xml:space="preserve">Marina / A confirmar</x:t>
  </x:si>
  <x:si>
    <x:t xml:space="preserve">Candidato / Listagens individuais</x:t>
  </x:si>
  <x:si>
    <x:t xml:space="preserve">Usado / A confirmar</x:t>
  </x:si>
  <x:si>
    <x:t xml:space="preserve">Útil para tipologias sem diretos, mas apenas com ficha completa por anúncio.</x:t>
  </x:si>
  <x:si>
    <x:t xml:space="preserve">Selecionar apenas anúncios com preço, área, piso, vista, varanda/terraço e URL individual.</x:t>
  </x:si>
  <x:si>
    <x:t xml:space="preserve">6</x:t>
  </x:si>
  <x:si>
    <x:t xml:space="preserve">Manter URL individual sempre que possível.</x:t>
  </x:si>
  <x:si>
    <x:t xml:space="preserve">CAND-007</x:t>
  </x:si>
  <x:si>
    <x:t xml:space="preserve">Usado</x:t>
  </x:si>
  <x:si>
    <x:t xml:space="preserve">Benchmark de mercado secundário; não deve comandar pricing premium.</x:t>
  </x:si>
  <x:si>
    <x:t xml:space="preserve">Usar só como contexto; validar estado, ano, áreas e localização exata.</x:t>
  </x:si>
  <x:si>
    <x:t xml:space="preserve">CAND-008</x:t>
  </x:si>
  <x:si>
    <x:t xml:space="preserve">T3 moradia</x:t>
  </x:si>
  <x:si>
    <x:t xml:space="preserve">Fora do micro mercado</x:t>
  </x:si>
  <x:si>
    <x:t xml:space="preserve">Candidato / Estratégico</x:t>
  </x:si>
  <x:si>
    <x:t xml:space="preserve">Produto alternativo; não usar no preço oficial de apartamentos The View.</x:t>
  </x:si>
  <x:si>
    <x:t xml:space="preserve">Usar apenas para análise de poder de compra/lifestyle, não como concorrente direto.</x:t>
  </x:si>
  <x:si>
    <x:t xml:space="preserve">Data</x:t>
  </x:si>
  <x:si>
    <x:t xml:space="preserve">Tipo de dado</x:t>
  </x:si>
  <x:si>
    <x:t xml:space="preserve">€/m²</x:t>
  </x:si>
  <x:si>
    <x:t xml:space="preserve">Variação mensal</x:t>
  </x:si>
  <x:si>
    <x:t xml:space="preserve">Variação trimestral</x:t>
  </x:si>
  <x:si>
    <x:t xml:space="preserve">Variação anual</x:t>
  </x:si>
  <x:si>
    <x:t xml:space="preserve">Uso recomendado</x:t>
  </x:si>
  <x:si>
    <x:t xml:space="preserve">Observação</x:t>
  </x:si>
  <x:si>
    <x:t xml:space="preserve">2026-04</x:t>
  </x:si>
  <x:si>
    <x:t xml:space="preserve">Oferta/anúncio</x:t>
  </x:si>
  <x:si>
    <x:t xml:space="preserve">Portugal</x:t>
  </x:si>
  <x:si>
    <x:t xml:space="preserve">Mercado geral</x:t>
  </x:si>
  <x:si>
    <x:t xml:space="preserve">Benchmark macro</x:t>
  </x:si>
  <x:si>
    <x:t xml:space="preserve">Preço mediano de casas anunciadas para venda; não usar como concorrente direto.</x:t>
  </x:si>
  <x:si>
    <x:t xml:space="preserve">https://www.idealista.pt/media/relatorios-preco-habitacao/</x:t>
  </x:si>
  <x:si>
    <x:t xml:space="preserve">Algarve</x:t>
  </x:si>
  <x:si>
    <x:t xml:space="preserve">Mercado regional</x:t>
  </x:si>
  <x:si>
    <x:t xml:space="preserve">Benchmark regional</x:t>
  </x:si>
  <x:si>
    <x:t xml:space="preserve">Preço mediano de casas anunciadas para venda no Algarve; útil para posicionamento premium.</x:t>
  </x:si>
  <x:si>
    <x:t xml:space="preserve">https://www.idealista.pt/media/relatorios-preco-habitacao/venda/faro/</x:t>
  </x:si>
  <x:si>
    <x:t xml:space="preserve">Mercado local</x:t>
  </x:si>
  <x:si>
    <x:t xml:space="preserve">Preço mediano de casas anunciadas para venda em Olhão; usar como base local geral.</x:t>
  </x:si>
  <x:si>
    <x:t xml:space="preserve">https://www.idealista.pt/media/relatorios-preco-habitacao/venda/faro/olhao/</x:t>
  </x:si>
  <x:si>
    <x:t xml:space="preserve">2025</x:t>
  </x:si>
  <x:si>
    <x:t xml:space="preserve">INE</x:t>
  </x:si>
  <x:si>
    <x:t xml:space="preserve">Transação</x:t>
  </x:si>
  <x:si>
    <x:t xml:space="preserve">Benchmark transação</x:t>
  </x:si>
  <x:si>
    <x:t xml:space="preserve">Preço mediano anual de alojamentos familiares transacionados; mais conservador que preço de oferta.</x:t>
  </x:si>
  <x:si>
    <x:t xml:space="preserve">https://www.ine.pt/xportal/xmain?DESTAQUESdest_boui=706274558&amp;DESTAQUESmodo=2&amp;xlang=pt&amp;xpgid=ine_destaques&amp;xpid=INE</x:t>
  </x:si>
  <x:si>
    <x:t xml:space="preserve">Preço mediano anual de alojamentos familiares transacionados no Algarve; útil para validar premium regional.</x:t>
  </x:si>
  <x:si>
    <x:t xml:space="preserve">2025-Q4</x:t>
  </x:si>
  <x:si>
    <x:t xml:space="preserve">Benchmark trimestral</x:t>
  </x:si>
  <x:si>
    <x:t xml:space="preserve">Preço mediano dos alojamentos familiares transacionados em Portugal no 4.º trimestre de 2025.</x:t>
  </x:si>
  <x:si>
    <x:t xml:space="preserve">https://www.ine.pt/ngt_server/attachfileu.jsp?att_display=n&amp;att_download=y&amp;look_parentBoui=789055201</x:t>
  </x:si>
  <x:si>
    <x:t xml:space="preserve">Contexto de Mercado · The View Olhão</x:t>
  </x:si>
  <x:si>
    <x:t xml:space="preserve">Indicador</x:t>
  </x:si>
  <x:si>
    <x:t xml:space="preserve">Fonte / cálculo</x:t>
  </x:si>
  <x:si>
    <x:t xml:space="preserve">Leitura</x:t>
  </x:si>
  <x:si>
    <x:t xml:space="preserve">Fontes usadas</x:t>
  </x:si>
  <x:si>
    <x:t xml:space="preserve">Mediana The View €/m² c/ varanda</x:t>
  </x:si>
  <x:si>
    <x:t xml:space="preserve">MEDIAN(FILTER(Dados[Com Varanda/Terraço], Dados[Empreendimento]="The View"))</x:t>
  </x:si>
  <x:si>
    <x:t xml:space="preserve">Âncora interna do empreendimento.</x:t>
  </x:si>
  <x:si>
    <x:t xml:space="preserve">Índice de preços de oferta/anúncio. Útil para perceber mercado pedido, não preço fechado.</x:t>
  </x:si>
  <x:si>
    <x:t xml:space="preserve">Mediana concorrentes €/m² c/ varanda</x:t>
  </x:si>
  <x:si>
    <x:t xml:space="preserve">MEDIAN(FILTER(Dados[Com Varanda/Terraço], Dados[Empreendimento]&lt;&gt;"The View"))</x:t>
  </x:si>
  <x:si>
    <x:t xml:space="preserve">Idealista Olhão</x:t>
  </x:si>
  <x:si>
    <x:t xml:space="preserve">Preço do m² em Olhão a abril de 2026: 3.261 €/m².</x:t>
  </x:si>
  <x:si>
    <x:t xml:space="preserve">Benchmark Olhão · oferta</x:t>
  </x:si>
  <x:si>
    <x:t xml:space="preserve">Benchmark_Mercado</x:t>
  </x:si>
  <x:si>
    <x:t xml:space="preserve">Base local geral; não é concorrência direta.</x:t>
  </x:si>
  <x:si>
    <x:t xml:space="preserve">Idealista Algarve</x:t>
  </x:si>
  <x:si>
    <x:t xml:space="preserve">Preço do m² no Algarve/Faro a abril de 2026: 4.009 €/m².</x:t>
  </x:si>
  <x:si>
    <x:t xml:space="preserve">Benchmark Algarve · oferta</x:t>
  </x:si>
  <x:si>
    <x:t xml:space="preserve">Base regional; útil para justificar posicionamento premium.</x:t>
  </x:si>
  <x:si>
    <x:t xml:space="preserve">Estatísticas de preços de habitação ao nível local; transações reais.</x:t>
  </x:si>
  <x:si>
    <x:t xml:space="preserve">Benchmark Portugal · oferta</x:t>
  </x:si>
  <x:si>
    <x:t xml:space="preserve">Base macro; usado apenas para enquadramento.</x:t>
  </x:si>
  <x:si>
    <x:t xml:space="preserve">The View vs Olhão</x:t>
  </x:si>
  <x:si>
    <x:t xml:space="preserve">Mediana The View / Olhão - 1</x:t>
  </x:si>
  <x:si>
    <x:t xml:space="preserve">Mostra o prémio local.</x:t>
  </x:si>
  <x:si>
    <x:t xml:space="preserve">The View vs Algarve</x:t>
  </x:si>
  <x:si>
    <x:t xml:space="preserve">Mediana The View / Algarve - 1</x:t>
  </x:si>
  <x:si>
    <x:t xml:space="preserve">Mostra o posicionamento regional.</x:t>
  </x:si>
  <x:si>
    <x:t xml:space="preserve">The View vs Portugal</x:t>
  </x:si>
  <x:si>
    <x:t xml:space="preserve">Mediana The View / Portugal - 1</x:t>
  </x:si>
  <x:si>
    <x:t xml:space="preserve">Mostra o prémio macro.</x:t>
  </x:si>
  <x:si>
    <x:t xml:space="preserve">Recomendação analítica</x:t>
  </x:si>
  <x:si>
    <x:t xml:space="preserve">Não misturar benchmarks macro/regionais com concorrentes diretos.</x:t>
  </x:si>
  <x:si>
    <x:t xml:space="preserve">Olhão, Algarve e Portugal devem validar o posicionamento, não calcular o preço de cada fração.</x:t>
  </x:si>
  <x:si>
    <x:t xml:space="preserve">Saramago 2024 · leitura rápida</x:t>
  </x:si>
  <x:si>
    <x:t xml:space="preserve">Linhas adicionadas</x:t>
  </x:si>
  <x:si>
    <x:t xml:space="preserve">Dados!A174:AB198</x:t>
  </x:si>
  <x:si>
    <x:t xml:space="preserve">Apenas linhas com preço numérico foram adicionadas.</x:t>
  </x:si>
  <x:si>
    <x:t xml:space="preserve">Mediana €/m² c/ exterior</x:t>
  </x:si>
  <x:si>
    <x:t xml:space="preserve">MEDIAN(Saramago_2024_Convertido[€/m² com varanda/terraço])</x:t>
  </x:si>
  <x:si>
    <x:t xml:space="preserve">Benchmark local histórico 2024.</x:t>
  </x:si>
  <x:si>
    <x:t xml:space="preserve">Histórico</x:t>
  </x:si>
  <x:si>
    <x:t xml:space="preserve">Tabela 2024</x:t>
  </x:si>
  <x:si>
    <x:t xml:space="preserve">Atualizar antes de decisão final.</x:t>
  </x:si>
  <x:si>
    <x:t xml:space="preserve">Ano 2024 + benchmark local</x:t>
  </x:si>
  <x:si>
    <x:t xml:space="preserve">Reduz impacto no modelo.</x:t>
  </x:si>
  <x:si>
    <x:t xml:space="preserve">Limitação</x:t>
  </x:si>
  <x:si>
    <x:t xml:space="preserve">Sem vista/orientação</x:t>
  </x:si>
  <x:si>
    <x:t xml:space="preserve">Vista=N/D</x:t>
  </x:si>
  <x:si>
    <x:t xml:space="preserve">Não deve entrar como concorrente direto por vista.</x:t>
  </x:si>
  <x:si>
    <x:t xml:space="preserve">€/m² sem varanda</x:t>
  </x:si>
  <x:si>
    <x:t xml:space="preserve">€/m² com varanda/terraço</x:t>
  </x:si>
  <x:si>
    <x:t xml:space="preserve">N/D</x:t>
  </x:si>
  <x:si>
    <x:t xml:space="preserve">Tabela de preços 2024. Sem orientação/vista por fração; usar como benchmark local, não como concorrente direto premium.</x:t>
  </x:si>
</x:sst>
</file>

<file path=xl/styles.xml><?xml version="1.0" encoding="utf-8"?>
<x:styleSheet xmlns:x="http://schemas.openxmlformats.org/spreadsheetml/2006/main">
  <x:numFmts count="9">
    <x:numFmt numFmtId="164" formatCode="\€\ #,##0"/>
    <x:numFmt numFmtId="165" formatCode="yyyy\-mm\-dd"/>
    <x:numFmt numFmtId="166" formatCode="#,##0\ &quot;€/m²&quot;"/>
    <x:numFmt numFmtId="167" formatCode="0.0%"/>
    <x:numFmt numFmtId="168" formatCode="#,##0\ \€"/>
    <x:numFmt numFmtId="200" formatCode="yyyy-mm-dd"/>
    <x:numFmt numFmtId="201" formatCode="#,##0 &quot;€&quot;"/>
    <x:numFmt numFmtId="202" formatCode="0.00"/>
    <x:numFmt numFmtId="203" formatCode="#,##0 &quot;€/m²&quot;"/>
  </x:numFmts>
  <x:fonts count="12">
    <x:font>
      <x:sz val="11"/>
      <x:color theme="1"/>
      <x:name val="Calibri"/>
    </x:font>
    <x:font>
      <x:b/>
      <x:sz val="11"/>
      <x:name val="Calibri"/>
    </x:font>
    <x:font>
      <x:sz val="10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581C87"/>
      <x:name val="Calibri"/>
    </x:font>
    <x:font>
      <x:b/>
      <x:sz val="11"/>
      <x:color rgb="FF111827"/>
      <x:name val="Calibri"/>
    </x:font>
    <x:font>
      <x:b/>
      <x:sz val="11"/>
      <x:color theme="1"/>
      <x:name val="Calibri"/>
    </x:font>
    <x:font>
      <x:b/>
      <x:sz val="10"/>
      <x:color rgb="FFFFFFFF"/>
      <x:name val="Calibri"/>
    </x:font>
    <x:font>
      <x:sz val="10"/>
      <x:color theme="1"/>
      <x:name val="Calibri"/>
    </x:font>
    <x:font>
      <x:b/>
      <x:sz val="10"/>
      <x:color theme="1"/>
      <x:name val="Calibri"/>
    </x:font>
    <x:font>
      <x:b/>
      <x:sz val="10"/>
      <x:color rgb="FF111827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F3E8FF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</x:fills>
  <x:borders count="2">
    <x:border/>
    <x:border/>
  </x:borders>
  <x:cellStyleXfs count="1">
    <x:xf numFmtId="0" fontId="0" fillId="0" borderId="0"/>
  </x:cellStyleXfs>
  <x:cellXfs count="124">
    <x:xf numFmtId="0" fontId="0" fillId="0" borderId="0" xfId="0"/>
    <x:xf numFmtId="0" fontId="0" fillId="0" borderId="0" xfId="0" applyAlignment="1">
      <x:alignment horizontal="left" vertical="center"/>
    </x:xf>
    <x:xf numFmtId="0" fontId="1" fillId="0" borderId="0" xfId="0" applyFont="1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3" fillId="2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2" fontId="0" fillId="0" borderId="0" xfId="0" applyNumberFormat="1"/>
    <x:xf numFmtId="165" fontId="0" fillId="0" borderId="0" xfId="0" applyNumberFormat="1"/>
    <x:xf numFmtId="0" fontId="3" fillId="3" borderId="0" xfId="0" applyFont="1" applyFill="1"/>
    <x:xf numFmtId="164" fontId="0" fillId="0" borderId="0" xfId="0" applyNumberFormat="1"/>
    <x:xf numFmtId="0" fontId="3" fillId="3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3" fillId="4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wrapText="1"/>
    </x:xf>
    <x:xf numFmtId="0" fontId="3" fillId="5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165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3" fillId="7" borderId="0" xfId="0" applyFont="1" applyFill="1" applyAlignment="1">
      <x:alignment horizontal="center" vertical="center" wrapText="1"/>
    </x:xf>
    <x:xf numFmtId="166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  <x:xf numFmtId="0" fontId="7" fillId="0" borderId="0" xfId="0" applyFont="1" applyAlignment="1">
      <x:alignment wrapText="1"/>
    </x:xf>
    <x:xf numFmtId="4" fontId="0" fillId="0" borderId="0" xfId="0" applyNumberFormat="1" applyAlignment="1">
      <x:alignment wrapText="1"/>
    </x:xf>
    <x:xf numFmtId="168" fontId="0" fillId="0" borderId="0" xfId="0" applyNumberFormat="1" applyAlignment="1">
      <x:alignment wrapText="1"/>
    </x:xf>
    <x:xf numFmtId="0" fontId="3" fillId="9" borderId="0" xfId="0" applyFont="1" applyFill="1" applyAlignment="1">
      <x:alignment horizontal="center" vertical="center" wrapText="1"/>
    </x:xf>
    <x:xf numFmtId="0" fontId="4" fillId="2" borderId="0" xfId="0" applyFont="1" applyFill="1" applyAlignment="1">
      <x:alignment horizontal="center"/>
    </x:xf>
    <x:xf numFmtId="0" fontId="0" fillId="0" borderId="0" xfId="0"/>
    <x:xf numFmtId="0" fontId="5" fillId="6" borderId="0" xfId="0" applyFont="1" applyFill="1" applyAlignment="1">
      <x:alignment horizontal="center"/>
    </x:xf>
    <x:xf numFmtId="0" fontId="4" fillId="7" borderId="0" xfId="0" applyFont="1" applyFill="1" applyAlignment="1">
      <x:alignment horizontal="left" vertical="center"/>
    </x:xf>
    <x:xf numFmtId="0" fontId="6" fillId="8" borderId="0" xfId="0" applyFont="1" applyFill="1" applyAlignment="1">
      <x:alignment horizontal="left"/>
    </x:xf>
    <x:xf numFmtId="0" fontId="3" fillId="7" borderId="0" xfId="0" applyFont="1" applyFill="1" applyAlignment="1">
      <x:alignment horizontal="center" vertical="center" wrapText="1"/>
    </x:xf>
    <x:xf numFmtId="0" fontId="6" fillId="10" borderId="0" xfId="0" applyFont="1" applyFill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top" wrapText="1"/>
    </x:xf>
    <x:xf numFmtId="0" fontId="2" fillId="0" borderId="1" xfId="0" applyNumberFormat="1" applyFont="1" applyFill="1" applyBorder="1" applyAlignment="1">
      <x:alignment horizontal="left" vertical="top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" fontId="0" fillId="0" borderId="1" xfId="0" applyNumberFormat="1" applyFont="1" applyFill="1" applyBorder="1" applyAlignment="1">
      <x:alignment horizontal="left" vertical="center"/>
    </x:xf>
    <x:xf numFmtId="164" fontId="0" fillId="0" borderId="1" xfId="0" applyNumberFormat="1" applyFont="1" applyFill="1" applyBorder="1" applyAlignment="1">
      <x:alignment horizontal="left" vertical="center"/>
    </x:xf>
    <x:xf numFmtId="2" fontId="0" fillId="0" borderId="1" xfId="0" applyNumberFormat="1" applyFont="1" applyFill="1" applyBorder="1"/>
    <x:xf numFmtId="165" fontId="0" fillId="0" borderId="1" xfId="0" applyNumberFormat="1" applyFont="1" applyFill="1" applyBorder="1"/>
    <x:xf numFmtId="0" fontId="3" fillId="3" borderId="1" xfId="0" applyNumberFormat="1" applyFont="1" applyFill="1" applyBorder="1"/>
    <x:xf numFmtId="164" fontId="0" fillId="0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164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2" fontId="0" fillId="0" borderId="1" xfId="0" applyNumberFormat="1" applyFont="1" applyFill="1" applyBorder="1" applyAlignment="1">
      <x:alignment vertical="top" wrapText="1"/>
    </x:xf>
    <x:xf numFmtId="166" fontId="0" fillId="0" borderId="1" xfId="0" applyNumberFormat="1" applyFont="1" applyFill="1" applyBorder="1" applyAlignment="1">
      <x:alignment wrapText="1"/>
    </x:xf>
    <x:xf numFmtId="167" fontId="0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4" fontId="0" fillId="0" borderId="1" xfId="0" applyNumberFormat="1" applyFont="1" applyFill="1" applyBorder="1" applyAlignment="1">
      <x:alignment wrapText="1"/>
    </x:xf>
    <x:xf numFmtId="168" fontId="0" fillId="0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left" vertical="center"/>
    </x:xf>
    <x:xf numFmtId="0" fontId="6" fillId="8" borderId="1" xfId="0" applyNumberFormat="1" applyFont="1" applyFill="1" applyBorder="1" applyAlignment="1">
      <x:alignment horizontal="left"/>
    </x:xf>
    <x:xf numFmtId="0" fontId="6" fillId="8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horizontal="left" vertical="center"/>
    </x:xf>
    <x:xf numFmtId="201" fontId="0" fillId="0" borderId="1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horizontal="left" vertical="center"/>
    </x:xf>
    <x:xf numFmtId="2" fontId="9" fillId="0" borderId="0" xfId="0" applyNumberFormat="1" applyFont="1" applyFill="1" applyBorder="1" applyAlignment="1">
      <x:alignment horizontal="left" vertical="center"/>
    </x:xf>
    <x:xf numFmtId="164" fontId="9" fillId="0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" fontId="9" fillId="0" borderId="0" xfId="0" applyNumberFormat="1" applyFont="1" applyFill="1" applyBorder="1"/>
    <x:xf numFmtId="165" fontId="9" fillId="0" borderId="0" xfId="0" applyNumberFormat="1" applyFont="1" applyFill="1" applyBorder="1"/>
    <x:xf numFmtId="201" fontId="9" fillId="0" borderId="0" xfId="0" applyNumberFormat="1" applyFont="1" applyFill="1" applyBorder="1" applyAlignment="1">
      <x:alignment horizontal="left" vertical="center"/>
    </x:xf>
    <x:xf numFmtId="202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 vertical="center" wrapText="1"/>
    </x:xf>
    <x:xf numFmtId="0" fontId="9" fillId="0" borderId="1" xfId="0" applyNumberFormat="1" applyFont="1" applyFill="1" applyBorder="1" applyAlignment="1">
      <x:alignment horizontal="left" vertical="center"/>
    </x:xf>
    <x:xf numFmtId="2" fontId="9" fillId="0" borderId="1" xfId="0" applyNumberFormat="1" applyFont="1" applyFill="1" applyBorder="1" applyAlignment="1">
      <x:alignment horizontal="left" vertical="center"/>
    </x:xf>
    <x:xf numFmtId="164" fontId="9" fillId="0" borderId="1" xfId="0" applyNumberFormat="1" applyFont="1" applyFill="1" applyBorder="1" applyAlignment="1">
      <x:alignment horizontal="left" vertical="center"/>
    </x:xf>
    <x:xf numFmtId="0" fontId="9" fillId="0" borderId="1" xfId="0" applyNumberFormat="1" applyFont="1" applyFill="1" applyBorder="1"/>
    <x:xf numFmtId="200" fontId="9" fillId="0" borderId="1" xfId="0" applyNumberFormat="1" applyFont="1" applyFill="1" applyBorder="1"/>
    <x:xf numFmtId="2" fontId="9" fillId="0" borderId="1" xfId="0" applyNumberFormat="1" applyFont="1" applyFill="1" applyBorder="1"/>
    <x:xf numFmtId="165" fontId="9" fillId="0" borderId="1" xfId="0" applyNumberFormat="1" applyFont="1" applyFill="1" applyBorder="1"/>
    <x:xf numFmtId="201" fontId="9" fillId="0" borderId="1" xfId="0" applyNumberFormat="1" applyFont="1" applyFill="1" applyBorder="1" applyAlignment="1">
      <x:alignment horizontal="left" vertical="center"/>
    </x:xf>
    <x:xf numFmtId="202" fontId="9" fillId="0" borderId="1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2" fontId="9" fillId="0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164" fontId="9" fillId="0" borderId="0" xfId="0" applyNumberFormat="1" applyFont="1" applyFill="1" applyBorder="1" applyAlignment="1">
      <x:alignment vertical="top" wrapText="1"/>
    </x:xf>
    <x:xf numFmtId="165" fontId="9" fillId="0" borderId="0" xfId="0" applyNumberFormat="1" applyFont="1" applyFill="1" applyBorder="1" applyAlignment="1">
      <x:alignment vertical="top" wrapText="1"/>
    </x:xf>
    <x:xf numFmtId="2" fontId="9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164" fontId="9" fillId="0" borderId="1" xfId="0" applyNumberFormat="1" applyFont="1" applyFill="1" applyBorder="1" applyAlignment="1">
      <x:alignment vertical="top" wrapText="1"/>
    </x:xf>
    <x:xf numFmtId="165" fontId="9" fillId="0" borderId="1" xfId="0" applyNumberFormat="1" applyFont="1" applyFill="1" applyBorder="1" applyAlignment="1">
      <x:alignment vertical="top" wrapText="1"/>
    </x:xf>
    <x:xf numFmtId="2" fontId="9" fillId="0" borderId="1" xfId="0" applyNumberFormat="1" applyFont="1" applyFill="1" applyBorder="1" applyAlignment="1">
      <x:alignment vertical="top" wrapText="1"/>
    </x:xf>
    <x:xf numFmtId="200" fontId="9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164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/>
    <x:xf numFmtId="164" fontId="9" fillId="0" borderId="1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wrapText="1"/>
    </x:xf>
    <x:xf numFmtId="166" fontId="9" fillId="0" borderId="0" xfId="0" applyNumberFormat="1" applyFont="1" applyFill="1" applyBorder="1" applyAlignment="1">
      <x:alignment wrapText="1"/>
    </x:xf>
    <x:xf numFmtId="167" fontId="9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left"/>
    </x:xf>
    <x:xf numFmtId="0" fontId="8" fillId="2" borderId="1" xfId="0" applyNumberFormat="1" applyFont="1" applyFill="1" applyBorder="1" applyAlignment="1">
      <x:alignment horizontal="left" vertical="center"/>
    </x:xf>
    <x:xf numFmtId="0" fontId="10" fillId="0" borderId="1" xfId="0" applyNumberFormat="1" applyFont="1" applyFill="1" applyBorder="1" applyAlignment="1">
      <x:alignment wrapText="1"/>
    </x:xf>
    <x:xf numFmtId="166" fontId="9" fillId="0" borderId="1" xfId="0" applyNumberFormat="1" applyFont="1" applyFill="1" applyBorder="1" applyAlignment="1">
      <x:alignment wrapText="1"/>
    </x:xf>
    <x:xf numFmtId="167" fontId="9" fillId="0" borderId="1" xfId="0" applyNumberFormat="1" applyFont="1" applyFill="1" applyBorder="1" applyAlignment="1">
      <x:alignment wrapText="1"/>
    </x:xf>
    <x:xf numFmtId="0" fontId="11" fillId="8" borderId="1" xfId="0" applyNumberFormat="1" applyFont="1" applyFill="1" applyBorder="1" applyAlignment="1">
      <x:alignment horizontal="left"/>
    </x:xf>
    <x:xf numFmtId="203" fontId="9" fillId="0" borderId="0" xfId="0" applyNumberFormat="1" applyFont="1" applyFill="1" applyBorder="1" applyAlignment="1">
      <x:alignment wrapText="1"/>
    </x:xf>
    <x:xf numFmtId="203" fontId="9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color rgb="FF166534"/>
      </x:font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1bacc86e8490a" /><Relationship Type="http://schemas.openxmlformats.org/officeDocument/2006/relationships/theme" Target="/xl/theme/theme1.xml" Id="R1f1d0ed6759f40db" /><Relationship Type="http://schemas.openxmlformats.org/officeDocument/2006/relationships/sharedStrings" Target="/xl/sharedStrings.xml" Id="Rfb5855a3e1454d59" /><Relationship Type="http://schemas.openxmlformats.org/officeDocument/2006/relationships/worksheet" Target="/xl/worksheets/sheet1.xml" Id="R0c79b300d96248eb" /><Relationship Type="http://schemas.openxmlformats.org/officeDocument/2006/relationships/worksheet" Target="/xl/worksheets/sheet2.xml" Id="Rc304e40178d04e4b" /><Relationship Type="http://schemas.openxmlformats.org/officeDocument/2006/relationships/worksheet" Target="/xl/worksheets/sheet3.xml" Id="Rcc81885b7ad04d4e" /><Relationship Type="http://schemas.openxmlformats.org/officeDocument/2006/relationships/worksheet" Target="/xl/worksheets/sheet4.xml" Id="R2b46e9e33e684ab7" /><Relationship Type="http://schemas.openxmlformats.org/officeDocument/2006/relationships/worksheet" Target="/xl/worksheets/sheet5.xml" Id="Ra7b62220f51249f5" /><Relationship Type="http://schemas.openxmlformats.org/officeDocument/2006/relationships/worksheet" Target="/xl/worksheets/sheet6.xml" Id="R9089855880064602" /><Relationship Type="http://schemas.openxmlformats.org/officeDocument/2006/relationships/worksheet" Target="/xl/worksheets/sheet7.xml" Id="Re444c803d0ab45bc" /><Relationship Type="http://schemas.openxmlformats.org/officeDocument/2006/relationships/worksheet" Target="/xl/worksheets/sheet8.xml" Id="R3e18b94f84d94b8d" /><Relationship Type="http://schemas.openxmlformats.org/officeDocument/2006/relationships/worksheet" Target="/xl/worksheets/sheet9.xml" Id="Rf1804b1d2ad0495a" /><Relationship Type="http://schemas.openxmlformats.org/officeDocument/2006/relationships/worksheet" Target="/xl/worksheets/sheet10.xml" Id="R1ec89be0db1f4fff" /></Relationships>
</file>

<file path=xl/tables/table1.xml><?xml version="1.0" encoding="utf-8"?>
<ns0:table xmlns:ns0="http://schemas.openxmlformats.org/spreadsheetml/2006/main" id="1" name="DadosCompset" displayName="DadosCompset" ref="A1:AH320">
  <ns0:tableColumns count="34">
    <ns0:tableColumn id="1" name="Empreendimento"/>
    <ns0:tableColumn id="2" name="Fração"/>
    <ns0:tableColumn id="3" name="Piso"/>
    <ns0:tableColumn id="4" name="Tipologia"/>
    <ns0:tableColumn id="5" name="Vista"/>
    <ns0:tableColumn id="6" name="ABP"/>
    <ns0:tableColumn id="7" name="Varanda/Terraço"/>
    <ns0:tableColumn id="8" name="Área Total"/>
    <ns0:tableColumn id="9" name="PVP"/>
    <ns0:tableColumn id="10" name="Ano Referência"/>
    <ns0:tableColumn id="11" name="Sem Varanda/Terraço"/>
    <ns0:tableColumn id="12" name="Com Varanda/Terraço"/>
    <ns0:tableColumn id="13" name="Status"/>
    <ns0:tableColumn id="14" name="Fonte"/>
    <ns0:tableColumn id="15" name="URL"/>
    <ns0:tableColumn id="16" name="Data de atualização"/>
    <ns0:tableColumn id="17" name="Segmento"/>
    <ns0:tableColumn id="18" name="Condição"/>
    <ns0:tableColumn id="19" name="Ano de entrega"/>
    <ns0:tableColumn id="20" name="Garagem"/>
    <ns0:tableColumn id="21" name="Piscina"/>
    <ns0:tableColumn id="22" name="Distância ao The View"/>
    <ns0:tableColumn id="23" name="Peso comparável"/>
    <ns0:tableColumn id="24" name="Camada compset"/>
    <ns0:tableColumn id="25" name="Qualidade dados"/>
    <ns0:tableColumn id="26" name="Observações comerciais"/>
    <ns0:tableColumn id="27" name="Ação recomendada"/>
    <ns0:tableColumn id="28" name="Prioridade atualização"/>
    <ns0:tableColumn id="29" name="Preço Recomendado"/>
    <ns0:tableColumn id="30" name="Versão Análise"/>
    <ns0:tableColumn id="31" name="Confiança Recomendação"/>
    <ns0:tableColumn id="32" name="Justificação Técnica"/>
    <ns0:tableColumn id="33" name="Segmento Análise"/>
    <ns0:tableColumn id="34" name="Disponibilidade Análise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2" name="CandidatosEstruturaTable" displayName="CandidatosEstruturaTable" ref="A1:AB9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enchmarkMercadoTable" displayName="BenchmarkMercadoTable" ref="A1:L7">
  <x:tableColumns count="12">
    <x:tableColumn id="1" name="Data"/>
    <x:tableColumn id="2" name="Fonte"/>
    <x:tableColumn id="3" name="Tipo de dado"/>
    <x:tableColumn id="4" name="Localização"/>
    <x:tableColumn id="5" name="Segmento"/>
    <x:tableColumn id="6" name="€/m²"/>
    <x:tableColumn id="7" name="Variação mensal"/>
    <x:tableColumn id="8" name="Variação trimestral"/>
    <x:tableColumn id="9" name="Variação anual"/>
    <x:tableColumn id="10" name="Uso recomendado"/>
    <x:tableColumn id="11" name="Observação"/>
    <x:tableColumn id="12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aramago2024ConvertidoTable" displayName="Saramago2024ConvertidoTable" ref="A1:N26">
  <x:tableColumns count="14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€/m² sem varanda"/>
    <x:tableColumn id="12" name="€/m² com varanda/terraço"/>
    <x:tableColumn id="13" name="Peso comparável"/>
    <x:tableColumn id="14" name="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b6baa583634d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50d12b1102d348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a68d24752bbd456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0544b6f49fb34e11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FormatPr defaultRowHeight="14.399999618530273"/>
  <ns0:cols>
    <ns0:col min="1" max="1" width="20" customWidth="1"/>
    <ns0:col min="2" max="2" width="14" customWidth="1"/>
    <ns0:col min="3" max="3" width="10" customWidth="1"/>
    <ns0:col min="4" max="4" width="12" customWidth="1"/>
    <ns0:col min="5" max="6" width="10" customWidth="1"/>
    <ns0:col min="7" max="7" width="16" customWidth="1"/>
    <ns0:col min="8" max="10" width="14" customWidth="1"/>
    <ns0:col min="11" max="12" width="18" customWidth="1"/>
    <ns0:col min="13" max="13" width="14" customWidth="1"/>
    <ns0:col min="14" max="14" width="18" customWidth="1"/>
    <ns0:col min="15" max="15" width="32" customWidth="1"/>
    <ns0:col min="16" max="16" width="18" customWidth="1"/>
    <ns0:col min="17" max="17" width="24" customWidth="1"/>
    <ns0:col min="18" max="18" width="18" customWidth="1"/>
    <ns0:col min="19" max="19" width="14" customWidth="1"/>
    <ns0:col min="20" max="21" width="12" customWidth="1"/>
    <ns0:col min="22" max="22" width="18" customWidth="1"/>
    <ns0:col min="23" max="23" width="14" customWidth="1"/>
    <ns0:col min="24" max="24" width="24" customWidth="1"/>
    <ns0:col min="25" max="25" width="16" customWidth="1"/>
    <ns0:col min="26" max="26" width="32" customWidth="1"/>
    <ns0:col min="27" max="27" width="24" customWidth="1"/>
    <ns0:col min="28" max="28" width="18" customWidth="1"/>
    <ns0:col min="29" max="29" width="18" customWidth="1"/>
    <ns0:col min="30" max="30" width="17" customWidth="1"/>
    <ns0:col min="31" max="31" width="21" customWidth="1"/>
    <ns0:col min="32" max="32" width="58" customWidth="1"/>
    <ns0:col min="33" max="33" width="19" customWidth="1"/>
    <ns0:col min="34" max="34" width="24" customWidth="1"/>
  </ns0:cols>
  <ns0:sheetData>
    <ns0:row r="1" ht="28.799999237060547">
      <ns0:c r="A1" s="70" t="s">
        <ns0:v>0</ns0:v>
      </ns0:c>
      <ns0:c r="B1" s="70" t="s">
        <ns0:v>1</ns0:v>
      </ns0:c>
      <ns0:c r="C1" s="70" t="s">
        <ns0:v>2</ns0:v>
      </ns0:c>
      <ns0:c r="D1" s="70" t="s">
        <ns0:v>3</ns0:v>
      </ns0:c>
      <ns0:c r="E1" s="70" t="s">
        <ns0:v>4</ns0:v>
      </ns0:c>
      <ns0:c r="F1" s="70" t="s">
        <ns0:v>5</ns0:v>
      </ns0:c>
      <ns0:c r="G1" s="70" t="s">
        <ns0:v>6</ns0:v>
      </ns0:c>
      <ns0:c r="H1" s="70" t="s">
        <ns0:v>7</ns0:v>
      </ns0:c>
      <ns0:c r="I1" s="70" t="s">
        <ns0:v>8</ns0:v>
      </ns0:c>
      <ns0:c r="J1" s="70" t="s">
        <ns0:v>9</ns0:v>
      </ns0:c>
      <ns0:c r="K1" s="70" t="s">
        <ns0:v>10</ns0:v>
      </ns0:c>
      <ns0:c r="L1" s="70" t="s">
        <ns0:v>11</ns0:v>
      </ns0:c>
      <ns0:c r="M1" s="70" t="s">
        <ns0:v>12</ns0:v>
      </ns0:c>
      <ns0:c r="N1" s="70" t="s">
        <ns0:v>13</ns0:v>
      </ns0:c>
      <ns0:c r="O1" s="70" t="s">
        <ns0:v>14</ns0:v>
      </ns0:c>
      <ns0:c r="P1" s="70" t="s">
        <ns0:v>15</ns0:v>
      </ns0:c>
      <ns0:c r="Q1" s="70" t="s">
        <ns0:v>16</ns0:v>
      </ns0:c>
      <ns0:c r="R1" s="70" t="s">
        <ns0:v>17</ns0:v>
      </ns0:c>
      <ns0:c r="S1" s="70" t="s">
        <ns0:v>18</ns0:v>
      </ns0:c>
      <ns0:c r="T1" s="70" t="s">
        <ns0:v>19</ns0:v>
      </ns0:c>
      <ns0:c r="U1" s="70" t="s">
        <ns0:v>20</ns0:v>
      </ns0:c>
      <ns0:c r="V1" s="70" t="s">
        <ns0:v>21</ns0:v>
      </ns0:c>
      <ns0:c r="W1" s="70" t="s">
        <ns0:v>22</ns0:v>
      </ns0:c>
      <ns0:c r="X1" s="70" t="s">
        <ns0:v>23</ns0:v>
      </ns0:c>
      <ns0:c r="Y1" s="70" t="s">
        <ns0:v>24</ns0:v>
      </ns0:c>
      <ns0:c r="Z1" s="70" t="s">
        <ns0:v>25</ns0:v>
      </ns0:c>
      <ns0:c r="AA1" s="70" t="s">
        <ns0:v>26</ns0:v>
      </ns0:c>
      <ns0:c r="AB1" s="70" t="s">
        <ns0:v>27</ns0:v>
      </ns0:c>
      <ns0:c r="AC1" s="70" t="inlineStr">
        <ns0:is>
          <ns0:t>Preço Recomendado</ns0:t>
        </ns0:is>
      </ns0:c>
      <ns0:c r="AD1" s="70" t="inlineStr">
        <ns0:is>
          <ns0:t>Versão Análise</ns0:t>
        </ns0:is>
      </ns0:c>
      <ns0:c r="AE1" s="70" t="inlineStr">
        <ns0:is>
          <ns0:t>Confiança Recomendação</ns0:t>
        </ns0:is>
      </ns0:c>
      <ns0:c r="AF1" s="70" t="inlineStr">
        <ns0:is>
          <ns0:t>Justificação Técnica</ns0:t>
        </ns0:is>
      </ns0:c>
      <ns0:c r="AG1" s="70" t="inlineStr">
        <ns0:is>
          <ns0:t>Segmento Análise</ns0:t>
        </ns0:is>
      </ns0:c>
      <ns0:c r="AH1" s="70" t="inlineStr">
        <ns0:is>
          <ns0:t>Disponibilidade Análise</ns0:t>
        </ns0:is>
      </ns0:c>
    </ns0:row>
    <ns0:row r="2">
      <ns0:c r="A2" s="71" t="s">
        <ns0:v>28</ns0:v>
      </ns0:c>
      <ns0:c r="B2" s="71" t="s">
        <ns0:v>29</ns0:v>
      </ns0:c>
      <ns0:c r="C2" s="71" t="s">
        <ns0:v>30</ns0:v>
      </ns0:c>
      <ns0:c r="D2" s="71" t="s">
        <ns0:v>31</ns0:v>
      </ns0:c>
      <ns0:c r="E2" s="71">
        <ns0:v>1</ns0:v>
      </ns0:c>
      <ns0:c r="F2" s="72">
        <ns0:v>117.75</ns0:v>
      </ns0:c>
      <ns0:c r="G2" s="72">
        <ns0:v>31.94</ns0:v>
      </ns0:c>
      <ns0:c r="H2" s="72">
        <ns0:v>149.69</ns0:v>
      </ns0:c>
      <ns0:c r="I2" s="73">
        <ns0:v>1290000</ns0:v>
      </ns0:c>
      <ns0:c r="J2" s="71">
        <ns0:v>2026</ns0:v>
      </ns0:c>
      <ns0:c r="K2" s="73">
        <ns0:v>10955.414012738849</ns0:v>
      </ns0:c>
      <ns0:c r="L2" s="73">
        <ns0:v>8617.8101409579795</ns0:v>
      </ns0:c>
      <ns0:c r="M2" s="74" t="str">
        <ns0:f t="shared" ref="M2:M33" si="0">IF(A2="The View","Projeto",IF(J2&gt;=2026,"Ativo",IF(J2=2025,"Rever","Histórico")))</ns0:f>
        <ns0:v>Ativo</ns0:v>
      </ns0:c>
      <ns0:c r="N2" s="74" t="str">
        <ns0:v>Idealista / JLL Residential</ns0:v>
      </ns0:c>
      <ns0:c r="O2" s="74" t="str">
        <ns0:v>https://www.idealista.pt/empreendimento/34271659/</ns0:v>
      </ns0:c>
      <ns0:c r="P2" s="75" t="n">
        <ns0:v>46288</ns0:v>
      </ns0:c>
      <ns0:c r="Q2" s="74" t="str">
        <ns0:f t="shared" ref="Q2:Q33" si="1">IF(A2="The View","Projeto",IF(A2="Le Parc","Benchmark local",IF(OR(A2="Del Mar Waterfront",A2="Aura Living"),"Premium waterfront/marina","A classificar")))</ns0:f>
        <ns0:v>Premium waterfront/marina</ns0:v>
      </ns0:c>
      <ns0:c r="R2" s="74" t="s">
        <ns0:v>32</ns0:v>
      </ns0:c>
      <ns0:c r="S2" s="74"/>
      <ns0:c r="T2" s="74"/>
      <ns0:c r="U2" s="74"/>
      <ns0:c r="V2" s="74"/>
      <ns0:c r="W2" s="76" t="n">
        <ns0:f t="shared" ref="W2:W33" si="2">IF(A2="The View",1,MAX(0.25,MIN(1,IF(J2&gt;=2026,1,IF(J2=2025,0.8,IF(J2=2024,0.45,0.3)))*IF(Q2="Premium waterfront/marina",1,IF(Q2="Benchmark local",0.7,0.6))*IF(M2="Vendido",0.65,IF(M2="Reservado",0.8,IF(M2="Histórico",0.55,1))))))</ns0:f>
        <ns0:v>1</ns0:v>
      </ns0:c>
      <ns0:c r="X2" s="74" t="str">
        <ns0:f t="shared" ref="X2:X33" si="3">IF(A2="The View","Projeto",IF(W2&gt;=0.85,"A · Premium ativo",IF(W2&gt;=0.55,"B · Benchmark local","C · Histórico/secundário")))</ns0:f>
        <ns0:v>A · Premium ativo</ns0:v>
      </ns0:c>
      <ns0:c r="Y2" s="74" t="str">
        <ns0:f t="shared" ref="Y2:Y33" si="4">IF(A2="The View","N/A",IF(AND(N2&lt;&gt;"",O2&lt;&gt;"",P2&lt;&gt;""),"Alta",IF(OR(N2&lt;&gt;"",O2&lt;&gt;"",P2&lt;&gt;""),"Média","Baixa")))</ns0:f>
        <ns0:v>Alta</ns0:v>
      </ns0:c>
      <ns0:c r="Z2" s="74" t="str">
        <ns0:v>Validado face à oferta pública atual do Del Mar Waterfront em setembro de 2026.</ns0:v>
      </ns0:c>
      <ns0:c r="AA2" s="74" t="str">
        <ns0:f t="shared" ref="AA2:AA33" si="5">IF(A2="The View","Manter",IF(J2&lt;2026,"Atualizar preço/status",IF(Y2="Baixa","Adicionar fonte/URL/data",IF(W2&lt;0.55,"Rever comparabilidade","OK"))))</ns0:f>
        <ns0:v>Revalidar disponibilidade e preço trimestralmente.</ns0:v>
      </ns0:c>
      <ns0:c r="AB2" s="74" t="str">
        <ns0:f t="shared" ref="AB2:AB33" si="6">IF(A2="The View","",IF(OR(J2&lt;2026,Y2="Baixa"),"Alta",IF(W2&lt;0.55,"Média","Baixa")))</ns0:f>
        <ns0:v>Média</ns0:v>
      </ns0:c>
    </ns0:row>
    <ns0:row r="3">
      <ns0:c r="A3" s="71" t="s">
        <ns0:v>28</ns0:v>
      </ns0:c>
      <ns0:c r="B3" s="71" t="s">
        <ns0:v>33</ns0:v>
      </ns0:c>
      <ns0:c r="C3" s="71" t="s">
        <ns0:v>30</ns0:v>
      </ns0:c>
      <ns0:c r="D3" s="71" t="s">
        <ns0:v>31</ns0:v>
      </ns0:c>
      <ns0:c r="E3" s="71">
        <ns0:v>2</ns0:v>
      </ns0:c>
      <ns0:c r="F3" s="72">
        <ns0:v>117.75</ns0:v>
      </ns0:c>
      <ns0:c r="G3" s="72">
        <ns0:v>32.64</ns0:v>
      </ns0:c>
      <ns0:c r="H3" s="72">
        <ns0:v>150.38999999999999</ns0:v>
      </ns0:c>
      <ns0:c r="I3" s="73">
        <ns0:v>1290000</ns0:v>
      </ns0:c>
      <ns0:c r="J3" s="71">
        <ns0:v>2026</ns0:v>
      </ns0:c>
      <ns0:c r="K3" s="73">
        <ns0:v>10955.414012738849</ns0:v>
      </ns0:c>
      <ns0:c r="L3" s="73">
        <ns0:v>8577.6979852383811</ns0:v>
      </ns0:c>
      <ns0:c r="M3" s="74" t="str">
        <ns0:f t="shared" si="0"/>
        <ns0:v>Ativo</ns0:v>
      </ns0:c>
      <ns0:c r="N3" s="74" t="str">
        <ns0:v>Idealista / JLL Residential</ns0:v>
      </ns0:c>
      <ns0:c r="O3" s="74" t="str">
        <ns0:v>https://www.idealista.pt/empreendimento/34271659/</ns0:v>
      </ns0:c>
      <ns0:c r="P3" s="75" t="n">
        <ns0:v>46288</ns0:v>
      </ns0:c>
      <ns0:c r="Q3" s="74" t="str">
        <ns0:f t="shared" si="1"/>
        <ns0:v>Premium waterfront/marina</ns0:v>
      </ns0:c>
      <ns0:c r="R3" s="74" t="s">
        <ns0:v>32</ns0:v>
      </ns0:c>
      <ns0:c r="S3" s="74"/>
      <ns0:c r="T3" s="74"/>
      <ns0:c r="U3" s="74"/>
      <ns0:c r="V3" s="74"/>
      <ns0:c r="W3" s="76" t="n">
        <ns0:f t="shared" si="2"/>
        <ns0:v>1</ns0:v>
      </ns0:c>
      <ns0:c r="X3" s="74" t="str">
        <ns0:f t="shared" si="3"/>
        <ns0:v>A · Premium ativo</ns0:v>
      </ns0:c>
      <ns0:c r="Y3" s="74" t="str">
        <ns0:f t="shared" si="4"/>
        <ns0:v>Alta</ns0:v>
      </ns0:c>
      <ns0:c r="Z3" s="74" t="str">
        <ns0:v>Validado face à oferta pública atual do Del Mar Waterfront em setembro de 2026.</ns0:v>
      </ns0:c>
      <ns0:c r="AA3" s="74" t="str">
        <ns0:f t="shared" si="5"/>
        <ns0:v>Revalidar disponibilidade e preço trimestralmente.</ns0:v>
      </ns0:c>
      <ns0:c r="AB3" s="74" t="str">
        <ns0:f t="shared" si="6"/>
        <ns0:v>Média</ns0:v>
      </ns0:c>
    </ns0:row>
    <ns0:row r="4">
      <ns0:c r="A4" s="71" t="s">
        <ns0:v>28</ns0:v>
      </ns0:c>
      <ns0:c r="B4" s="71" t="s">
        <ns0:v>34</ns0:v>
      </ns0:c>
      <ns0:c r="C4" s="71" t="s">
        <ns0:v>30</ns0:v>
      </ns0:c>
      <ns0:c r="D4" s="71" t="s">
        <ns0:v>31</ns0:v>
      </ns0:c>
      <ns0:c r="E4" s="71">
        <ns0:v>2</ns0:v>
      </ns0:c>
      <ns0:c r="F4" s="72">
        <ns0:v>120.72</ns0:v>
      </ns0:c>
      <ns0:c r="G4" s="72">
        <ns0:v>22.83</ns0:v>
      </ns0:c>
      <ns0:c r="H4" s="72">
        <ns0:v>143.55000000000001</ns0:v>
      </ns0:c>
      <ns0:c r="I4" s="73">
        <ns0:v>660000</ns0:v>
      </ns0:c>
      <ns0:c r="J4" s="71">
        <ns0:v>2024</ns0:v>
      </ns0:c>
      <ns0:c r="K4" s="73">
        <ns0:v>5467.1968190854868</ns0:v>
      </ns0:c>
      <ns0:c r="L4" s="73">
        <ns0:v>4597.7011494252874</ns0:v>
      </ns0:c>
      <ns0:c r="M4" s="74" t="str">
        <ns0:f t="shared" si="0"/>
        <ns0:v>Histórico</ns0:v>
      </ns0:c>
      <ns0:c r="N4" s="74"/>
      <ns0:c r="O4" s="74"/>
      <ns0:c r="P4" s="77"/>
      <ns0:c r="Q4" s="74" t="str">
        <ns0:f t="shared" si="1"/>
        <ns0:v>Premium waterfront/marina</ns0:v>
      </ns0:c>
      <ns0:c r="R4" s="74" t="s">
        <ns0:v>32</ns0:v>
      </ns0:c>
      <ns0:c r="S4" s="74"/>
      <ns0:c r="T4" s="74"/>
      <ns0:c r="U4" s="74"/>
      <ns0:c r="V4" s="74"/>
      <ns0:c r="W4" s="76" t="n">
        <ns0:f t="shared" si="2"/>
        <ns0:v>0.2</ns0:v>
      </ns0:c>
      <ns0:c r="X4" s="74" t="str">
        <ns0:f t="shared" si="3"/>
        <ns0:v>C · Histórico/secundário</ns0:v>
      </ns0:c>
      <ns0:c r="Y4" s="74" t="str">
        <ns0:f t="shared" si="4"/>
        <ns0:v>Baixa</ns0:v>
      </ns0:c>
      <ns0:c r="Z4" s="74"/>
      <ns0:c r="AA4" s="74" t="str">
        <ns0:f t="shared" si="5"/>
        <ns0:v>Atualizar preço/status</ns0:v>
      </ns0:c>
      <ns0:c r="AB4" s="74" t="str">
        <ns0:f t="shared" si="6"/>
        <ns0:v>Alta</ns0:v>
      </ns0:c>
    </ns0:row>
    <ns0:row r="5">
      <ns0:c r="A5" s="71" t="s">
        <ns0:v>28</ns0:v>
      </ns0:c>
      <ns0:c r="B5" s="71" t="s">
        <ns0:v>35</ns0:v>
      </ns0:c>
      <ns0:c r="C5" s="71" t="s">
        <ns0:v>30</ns0:v>
      </ns0:c>
      <ns0:c r="D5" s="71" t="s">
        <ns0:v>31</ns0:v>
      </ns0:c>
      <ns0:c r="E5" s="71">
        <ns0:v>4</ns0:v>
      </ns0:c>
      <ns0:c r="F5" s="72">
        <ns0:v>120.72</ns0:v>
      </ns0:c>
      <ns0:c r="G5" s="72">
        <ns0:v>23.91</ns0:v>
      </ns0:c>
      <ns0:c r="H5" s="72">
        <ns0:v>144.63</ns0:v>
      </ns0:c>
      <ns0:c r="I5" s="73">
        <ns0:v>660000</ns0:v>
      </ns0:c>
      <ns0:c r="J5" s="71">
        <ns0:v>2024</ns0:v>
      </ns0:c>
      <ns0:c r="K5" s="73">
        <ns0:v>5467.1968190854868</ns0:v>
      </ns0:c>
      <ns0:c r="L5" s="73">
        <ns0:v>4563.3685957270282</ns0:v>
      </ns0:c>
      <ns0:c r="M5" s="74" t="str">
        <ns0:f t="shared" si="0"/>
        <ns0:v>Histórico</ns0:v>
      </ns0:c>
      <ns0:c r="N5" s="74"/>
      <ns0:c r="O5" s="74"/>
      <ns0:c r="P5" s="77"/>
      <ns0:c r="Q5" s="74" t="str">
        <ns0:f t="shared" si="1"/>
        <ns0:v>Premium waterfront/marina</ns0:v>
      </ns0:c>
      <ns0:c r="R5" s="74" t="s">
        <ns0:v>32</ns0:v>
      </ns0:c>
      <ns0:c r="S5" s="74"/>
      <ns0:c r="T5" s="74"/>
      <ns0:c r="U5" s="74"/>
      <ns0:c r="V5" s="74"/>
      <ns0:c r="W5" s="76" t="n">
        <ns0:f t="shared" si="2"/>
        <ns0:v>0.2</ns0:v>
      </ns0:c>
      <ns0:c r="X5" s="74" t="str">
        <ns0:f t="shared" si="3"/>
        <ns0:v>C · Histórico/secundário</ns0:v>
      </ns0:c>
      <ns0:c r="Y5" s="74" t="str">
        <ns0:f t="shared" si="4"/>
        <ns0:v>Baixa</ns0:v>
      </ns0:c>
      <ns0:c r="Z5" s="74"/>
      <ns0:c r="AA5" s="74" t="str">
        <ns0:f t="shared" si="5"/>
        <ns0:v>Atualizar preço/status</ns0:v>
      </ns0:c>
      <ns0:c r="AB5" s="74" t="str">
        <ns0:f t="shared" si="6"/>
        <ns0:v>Alta</ns0:v>
      </ns0:c>
    </ns0:row>
    <ns0:row r="6">
      <ns0:c r="A6" s="71" t="s">
        <ns0:v>28</ns0:v>
      </ns0:c>
      <ns0:c r="B6" s="71" t="s">
        <ns0:v>36</ns0:v>
      </ns0:c>
      <ns0:c r="C6" s="71" t="s">
        <ns0:v>30</ns0:v>
      </ns0:c>
      <ns0:c r="D6" s="71" t="s">
        <ns0:v>31</ns0:v>
      </ns0:c>
      <ns0:c r="E6" s="71">
        <ns0:v>3</ns0:v>
      </ns0:c>
      <ns0:c r="F6" s="72">
        <ns0:v>116.71</ns0:v>
      </ns0:c>
      <ns0:c r="G6" s="72">
        <ns0:v>10.75</ns0:v>
      </ns0:c>
      <ns0:c r="H6" s="72">
        <ns0:v>127.46</ns0:v>
      </ns0:c>
      <ns0:c r="I6" s="73">
        <ns0:v>590000</ns0:v>
      </ns0:c>
      <ns0:c r="J6" s="71">
        <ns0:v>2026</ns0:v>
      </ns0:c>
      <ns0:c r="K6" s="73">
        <ns0:v>4926.7414960157657</ns0:v>
      </ns0:c>
      <ns0:c r="L6" s="73">
        <ns0:v>4511.2192060254201</ns0:v>
      </ns0:c>
      <ns0:c r="M6" s="74" t="str">
        <ns0:f t="shared" si="0"/>
        <ns0:v>A validar</ns0:v>
      </ns0:c>
      <ns0:c r="N6" s="74" t="str">
        <ns0:v>Idealista / JLL Residential</ns0:v>
      </ns0:c>
      <ns0:c r="O6" s="74" t="str">
        <ns0:v>https://www.idealista.pt/empreendimento/34271659/</ns0:v>
      </ns0:c>
      <ns0:c r="P6" s="75" t="n">
        <ns0:v>46288</ns0:v>
      </ns0:c>
      <ns0:c r="Q6" s="74" t="str">
        <ns0:f t="shared" si="1"/>
        <ns0:v>Premium waterfront/marina</ns0:v>
      </ns0:c>
      <ns0:c r="R6" s="74" t="s">
        <ns0:v>32</ns0:v>
      </ns0:c>
      <ns0:c r="S6" s="74"/>
      <ns0:c r="T6" s="74"/>
      <ns0:c r="U6" s="74"/>
      <ns0:c r="V6" s="74"/>
      <ns0:c r="W6" s="76" t="n">
        <ns0:f t="shared" si="2"/>
        <ns0:v>0.6</ns0:v>
      </ns0:c>
      <ns0:c r="X6" s="74" t="str">
        <ns0:f t="shared" si="3"/>
        <ns0:v>B · A validar</ns0:v>
      </ns0:c>
      <ns0:c r="Y6" s="74" t="str">
        <ns0:f t="shared" si="4"/>
        <ns0:v>Média</ns0:v>
      </ns0:c>
      <ns0:c r="Z6" s="74" t="str">
        <ns0:v>Não identificado de forma inequívoca na oferta pública consultada em setembro de 2026; preservado até validação.</ns0:v>
      </ns0:c>
      <ns0:c r="AA6" s="74" t="str">
        <ns0:f t="shared" si="5"/>
        <ns0:v>Confirmar disponibilidade/preço ou passar a histórico.</ns0:v>
      </ns0:c>
      <ns0:c r="AB6" s="74" t="str">
        <ns0:f t="shared" si="6"/>
        <ns0:v>Alta</ns0:v>
      </ns0:c>
    </ns0:row>
    <ns0:row r="7">
      <ns0:c r="A7" s="71" t="s">
        <ns0:v>28</ns0:v>
      </ns0:c>
      <ns0:c r="B7" s="71" t="s">
        <ns0:v>37</ns0:v>
      </ns0:c>
      <ns0:c r="C7" s="71">
        <ns0:v>1</ns0:v>
      </ns0:c>
      <ns0:c r="D7" s="71" t="s">
        <ns0:v>31</ns0:v>
      </ns0:c>
      <ns0:c r="E7" s="71">
        <ns0:v>1</ns0:v>
      </ns0:c>
      <ns0:c r="F7" s="72">
        <ns0:v>131.76</ns0:v>
      </ns0:c>
      <ns0:c r="G7" s="72">
        <ns0:v>28.86</ns0:v>
      </ns0:c>
      <ns0:c r="H7" s="72">
        <ns0:v>160.62</ns0:v>
      </ns0:c>
      <ns0:c r="I7" s="73">
        <ns0:v>1310000</ns0:v>
      </ns0:c>
      <ns0:c r="J7" s="71">
        <ns0:v>2026</ns0:v>
      </ns0:c>
      <ns0:c r="K7" s="73">
        <ns0:v>9942.3193685488768</ns0:v>
      </ns0:c>
      <ns0:c r="L7" s="73">
        <ns0:v>8155.8959033744241</ns0:v>
      </ns0:c>
      <ns0:c r="M7" s="74" t="str">
        <ns0:f t="shared" si="0"/>
        <ns0:v>A validar</ns0:v>
      </ns0:c>
      <ns0:c r="N7" s="74" t="str">
        <ns0:v>Idealista / JLL Residential</ns0:v>
      </ns0:c>
      <ns0:c r="O7" s="74" t="str">
        <ns0:v>https://www.idealista.pt/empreendimento/34271659/</ns0:v>
      </ns0:c>
      <ns0:c r="P7" s="75" t="n">
        <ns0:v>46288</ns0:v>
      </ns0:c>
      <ns0:c r="Q7" s="74" t="str">
        <ns0:f t="shared" si="1"/>
        <ns0:v>Premium waterfront/marina</ns0:v>
      </ns0:c>
      <ns0:c r="R7" s="74" t="s">
        <ns0:v>32</ns0:v>
      </ns0:c>
      <ns0:c r="S7" s="74"/>
      <ns0:c r="T7" s="74"/>
      <ns0:c r="U7" s="74"/>
      <ns0:c r="V7" s="74"/>
      <ns0:c r="W7" s="76" t="n">
        <ns0:f t="shared" si="2"/>
        <ns0:v>0.6</ns0:v>
      </ns0:c>
      <ns0:c r="X7" s="74" t="str">
        <ns0:f t="shared" si="3"/>
        <ns0:v>B · A validar</ns0:v>
      </ns0:c>
      <ns0:c r="Y7" s="74" t="str">
        <ns0:f t="shared" si="4"/>
        <ns0:v>Média</ns0:v>
      </ns0:c>
      <ns0:c r="Z7" s="74" t="str">
        <ns0:v>Não identificado de forma inequívoca na oferta pública consultada em setembro de 2026; preservado até validação.</ns0:v>
      </ns0:c>
      <ns0:c r="AA7" s="74" t="str">
        <ns0:f t="shared" si="5"/>
        <ns0:v>Confirmar disponibilidade/preço ou passar a histórico.</ns0:v>
      </ns0:c>
      <ns0:c r="AB7" s="74" t="str">
        <ns0:f t="shared" si="6"/>
        <ns0:v>Alta</ns0:v>
      </ns0:c>
    </ns0:row>
    <ns0:row r="8">
      <ns0:c r="A8" s="71" t="s">
        <ns0:v>28</ns0:v>
      </ns0:c>
      <ns0:c r="B8" s="71" t="s">
        <ns0:v>38</ns0:v>
      </ns0:c>
      <ns0:c r="C8" s="71">
        <ns0:v>1</ns0:v>
      </ns0:c>
      <ns0:c r="D8" s="71" t="s">
        <ns0:v>31</ns0:v>
      </ns0:c>
      <ns0:c r="E8" s="71">
        <ns0:v>2</ns0:v>
      </ns0:c>
      <ns0:c r="F8" s="72">
        <ns0:v>131.76</ns0:v>
      </ns0:c>
      <ns0:c r="G8" s="72">
        <ns0:v>28.86</ns0:v>
      </ns0:c>
      <ns0:c r="H8" s="72">
        <ns0:v>160.62</ns0:v>
      </ns0:c>
      <ns0:c r="I8" s="73">
        <ns0:v>1310000</ns0:v>
      </ns0:c>
      <ns0:c r="J8" s="71">
        <ns0:v>2026</ns0:v>
      </ns0:c>
      <ns0:c r="K8" s="73">
        <ns0:v>9942.3193685488768</ns0:v>
      </ns0:c>
      <ns0:c r="L8" s="73">
        <ns0:v>8155.8959033744241</ns0:v>
      </ns0:c>
      <ns0:c r="M8" s="74" t="str">
        <ns0:f t="shared" si="0"/>
        <ns0:v>A validar</ns0:v>
      </ns0:c>
      <ns0:c r="N8" s="74" t="str">
        <ns0:v>Idealista / JLL Residential</ns0:v>
      </ns0:c>
      <ns0:c r="O8" s="74" t="str">
        <ns0:v>https://www.idealista.pt/empreendimento/34271659/</ns0:v>
      </ns0:c>
      <ns0:c r="P8" s="75" t="n">
        <ns0:v>46288</ns0:v>
      </ns0:c>
      <ns0:c r="Q8" s="74" t="str">
        <ns0:f t="shared" si="1"/>
        <ns0:v>Premium waterfront/marina</ns0:v>
      </ns0:c>
      <ns0:c r="R8" s="74" t="s">
        <ns0:v>32</ns0:v>
      </ns0:c>
      <ns0:c r="S8" s="74"/>
      <ns0:c r="T8" s="74"/>
      <ns0:c r="U8" s="74"/>
      <ns0:c r="V8" s="74"/>
      <ns0:c r="W8" s="76" t="n">
        <ns0:f t="shared" si="2"/>
        <ns0:v>0.6</ns0:v>
      </ns0:c>
      <ns0:c r="X8" s="74" t="str">
        <ns0:f t="shared" si="3"/>
        <ns0:v>B · A validar</ns0:v>
      </ns0:c>
      <ns0:c r="Y8" s="74" t="str">
        <ns0:f t="shared" si="4"/>
        <ns0:v>Média</ns0:v>
      </ns0:c>
      <ns0:c r="Z8" s="74" t="str">
        <ns0:v>Não identificado de forma inequívoca na oferta pública consultada em setembro de 2026; preservado até validação.</ns0:v>
      </ns0:c>
      <ns0:c r="AA8" s="74" t="str">
        <ns0:f t="shared" si="5"/>
        <ns0:v>Confirmar disponibilidade/preço ou passar a histórico.</ns0:v>
      </ns0:c>
      <ns0:c r="AB8" s="74" t="str">
        <ns0:f t="shared" si="6"/>
        <ns0:v>Alta</ns0:v>
      </ns0:c>
    </ns0:row>
    <ns0:row r="9">
      <ns0:c r="A9" s="71" t="s">
        <ns0:v>28</ns0:v>
      </ns0:c>
      <ns0:c r="B9" s="71" t="s">
        <ns0:v>39</ns0:v>
      </ns0:c>
      <ns0:c r="C9" s="71">
        <ns0:v>1</ns0:v>
      </ns0:c>
      <ns0:c r="D9" s="71" t="s">
        <ns0:v>31</ns0:v>
      </ns0:c>
      <ns0:c r="E9" s="71">
        <ns0:v>2</ns0:v>
      </ns0:c>
      <ns0:c r="F9" s="72">
        <ns0:v>127.19</ns0:v>
      </ns0:c>
      <ns0:c r="G9" s="72">
        <ns0:v>16.07</ns0:v>
      </ns0:c>
      <ns0:c r="H9" s="72">
        <ns0:v>143.26</ns0:v>
      </ns0:c>
      <ns0:c r="I9" s="73">
        <ns0:v>725000</ns0:v>
      </ns0:c>
      <ns0:c r="J9" s="71">
        <ns0:v>2024</ns0:v>
      </ns0:c>
      <ns0:c r="K9" s="73">
        <ns0:v>5700.1336583064704</ns0:v>
      </ns0:c>
      <ns0:c r="L9" s="73">
        <ns0:v>5060.7287449392716</ns0:v>
      </ns0:c>
      <ns0:c r="M9" s="74" t="str">
        <ns0:f t="shared" si="0"/>
        <ns0:v>Histórico</ns0:v>
      </ns0:c>
      <ns0:c r="N9" s="74"/>
      <ns0:c r="O9" s="74"/>
      <ns0:c r="P9" s="77"/>
      <ns0:c r="Q9" s="74" t="str">
        <ns0:f t="shared" si="1"/>
        <ns0:v>Premium waterfront/marina</ns0:v>
      </ns0:c>
      <ns0:c r="R9" s="74" t="s">
        <ns0:v>32</ns0:v>
      </ns0:c>
      <ns0:c r="S9" s="74"/>
      <ns0:c r="T9" s="74"/>
      <ns0:c r="U9" s="74"/>
      <ns0:c r="V9" s="74"/>
      <ns0:c r="W9" s="76" t="n">
        <ns0:f t="shared" si="2"/>
        <ns0:v>0.2</ns0:v>
      </ns0:c>
      <ns0:c r="X9" s="74" t="str">
        <ns0:f t="shared" si="3"/>
        <ns0:v>C · Histórico/secundário</ns0:v>
      </ns0:c>
      <ns0:c r="Y9" s="74" t="str">
        <ns0:f t="shared" si="4"/>
        <ns0:v>Baixa</ns0:v>
      </ns0:c>
      <ns0:c r="Z9" s="74"/>
      <ns0:c r="AA9" s="74" t="str">
        <ns0:f t="shared" si="5"/>
        <ns0:v>Atualizar preço/status</ns0:v>
      </ns0:c>
      <ns0:c r="AB9" s="74" t="str">
        <ns0:f t="shared" si="6"/>
        <ns0:v>Alta</ns0:v>
      </ns0:c>
    </ns0:row>
    <ns0:row r="10">
      <ns0:c r="A10" s="71" t="s">
        <ns0:v>28</ns0:v>
      </ns0:c>
      <ns0:c r="B10" s="71" t="s">
        <ns0:v>40</ns0:v>
      </ns0:c>
      <ns0:c r="C10" s="71">
        <ns0:v>1</ns0:v>
      </ns0:c>
      <ns0:c r="D10" s="71" t="s">
        <ns0:v>31</ns0:v>
      </ns0:c>
      <ns0:c r="E10" s="71">
        <ns0:v>3</ns0:v>
      </ns0:c>
      <ns0:c r="F10" s="72">
        <ns0:v>91.72</ns0:v>
      </ns0:c>
      <ns0:c r="G10" s="72">
        <ns0:v>14.85</ns0:v>
      </ns0:c>
      <ns0:c r="H10" s="72">
        <ns0:v>106.57</ns0:v>
      </ns0:c>
      <ns0:c r="I10" s="73">
        <ns0:v>690000</ns0:v>
      </ns0:c>
      <ns0:c r="J10" s="71">
        <ns0:v>2026</ns0:v>
      </ns0:c>
      <ns0:c r="K10" s="73">
        <ns0:v>7522.8957697339729</ns0:v>
      </ns0:c>
      <ns0:c r="L10" s="73">
        <ns0:v>6474.6176222201366</ns0:v>
      </ns0:c>
      <ns0:c r="M10" s="74" t="str">
        <ns0:f t="shared" si="0"/>
        <ns0:v>Ativo</ns0:v>
      </ns0:c>
      <ns0:c r="N10" s="74" t="str">
        <ns0:v>Idealista / JLL Residential</ns0:v>
      </ns0:c>
      <ns0:c r="O10" s="74" t="str">
        <ns0:v>https://www.idealista.pt/empreendimento/34271659/</ns0:v>
      </ns0:c>
      <ns0:c r="P10" s="75" t="n">
        <ns0:v>46288</ns0:v>
      </ns0:c>
      <ns0:c r="Q10" s="74" t="str">
        <ns0:f t="shared" si="1"/>
        <ns0:v>Premium waterfront/marina</ns0:v>
      </ns0:c>
      <ns0:c r="R10" s="74" t="s">
        <ns0:v>32</ns0:v>
      </ns0:c>
      <ns0:c r="S10" s="74"/>
      <ns0:c r="T10" s="74"/>
      <ns0:c r="U10" s="74"/>
      <ns0:c r="V10" s="74"/>
      <ns0:c r="W10" s="76" t="n">
        <ns0:f t="shared" si="2"/>
        <ns0:v>1</ns0:v>
      </ns0:c>
      <ns0:c r="X10" s="74" t="str">
        <ns0:f t="shared" si="3"/>
        <ns0:v>A · Premium ativo</ns0:v>
      </ns0:c>
      <ns0:c r="Y10" s="74" t="str">
        <ns0:f t="shared" si="4"/>
        <ns0:v>Alta</ns0:v>
      </ns0:c>
      <ns0:c r="Z10" s="74" t="str">
        <ns0:v>Validado face à oferta pública atual do Del Mar Waterfront em setembro de 2026.</ns0:v>
      </ns0:c>
      <ns0:c r="AA10" s="74" t="str">
        <ns0:f t="shared" si="5"/>
        <ns0:v>Revalidar disponibilidade e preço trimestralmente.</ns0:v>
      </ns0:c>
      <ns0:c r="AB10" s="74" t="str">
        <ns0:f t="shared" si="6"/>
        <ns0:v>Média</ns0:v>
      </ns0:c>
    </ns0:row>
    <ns0:row r="11">
      <ns0:c r="A11" s="71" t="s">
        <ns0:v>28</ns0:v>
      </ns0:c>
      <ns0:c r="B11" s="71" t="s">
        <ns0:v>41</ns0:v>
      </ns0:c>
      <ns0:c r="C11" s="71">
        <ns0:v>1</ns0:v>
      </ns0:c>
      <ns0:c r="D11" s="71" t="s">
        <ns0:v>42</ns0:v>
      </ns0:c>
      <ns0:c r="E11" s="71">
        <ns0:v>3</ns0:v>
      </ns0:c>
      <ns0:c r="F11" s="72">
        <ns0:v>70.58</ns0:v>
      </ns0:c>
      <ns0:c r="G11" s="72">
        <ns0:v>3.6</ns0:v>
      </ns0:c>
      <ns0:c r="H11" s="72">
        <ns0:v>74.179999999999993</ns0:v>
      </ns0:c>
      <ns0:c r="I11" s="73">
        <ns0:v>415000</ns0:v>
      </ns0:c>
      <ns0:c r="J11" s="71">
        <ns0:v>2026</ns0:v>
      </ns0:c>
      <ns0:c r="K11" s="73">
        <ns0:v>5171.4366676112213</ns0:v>
      </ns0:c>
      <ns0:c r="L11" s="73">
        <ns0:v>4920.4637368562962</ns0:v>
      </ns0:c>
      <ns0:c r="M11" s="74" t="str">
        <ns0:f t="shared" si="0"/>
        <ns0:v>A validar</ns0:v>
      </ns0:c>
      <ns0:c r="N11" s="74" t="str">
        <ns0:v>Idealista / JLL Residential</ns0:v>
      </ns0:c>
      <ns0:c r="O11" s="74" t="str">
        <ns0:v>https://www.idealista.pt/empreendimento/34271659/</ns0:v>
      </ns0:c>
      <ns0:c r="P11" s="75" t="n">
        <ns0:v>46288</ns0:v>
      </ns0:c>
      <ns0:c r="Q11" s="74" t="str">
        <ns0:f t="shared" si="1"/>
        <ns0:v>Premium waterfront/marina</ns0:v>
      </ns0:c>
      <ns0:c r="R11" s="74" t="s">
        <ns0:v>32</ns0:v>
      </ns0:c>
      <ns0:c r="S11" s="74"/>
      <ns0:c r="T11" s="74"/>
      <ns0:c r="U11" s="74"/>
      <ns0:c r="V11" s="74"/>
      <ns0:c r="W11" s="76" t="n">
        <ns0:f t="shared" si="2"/>
        <ns0:v>0.6</ns0:v>
      </ns0:c>
      <ns0:c r="X11" s="74" t="str">
        <ns0:f t="shared" si="3"/>
        <ns0:v>B · A validar</ns0:v>
      </ns0:c>
      <ns0:c r="Y11" s="74" t="str">
        <ns0:f t="shared" si="4"/>
        <ns0:v>Média</ns0:v>
      </ns0:c>
      <ns0:c r="Z11" s="74" t="str">
        <ns0:v>Não identificado de forma inequívoca na oferta pública consultada em setembro de 2026; preservado até validação.</ns0:v>
      </ns0:c>
      <ns0:c r="AA11" s="74" t="str">
        <ns0:f t="shared" si="5"/>
        <ns0:v>Confirmar disponibilidade/preço ou passar a histórico.</ns0:v>
      </ns0:c>
      <ns0:c r="AB11" s="74" t="str">
        <ns0:f t="shared" si="6"/>
        <ns0:v>Alta</ns0:v>
      </ns0:c>
    </ns0:row>
    <ns0:row r="12">
      <ns0:c r="A12" s="71" t="s">
        <ns0:v>28</ns0:v>
      </ns0:c>
      <ns0:c r="B12" s="71" t="s">
        <ns0:v>43</ns0:v>
      </ns0:c>
      <ns0:c r="C12" s="71">
        <ns0:v>1</ns0:v>
      </ns0:c>
      <ns0:c r="D12" s="71" t="s">
        <ns0:v>31</ns0:v>
      </ns0:c>
      <ns0:c r="E12" s="71">
        <ns0:v>4</ns0:v>
      </ns0:c>
      <ns0:c r="F12" s="72">
        <ns0:v>83.01</ns0:v>
      </ns0:c>
      <ns0:c r="G12" s="72">
        <ns0:v>38.79</ns0:v>
      </ns0:c>
      <ns0:c r="H12" s="72">
        <ns0:v>121.8</ns0:v>
      </ns0:c>
      <ns0:c r="I12" s="73">
        <ns0:v>635000</ns0:v>
      </ns0:c>
      <ns0:c r="J12" s="71">
        <ns0:v>2024</ns0:v>
      </ns0:c>
      <ns0:c r="K12" s="73">
        <ns0:v>7649.6807613540532</ns0:v>
      </ns0:c>
      <ns0:c r="L12" s="73">
        <ns0:v>5213.4646962233164</ns0:v>
      </ns0:c>
      <ns0:c r="M12" s="74" t="str">
        <ns0:f t="shared" si="0"/>
        <ns0:v>Histórico</ns0:v>
      </ns0:c>
      <ns0:c r="N12" s="74"/>
      <ns0:c r="O12" s="74"/>
      <ns0:c r="P12" s="77"/>
      <ns0:c r="Q12" s="74" t="str">
        <ns0:f t="shared" si="1"/>
        <ns0:v>Premium waterfront/marina</ns0:v>
      </ns0:c>
      <ns0:c r="R12" s="74" t="s">
        <ns0:v>32</ns0:v>
      </ns0:c>
      <ns0:c r="S12" s="74"/>
      <ns0:c r="T12" s="74"/>
      <ns0:c r="U12" s="74"/>
      <ns0:c r="V12" s="74"/>
      <ns0:c r="W12" s="76" t="n">
        <ns0:f t="shared" si="2"/>
        <ns0:v>0.2</ns0:v>
      </ns0:c>
      <ns0:c r="X12" s="74" t="str">
        <ns0:f t="shared" si="3"/>
        <ns0:v>C · Histórico/secundário</ns0:v>
      </ns0:c>
      <ns0:c r="Y12" s="74" t="str">
        <ns0:f t="shared" si="4"/>
        <ns0:v>Baixa</ns0:v>
      </ns0:c>
      <ns0:c r="Z12" s="74"/>
      <ns0:c r="AA12" s="74" t="str">
        <ns0:f t="shared" si="5"/>
        <ns0:v>Atualizar preço/status</ns0:v>
      </ns0:c>
      <ns0:c r="AB12" s="74" t="str">
        <ns0:f t="shared" si="6"/>
        <ns0:v>Alta</ns0:v>
      </ns0:c>
    </ns0:row>
    <ns0:row r="13">
      <ns0:c r="A13" s="71" t="s">
        <ns0:v>28</ns0:v>
      </ns0:c>
      <ns0:c r="B13" s="71" t="s">
        <ns0:v>44</ns0:v>
      </ns0:c>
      <ns0:c r="C13" s="71">
        <ns0:v>2</ns0:v>
      </ns0:c>
      <ns0:c r="D13" s="71" t="s">
        <ns0:v>31</ns0:v>
      </ns0:c>
      <ns0:c r="E13" s="71">
        <ns0:v>1</ns0:v>
      </ns0:c>
      <ns0:c r="F13" s="72">
        <ns0:v>131.76</ns0:v>
      </ns0:c>
      <ns0:c r="G13" s="72">
        <ns0:v>28.86</ns0:v>
      </ns0:c>
      <ns0:c r="H13" s="72">
        <ns0:v>160.62</ns0:v>
      </ns0:c>
      <ns0:c r="I13" s="73">
        <ns0:v>1280000</ns0:v>
      </ns0:c>
      <ns0:c r="J13" s="71">
        <ns0:v>2024</ns0:v>
      </ns0:c>
      <ns0:c r="K13" s="73">
        <ns0:v>9714.6326654523382</ns0:v>
      </ns0:c>
      <ns0:c r="L13" s="73">
        <ns0:v>7969.1196613124139</ns0:v>
      </ns0:c>
      <ns0:c r="M13" s="74" t="str">
        <ns0:f t="shared" si="0"/>
        <ns0:v>Histórico</ns0:v>
      </ns0:c>
      <ns0:c r="N13" s="74"/>
      <ns0:c r="O13" s="74"/>
      <ns0:c r="P13" s="77"/>
      <ns0:c r="Q13" s="74" t="str">
        <ns0:f t="shared" si="1"/>
        <ns0:v>Premium waterfront/marina</ns0:v>
      </ns0:c>
      <ns0:c r="R13" s="74" t="s">
        <ns0:v>32</ns0:v>
      </ns0:c>
      <ns0:c r="S13" s="74"/>
      <ns0:c r="T13" s="74"/>
      <ns0:c r="U13" s="74"/>
      <ns0:c r="V13" s="74"/>
      <ns0:c r="W13" s="76" t="n">
        <ns0:f t="shared" si="2"/>
        <ns0:v>0.2</ns0:v>
      </ns0:c>
      <ns0:c r="X13" s="74" t="str">
        <ns0:f t="shared" si="3"/>
        <ns0:v>C · Histórico/secundário</ns0:v>
      </ns0:c>
      <ns0:c r="Y13" s="74" t="str">
        <ns0:f t="shared" si="4"/>
        <ns0:v>Baixa</ns0:v>
      </ns0:c>
      <ns0:c r="Z13" s="74"/>
      <ns0:c r="AA13" s="74" t="str">
        <ns0:f t="shared" si="5"/>
        <ns0:v>Atualizar preço/status</ns0:v>
      </ns0:c>
      <ns0:c r="AB13" s="74" t="str">
        <ns0:f t="shared" si="6"/>
        <ns0:v>Alta</ns0:v>
      </ns0:c>
    </ns0:row>
    <ns0:row r="14">
      <ns0:c r="A14" s="71" t="s">
        <ns0:v>28</ns0:v>
      </ns0:c>
      <ns0:c r="B14" s="71" t="s">
        <ns0:v>45</ns0:v>
      </ns0:c>
      <ns0:c r="C14" s="71">
        <ns0:v>2</ns0:v>
      </ns0:c>
      <ns0:c r="D14" s="71" t="s">
        <ns0:v>31</ns0:v>
      </ns0:c>
      <ns0:c r="E14" s="71">
        <ns0:v>2</ns0:v>
      </ns0:c>
      <ns0:c r="F14" s="72">
        <ns0:v>131.76</ns0:v>
      </ns0:c>
      <ns0:c r="G14" s="72">
        <ns0:v>28.86</ns0:v>
      </ns0:c>
      <ns0:c r="H14" s="72">
        <ns0:v>160.62</ns0:v>
      </ns0:c>
      <ns0:c r="I14" s="73">
        <ns0:v>1280000</ns0:v>
      </ns0:c>
      <ns0:c r="J14" s="71">
        <ns0:v>2024</ns0:v>
      </ns0:c>
      <ns0:c r="K14" s="73">
        <ns0:v>9714.6326654523382</ns0:v>
      </ns0:c>
      <ns0:c r="L14" s="73">
        <ns0:v>7969.1196613124139</ns0:v>
      </ns0:c>
      <ns0:c r="M14" s="74" t="str">
        <ns0:f t="shared" si="0"/>
        <ns0:v>Histórico</ns0:v>
      </ns0:c>
      <ns0:c r="N14" s="74"/>
      <ns0:c r="O14" s="74"/>
      <ns0:c r="P14" s="77"/>
      <ns0:c r="Q14" s="74" t="str">
        <ns0:f t="shared" si="1"/>
        <ns0:v>Premium waterfront/marina</ns0:v>
      </ns0:c>
      <ns0:c r="R14" s="74" t="s">
        <ns0:v>32</ns0:v>
      </ns0:c>
      <ns0:c r="S14" s="74"/>
      <ns0:c r="T14" s="74"/>
      <ns0:c r="U14" s="74"/>
      <ns0:c r="V14" s="74"/>
      <ns0:c r="W14" s="76" t="n">
        <ns0:f t="shared" si="2"/>
        <ns0:v>0.2</ns0:v>
      </ns0:c>
      <ns0:c r="X14" s="74" t="str">
        <ns0:f t="shared" si="3"/>
        <ns0:v>C · Histórico/secundário</ns0:v>
      </ns0:c>
      <ns0:c r="Y14" s="74" t="str">
        <ns0:f t="shared" si="4"/>
        <ns0:v>Baixa</ns0:v>
      </ns0:c>
      <ns0:c r="Z14" s="74"/>
      <ns0:c r="AA14" s="74" t="str">
        <ns0:f t="shared" si="5"/>
        <ns0:v>Atualizar preço/status</ns0:v>
      </ns0:c>
      <ns0:c r="AB14" s="74" t="str">
        <ns0:f t="shared" si="6"/>
        <ns0:v>Alta</ns0:v>
      </ns0:c>
    </ns0:row>
    <ns0:row r="15">
      <ns0:c r="A15" s="71" t="s">
        <ns0:v>28</ns0:v>
      </ns0:c>
      <ns0:c r="B15" s="71" t="s">
        <ns0:v>46</ns0:v>
      </ns0:c>
      <ns0:c r="C15" s="71">
        <ns0:v>2</ns0:v>
      </ns0:c>
      <ns0:c r="D15" s="71" t="s">
        <ns0:v>31</ns0:v>
      </ns0:c>
      <ns0:c r="E15" s="71">
        <ns0:v>2</ns0:v>
      </ns0:c>
      <ns0:c r="F15" s="72">
        <ns0:v>127.19</ns0:v>
      </ns0:c>
      <ns0:c r="G15" s="72">
        <ns0:v>16.07</ns0:v>
      </ns0:c>
      <ns0:c r="H15" s="72">
        <ns0:v>143.26</ns0:v>
      </ns0:c>
      <ns0:c r="I15" s="73">
        <ns0:v>735000</ns0:v>
      </ns0:c>
      <ns0:c r="J15" s="71">
        <ns0:v>2024</ns0:v>
      </ns0:c>
      <ns0:c r="K15" s="73">
        <ns0:v>5778.7561915244914</ns0:v>
      </ns0:c>
      <ns0:c r="L15" s="73">
        <ns0:v>5130.5319000418822</ns0:v>
      </ns0:c>
      <ns0:c r="M15" s="74" t="str">
        <ns0:f t="shared" si="0"/>
        <ns0:v>Histórico</ns0:v>
      </ns0:c>
      <ns0:c r="N15" s="74"/>
      <ns0:c r="O15" s="74"/>
      <ns0:c r="P15" s="77"/>
      <ns0:c r="Q15" s="74" t="str">
        <ns0:f t="shared" si="1"/>
        <ns0:v>Premium waterfront/marina</ns0:v>
      </ns0:c>
      <ns0:c r="R15" s="74" t="s">
        <ns0:v>32</ns0:v>
      </ns0:c>
      <ns0:c r="S15" s="74"/>
      <ns0:c r="T15" s="74"/>
      <ns0:c r="U15" s="74"/>
      <ns0:c r="V15" s="74"/>
      <ns0:c r="W15" s="76" t="n">
        <ns0:f t="shared" si="2"/>
        <ns0:v>0.2</ns0:v>
      </ns0:c>
      <ns0:c r="X15" s="74" t="str">
        <ns0:f t="shared" si="3"/>
        <ns0:v>C · Histórico/secundário</ns0:v>
      </ns0:c>
      <ns0:c r="Y15" s="74" t="str">
        <ns0:f t="shared" si="4"/>
        <ns0:v>Baixa</ns0:v>
      </ns0:c>
      <ns0:c r="Z15" s="74"/>
      <ns0:c r="AA15" s="74" t="str">
        <ns0:f t="shared" si="5"/>
        <ns0:v>Atualizar preço/status</ns0:v>
      </ns0:c>
      <ns0:c r="AB15" s="74" t="str">
        <ns0:f t="shared" si="6"/>
        <ns0:v>Alta</ns0:v>
      </ns0:c>
    </ns0:row>
    <ns0:row r="16">
      <ns0:c r="A16" s="71" t="s">
        <ns0:v>28</ns0:v>
      </ns0:c>
      <ns0:c r="B16" s="71" t="s">
        <ns0:v>47</ns0:v>
      </ns0:c>
      <ns0:c r="C16" s="71">
        <ns0:v>2</ns0:v>
      </ns0:c>
      <ns0:c r="D16" s="71" t="s">
        <ns0:v>31</ns0:v>
      </ns0:c>
      <ns0:c r="E16" s="71">
        <ns0:v>3</ns0:v>
      </ns0:c>
      <ns0:c r="F16" s="72">
        <ns0:v>91.72</ns0:v>
      </ns0:c>
      <ns0:c r="G16" s="72">
        <ns0:v>14.85</ns0:v>
      </ns0:c>
      <ns0:c r="H16" s="72">
        <ns0:v>106.57</ns0:v>
      </ns0:c>
      <ns0:c r="I16" s="73">
        <ns0:v>700000</ns0:v>
      </ns0:c>
      <ns0:c r="J16" s="71">
        <ns0:v>2026</ns0:v>
      </ns0:c>
      <ns0:c r="K16" s="73">
        <ns0:v>7631.9232446576534</ns0:v>
      </ns0:c>
      <ns0:c r="L16" s="73">
        <ns0:v>6568.4526602233282</ns0:v>
      </ns0:c>
      <ns0:c r="M16" s="74" t="str">
        <ns0:f t="shared" si="0"/>
        <ns0:v>Ativo</ns0:v>
      </ns0:c>
      <ns0:c r="N16" s="74" t="str">
        <ns0:v>Idealista / JLL Residential</ns0:v>
      </ns0:c>
      <ns0:c r="O16" s="74" t="str">
        <ns0:v>https://www.idealista.pt/empreendimento/34271659/</ns0:v>
      </ns0:c>
      <ns0:c r="P16" s="75" t="n">
        <ns0:v>46288</ns0:v>
      </ns0:c>
      <ns0:c r="Q16" s="74" t="str">
        <ns0:f t="shared" si="1"/>
        <ns0:v>Premium waterfront/marina</ns0:v>
      </ns0:c>
      <ns0:c r="R16" s="74" t="s">
        <ns0:v>32</ns0:v>
      </ns0:c>
      <ns0:c r="S16" s="74"/>
      <ns0:c r="T16" s="74"/>
      <ns0:c r="U16" s="74"/>
      <ns0:c r="V16" s="74"/>
      <ns0:c r="W16" s="76" t="n">
        <ns0:f t="shared" si="2"/>
        <ns0:v>1</ns0:v>
      </ns0:c>
      <ns0:c r="X16" s="74" t="str">
        <ns0:f t="shared" si="3"/>
        <ns0:v>A · Premium ativo</ns0:v>
      </ns0:c>
      <ns0:c r="Y16" s="74" t="str">
        <ns0:f t="shared" si="4"/>
        <ns0:v>Alta</ns0:v>
      </ns0:c>
      <ns0:c r="Z16" s="74" t="str">
        <ns0:v>Validado face à oferta pública atual do Del Mar Waterfront em setembro de 2026.</ns0:v>
      </ns0:c>
      <ns0:c r="AA16" s="74" t="str">
        <ns0:f t="shared" si="5"/>
        <ns0:v>Revalidar disponibilidade e preço trimestralmente.</ns0:v>
      </ns0:c>
      <ns0:c r="AB16" s="74" t="str">
        <ns0:f t="shared" si="6"/>
        <ns0:v>Média</ns0:v>
      </ns0:c>
    </ns0:row>
    <ns0:row r="17">
      <ns0:c r="A17" s="71" t="s">
        <ns0:v>28</ns0:v>
      </ns0:c>
      <ns0:c r="B17" s="71" t="s">
        <ns0:v>48</ns0:v>
      </ns0:c>
      <ns0:c r="C17" s="71">
        <ns0:v>2</ns0:v>
      </ns0:c>
      <ns0:c r="D17" s="71" t="s">
        <ns0:v>42</ns0:v>
      </ns0:c>
      <ns0:c r="E17" s="71">
        <ns0:v>3</ns0:v>
      </ns0:c>
      <ns0:c r="F17" s="72">
        <ns0:v>70.58</ns0:v>
      </ns0:c>
      <ns0:c r="G17" s="72">
        <ns0:v>3.6</ns0:v>
      </ns0:c>
      <ns0:c r="H17" s="72">
        <ns0:v>74.179999999999993</ns0:v>
      </ns0:c>
      <ns0:c r="I17" s="73">
        <ns0:v>375000</ns0:v>
      </ns0:c>
      <ns0:c r="J17" s="71">
        <ns0:v>2024</ns0:v>
      </ns0:c>
      <ns0:c r="K17" s="73">
        <ns0:v>5313.1198639841314</ns0:v>
      </ns0:c>
      <ns0:c r="L17" s="73">
        <ns0:v>5055.2709625235921</ns0:v>
      </ns0:c>
      <ns0:c r="M17" s="74" t="str">
        <ns0:f t="shared" si="0"/>
        <ns0:v>Histórico</ns0:v>
      </ns0:c>
      <ns0:c r="N17" s="74"/>
      <ns0:c r="O17" s="74"/>
      <ns0:c r="P17" s="77"/>
      <ns0:c r="Q17" s="74" t="str">
        <ns0:f t="shared" si="1"/>
        <ns0:v>Premium waterfront/marina</ns0:v>
      </ns0:c>
      <ns0:c r="R17" s="74" t="s">
        <ns0:v>32</ns0:v>
      </ns0:c>
      <ns0:c r="S17" s="74"/>
      <ns0:c r="T17" s="74"/>
      <ns0:c r="U17" s="74"/>
      <ns0:c r="V17" s="74"/>
      <ns0:c r="W17" s="76" t="n">
        <ns0:f t="shared" si="2"/>
        <ns0:v>0.2</ns0:v>
      </ns0:c>
      <ns0:c r="X17" s="74" t="str">
        <ns0:f t="shared" si="3"/>
        <ns0:v>C · Histórico/secundário</ns0:v>
      </ns0:c>
      <ns0:c r="Y17" s="74" t="str">
        <ns0:f t="shared" si="4"/>
        <ns0:v>Baixa</ns0:v>
      </ns0:c>
      <ns0:c r="Z17" s="74"/>
      <ns0:c r="AA17" s="74" t="str">
        <ns0:f t="shared" si="5"/>
        <ns0:v>Atualizar preço/status</ns0:v>
      </ns0:c>
      <ns0:c r="AB17" s="74" t="str">
        <ns0:f t="shared" si="6"/>
        <ns0:v>Alta</ns0:v>
      </ns0:c>
    </ns0:row>
    <ns0:row r="18">
      <ns0:c r="A18" s="71" t="s">
        <ns0:v>28</ns0:v>
      </ns0:c>
      <ns0:c r="B18" s="71" t="s">
        <ns0:v>49</ns0:v>
      </ns0:c>
      <ns0:c r="C18" s="71">
        <ns0:v>2</ns0:v>
      </ns0:c>
      <ns0:c r="D18" s="71" t="s">
        <ns0:v>31</ns0:v>
      </ns0:c>
      <ns0:c r="E18" s="71">
        <ns0:v>4</ns0:v>
      </ns0:c>
      <ns0:c r="F18" s="72">
        <ns0:v>83.01</ns0:v>
      </ns0:c>
      <ns0:c r="G18" s="72">
        <ns0:v>38.79</ns0:v>
      </ns0:c>
      <ns0:c r="H18" s="72">
        <ns0:v>121.8</ns0:v>
      </ns0:c>
      <ns0:c r="I18" s="73">
        <ns0:v>675000</ns0:v>
      </ns0:c>
      <ns0:c r="J18" s="71">
        <ns0:v>2024</ns0:v>
      </ns0:c>
      <ns0:c r="K18" s="73">
        <ns0:v>8131.5504156125762</ns0:v>
      </ns0:c>
      <ns0:c r="L18" s="73">
        <ns0:v>5541.8719211822654</ns0:v>
      </ns0:c>
      <ns0:c r="M18" s="74" t="str">
        <ns0:f t="shared" si="0"/>
        <ns0:v>Histórico</ns0:v>
      </ns0:c>
      <ns0:c r="N18" s="74"/>
      <ns0:c r="O18" s="74"/>
      <ns0:c r="P18" s="77"/>
      <ns0:c r="Q18" s="74" t="str">
        <ns0:f t="shared" si="1"/>
        <ns0:v>Premium waterfront/marina</ns0:v>
      </ns0:c>
      <ns0:c r="R18" s="74" t="s">
        <ns0:v>32</ns0:v>
      </ns0:c>
      <ns0:c r="S18" s="74"/>
      <ns0:c r="T18" s="74"/>
      <ns0:c r="U18" s="74"/>
      <ns0:c r="V18" s="74"/>
      <ns0:c r="W18" s="76" t="n">
        <ns0:f t="shared" si="2"/>
        <ns0:v>0.2</ns0:v>
      </ns0:c>
      <ns0:c r="X18" s="74" t="str">
        <ns0:f t="shared" si="3"/>
        <ns0:v>C · Histórico/secundário</ns0:v>
      </ns0:c>
      <ns0:c r="Y18" s="74" t="str">
        <ns0:f t="shared" si="4"/>
        <ns0:v>Baixa</ns0:v>
      </ns0:c>
      <ns0:c r="Z18" s="74"/>
      <ns0:c r="AA18" s="74" t="str">
        <ns0:f t="shared" si="5"/>
        <ns0:v>Atualizar preço/status</ns0:v>
      </ns0:c>
      <ns0:c r="AB18" s="74" t="str">
        <ns0:f t="shared" si="6"/>
        <ns0:v>Alta</ns0:v>
      </ns0:c>
    </ns0:row>
    <ns0:row r="19">
      <ns0:c r="A19" s="71" t="s">
        <ns0:v>28</ns0:v>
      </ns0:c>
      <ns0:c r="B19" s="71" t="s">
        <ns0:v>50</ns0:v>
      </ns0:c>
      <ns0:c r="C19" s="71">
        <ns0:v>3</ns0:v>
      </ns0:c>
      <ns0:c r="D19" s="71" t="s">
        <ns0:v>31</ns0:v>
      </ns0:c>
      <ns0:c r="E19" s="71">
        <ns0:v>4</ns0:v>
      </ns0:c>
      <ns0:c r="F19" s="72">
        <ns0:v>127.19</ns0:v>
      </ns0:c>
      <ns0:c r="G19" s="72">
        <ns0:v>16.07</ns0:v>
      </ns0:c>
      <ns0:c r="H19" s="72">
        <ns0:v>143.26</ns0:v>
      </ns0:c>
      <ns0:c r="I19" s="73">
        <ns0:v>700000</ns0:v>
      </ns0:c>
      <ns0:c r="J19" s="71">
        <ns0:v>2024</ns0:v>
      </ns0:c>
      <ns0:c r="K19" s="73">
        <ns0:v>5503.5773252614199</ns0:v>
      </ns0:c>
      <ns0:c r="L19" s="73">
        <ns0:v>4886.220857182745</ns0:v>
      </ns0:c>
      <ns0:c r="M19" s="74" t="str">
        <ns0:f t="shared" si="0"/>
        <ns0:v>Histórico</ns0:v>
      </ns0:c>
      <ns0:c r="N19" s="74"/>
      <ns0:c r="O19" s="74"/>
      <ns0:c r="P19" s="77"/>
      <ns0:c r="Q19" s="74" t="str">
        <ns0:f t="shared" si="1"/>
        <ns0:v>Premium waterfront/marina</ns0:v>
      </ns0:c>
      <ns0:c r="R19" s="74" t="s">
        <ns0:v>32</ns0:v>
      </ns0:c>
      <ns0:c r="S19" s="74"/>
      <ns0:c r="T19" s="74"/>
      <ns0:c r="U19" s="74"/>
      <ns0:c r="V19" s="74"/>
      <ns0:c r="W19" s="76" t="n">
        <ns0:f t="shared" si="2"/>
        <ns0:v>0.2</ns0:v>
      </ns0:c>
      <ns0:c r="X19" s="74" t="str">
        <ns0:f t="shared" si="3"/>
        <ns0:v>C · Histórico/secundário</ns0:v>
      </ns0:c>
      <ns0:c r="Y19" s="74" t="str">
        <ns0:f t="shared" si="4"/>
        <ns0:v>Baixa</ns0:v>
      </ns0:c>
      <ns0:c r="Z19" s="74"/>
      <ns0:c r="AA19" s="74" t="str">
        <ns0:f t="shared" si="5"/>
        <ns0:v>Atualizar preço/status</ns0:v>
      </ns0:c>
      <ns0:c r="AB19" s="74" t="str">
        <ns0:f t="shared" si="6"/>
        <ns0:v>Alta</ns0:v>
      </ns0:c>
    </ns0:row>
    <ns0:row r="20">
      <ns0:c r="A20" s="71" t="s">
        <ns0:v>28</ns0:v>
      </ns0:c>
      <ns0:c r="B20" s="71" t="s">
        <ns0:v>51</ns0:v>
      </ns0:c>
      <ns0:c r="C20" s="71">
        <ns0:v>3</ns0:v>
      </ns0:c>
      <ns0:c r="D20" s="71" t="s">
        <ns0:v>31</ns0:v>
      </ns0:c>
      <ns0:c r="E20" s="71">
        <ns0:v>3</ns0:v>
      </ns0:c>
      <ns0:c r="F20" s="72">
        <ns0:v>91.72</ns0:v>
      </ns0:c>
      <ns0:c r="G20" s="72">
        <ns0:v>14.85</ns0:v>
      </ns0:c>
      <ns0:c r="H20" s="72">
        <ns0:v>106.57</ns0:v>
      </ns0:c>
      <ns0:c r="I20" s="73">
        <ns0:v>715000</ns0:v>
      </ns0:c>
      <ns0:c r="J20" s="71">
        <ns0:v>2026</ns0:v>
      </ns0:c>
      <ns0:c r="K20" s="73">
        <ns0:v>7304.8408198866118</ns0:v>
      </ns0:c>
      <ns0:c r="L20" s="73">
        <ns0:v>6286.9475462137571</ns0:v>
      </ns0:c>
      <ns0:c r="M20" s="74" t="str">
        <ns0:f t="shared" si="0"/>
        <ns0:v>Ativo</ns0:v>
      </ns0:c>
      <ns0:c r="N20" s="74" t="str">
        <ns0:v>Idealista / JLL Residential</ns0:v>
      </ns0:c>
      <ns0:c r="O20" s="74" t="str">
        <ns0:v>https://www.idealista.pt/empreendimento/34271659/</ns0:v>
      </ns0:c>
      <ns0:c r="P20" s="75" t="n">
        <ns0:v>46288</ns0:v>
      </ns0:c>
      <ns0:c r="Q20" s="74" t="str">
        <ns0:f t="shared" si="1"/>
        <ns0:v>Premium waterfront/marina</ns0:v>
      </ns0:c>
      <ns0:c r="R20" s="74" t="s">
        <ns0:v>32</ns0:v>
      </ns0:c>
      <ns0:c r="S20" s="74"/>
      <ns0:c r="T20" s="74"/>
      <ns0:c r="U20" s="74"/>
      <ns0:c r="V20" s="74"/>
      <ns0:c r="W20" s="76" t="n">
        <ns0:f t="shared" si="2"/>
        <ns0:v>1</ns0:v>
      </ns0:c>
      <ns0:c r="X20" s="74" t="str">
        <ns0:f t="shared" si="3"/>
        <ns0:v>A · Premium ativo</ns0:v>
      </ns0:c>
      <ns0:c r="Y20" s="74" t="str">
        <ns0:f t="shared" si="4"/>
        <ns0:v>Alta</ns0:v>
      </ns0:c>
      <ns0:c r="Z20" s="74" t="str">
        <ns0:v>Validado face à oferta pública atual do Del Mar Waterfront em setembro de 2026.</ns0:v>
      </ns0:c>
      <ns0:c r="AA20" s="74" t="str">
        <ns0:f t="shared" si="5"/>
        <ns0:v>Revalidar disponibilidade e preço trimestralmente.</ns0:v>
      </ns0:c>
      <ns0:c r="AB20" s="74" t="str">
        <ns0:f t="shared" si="6"/>
        <ns0:v>Média</ns0:v>
      </ns0:c>
    </ns0:row>
    <ns0:row r="21">
      <ns0:c r="A21" s="71" t="s">
        <ns0:v>28</ns0:v>
      </ns0:c>
      <ns0:c r="B21" s="71" t="s">
        <ns0:v>52</ns0:v>
      </ns0:c>
      <ns0:c r="C21" s="71">
        <ns0:v>3</ns0:v>
      </ns0:c>
      <ns0:c r="D21" s="71" t="s">
        <ns0:v>42</ns0:v>
      </ns0:c>
      <ns0:c r="E21" s="71">
        <ns0:v>3</ns0:v>
      </ns0:c>
      <ns0:c r="F21" s="72">
        <ns0:v>60.77</ns0:v>
      </ns0:c>
      <ns0:c r="G21" s="72">
        <ns0:v>3.6</ns0:v>
      </ns0:c>
      <ns0:c r="H21" s="72">
        <ns0:v>64.37</ns0:v>
      </ns0:c>
      <ns0:c r="I21" s="73">
        <ns0:v>385000</ns0:v>
      </ns0:c>
      <ns0:c r="J21" s="71">
        <ns0:v>2024</ns0:v>
      </ns0:c>
      <ns0:c r="K21" s="73">
        <ns0:v>6335.3628435083101</ns0:v>
      </ns0:c>
      <ns0:c r="L21" s="73">
        <ns0:v>5981.0470716172122</ns0:v>
      </ns0:c>
      <ns0:c r="M21" s="74" t="str">
        <ns0:f t="shared" si="0"/>
        <ns0:v>Histórico</ns0:v>
      </ns0:c>
      <ns0:c r="N21" s="74"/>
      <ns0:c r="O21" s="74"/>
      <ns0:c r="P21" s="77"/>
      <ns0:c r="Q21" s="74" t="str">
        <ns0:f t="shared" si="1"/>
        <ns0:v>Premium waterfront/marina</ns0:v>
      </ns0:c>
      <ns0:c r="R21" s="74" t="s">
        <ns0:v>32</ns0:v>
      </ns0:c>
      <ns0:c r="S21" s="74"/>
      <ns0:c r="T21" s="74"/>
      <ns0:c r="U21" s="74"/>
      <ns0:c r="V21" s="74"/>
      <ns0:c r="W21" s="76" t="n">
        <ns0:f t="shared" si="2"/>
        <ns0:v>0.2</ns0:v>
      </ns0:c>
      <ns0:c r="X21" s="74" t="str">
        <ns0:f t="shared" si="3"/>
        <ns0:v>C · Histórico/secundário</ns0:v>
      </ns0:c>
      <ns0:c r="Y21" s="74" t="str">
        <ns0:f t="shared" si="4"/>
        <ns0:v>Baixa</ns0:v>
      </ns0:c>
      <ns0:c r="Z21" s="74"/>
      <ns0:c r="AA21" s="74" t="str">
        <ns0:f t="shared" si="5"/>
        <ns0:v>Atualizar preço/status</ns0:v>
      </ns0:c>
      <ns0:c r="AB21" s="74" t="str">
        <ns0:f t="shared" si="6"/>
        <ns0:v>Alta</ns0:v>
      </ns0:c>
    </ns0:row>
    <ns0:row r="22">
      <ns0:c r="A22" s="71" t="s">
        <ns0:v>28</ns0:v>
      </ns0:c>
      <ns0:c r="B22" s="71" t="s">
        <ns0:v>53</ns0:v>
      </ns0:c>
      <ns0:c r="C22" s="71">
        <ns0:v>4</ns0:v>
      </ns0:c>
      <ns0:c r="D22" s="71" t="s">
        <ns0:v>31</ns0:v>
      </ns0:c>
      <ns0:c r="E22" s="71">
        <ns0:v>3</ns0:v>
      </ns0:c>
      <ns0:c r="F22" s="72">
        <ns0:v>91.72</ns0:v>
      </ns0:c>
      <ns0:c r="G22" s="72">
        <ns0:v>14.85</ns0:v>
      </ns0:c>
      <ns0:c r="H22" s="72">
        <ns0:v>106.57</ns0:v>
      </ns0:c>
      <ns0:c r="I22" s="73">
        <ns0:v>725000</ns0:v>
      </ns0:c>
      <ns0:c r="J22" s="71">
        <ns0:v>2026</ns0:v>
      </ns0:c>
      <ns0:c r="K22" s="73">
        <ns0:v>7468.3820322721331</ns0:v>
      </ns0:c>
      <ns0:c r="L22" s="73">
        <ns0:v>6427.7001032185426</ns0:v>
      </ns0:c>
      <ns0:c r="M22" s="74" t="str">
        <ns0:f t="shared" si="0"/>
        <ns0:v>A validar</ns0:v>
      </ns0:c>
      <ns0:c r="N22" s="74" t="str">
        <ns0:v>Idealista / JLL Residential</ns0:v>
      </ns0:c>
      <ns0:c r="O22" s="74" t="str">
        <ns0:v>https://www.idealista.pt/empreendimento/34271659/</ns0:v>
      </ns0:c>
      <ns0:c r="P22" s="75" t="n">
        <ns0:v>46288</ns0:v>
      </ns0:c>
      <ns0:c r="Q22" s="74" t="str">
        <ns0:f t="shared" si="1"/>
        <ns0:v>Premium waterfront/marina</ns0:v>
      </ns0:c>
      <ns0:c r="R22" s="74" t="s">
        <ns0:v>32</ns0:v>
      </ns0:c>
      <ns0:c r="S22" s="74"/>
      <ns0:c r="T22" s="74"/>
      <ns0:c r="U22" s="74"/>
      <ns0:c r="V22" s="74"/>
      <ns0:c r="W22" s="76" t="n">
        <ns0:f t="shared" si="2"/>
        <ns0:v>0.6</ns0:v>
      </ns0:c>
      <ns0:c r="X22" s="74" t="str">
        <ns0:f t="shared" si="3"/>
        <ns0:v>B · A validar</ns0:v>
      </ns0:c>
      <ns0:c r="Y22" s="74" t="str">
        <ns0:f t="shared" si="4"/>
        <ns0:v>Média</ns0:v>
      </ns0:c>
      <ns0:c r="Z22" s="74" t="str">
        <ns0:v>Não identificado de forma inequívoca na oferta pública consultada em setembro de 2026; preservado até validação.</ns0:v>
      </ns0:c>
      <ns0:c r="AA22" s="74" t="str">
        <ns0:f t="shared" si="5"/>
        <ns0:v>Confirmar disponibilidade/preço ou passar a histórico.</ns0:v>
      </ns0:c>
      <ns0:c r="AB22" s="74" t="str">
        <ns0:f t="shared" si="6"/>
        <ns0:v>Alta</ns0:v>
      </ns0:c>
    </ns0:row>
    <ns0:row r="23">
      <ns0:c r="A23" s="71" t="s">
        <ns0:v>28</ns0:v>
      </ns0:c>
      <ns0:c r="B23" s="71" t="s">
        <ns0:v>54</ns0:v>
      </ns0:c>
      <ns0:c r="C23" s="71">
        <ns0:v>4</ns0:v>
      </ns0:c>
      <ns0:c r="D23" s="71" t="s">
        <ns0:v>42</ns0:v>
      </ns0:c>
      <ns0:c r="E23" s="71">
        <ns0:v>3</ns0:v>
      </ns0:c>
      <ns0:c r="F23" s="72">
        <ns0:v>60.77</ns0:v>
      </ns0:c>
      <ns0:c r="G23" s="72">
        <ns0:v>3.6</ns0:v>
      </ns0:c>
      <ns0:c r="H23" s="72">
        <ns0:v>64.37</ns0:v>
      </ns0:c>
      <ns0:c r="I23" s="73">
        <ns0:v>420000</ns0:v>
      </ns0:c>
      <ns0:c r="J23" s="71">
        <ns0:v>2026</ns0:v>
      </ns0:c>
      <ns0:c r="K23" s="73">
        <ns0:v>6499.9177225604744</ns0:v>
      </ns0:c>
      <ns0:c r="L23" s="73">
        <ns0:v>6136.3989436072698</ns0:v>
      </ns0:c>
      <ns0:c r="M23" s="74" t="str">
        <ns0:f t="shared" si="0"/>
        <ns0:v>A validar</ns0:v>
      </ns0:c>
      <ns0:c r="N23" s="74" t="str">
        <ns0:v>Idealista / JLL Residential</ns0:v>
      </ns0:c>
      <ns0:c r="O23" s="74" t="str">
        <ns0:v>https://www.idealista.pt/empreendimento/34271659/</ns0:v>
      </ns0:c>
      <ns0:c r="P23" s="75" t="n">
        <ns0:v>46288</ns0:v>
      </ns0:c>
      <ns0:c r="Q23" s="74" t="str">
        <ns0:f t="shared" si="1"/>
        <ns0:v>Premium waterfront/marina</ns0:v>
      </ns0:c>
      <ns0:c r="R23" s="74" t="s">
        <ns0:v>32</ns0:v>
      </ns0:c>
      <ns0:c r="S23" s="74"/>
      <ns0:c r="T23" s="74"/>
      <ns0:c r="U23" s="74"/>
      <ns0:c r="V23" s="74"/>
      <ns0:c r="W23" s="76" t="n">
        <ns0:f t="shared" si="2"/>
        <ns0:v>0.6</ns0:v>
      </ns0:c>
      <ns0:c r="X23" s="74" t="str">
        <ns0:f t="shared" si="3"/>
        <ns0:v>B · A validar</ns0:v>
      </ns0:c>
      <ns0:c r="Y23" s="74" t="str">
        <ns0:f t="shared" si="4"/>
        <ns0:v>Média</ns0:v>
      </ns0:c>
      <ns0:c r="Z23" s="74" t="str">
        <ns0:v>Não identificado de forma inequívoca na oferta pública consultada em setembro de 2026; preservado até validação.</ns0:v>
      </ns0:c>
      <ns0:c r="AA23" s="74" t="str">
        <ns0:f t="shared" si="5"/>
        <ns0:v>Confirmar disponibilidade/preço ou passar a histórico.</ns0:v>
      </ns0:c>
      <ns0:c r="AB23" s="74" t="str">
        <ns0:f t="shared" si="6"/>
        <ns0:v>Alta</ns0:v>
      </ns0:c>
    </ns0:row>
    <ns0:row r="24">
      <ns0:c r="A24" s="71" t="s">
        <ns0:v>28</ns0:v>
      </ns0:c>
      <ns0:c r="B24" s="71" t="s">
        <ns0:v>55</ns0:v>
      </ns0:c>
      <ns0:c r="C24" s="71" t="s">
        <ns0:v>30</ns0:v>
      </ns0:c>
      <ns0:c r="D24" s="71" t="s">
        <ns0:v>31</ns0:v>
      </ns0:c>
      <ns0:c r="E24" s="71">
        <ns0:v>2</ns0:v>
      </ns0:c>
      <ns0:c r="F24" s="72">
        <ns0:v>123.63</ns0:v>
      </ns0:c>
      <ns0:c r="G24" s="72">
        <ns0:v>32.869999999999997</ns0:v>
      </ns0:c>
      <ns0:c r="H24" s="72">
        <ns0:v>156.5</ns0:v>
      </ns0:c>
      <ns0:c r="I24" s="73">
        <ns0:v>1310000</ns0:v>
      </ns0:c>
      <ns0:c r="J24" s="71">
        <ns0:v>2026</ns0:v>
      </ns0:c>
      <ns0:c r="K24" s="73">
        <ns0:v>10596.133624524789</ns0:v>
      </ns0:c>
      <ns0:c r="L24" s="73">
        <ns0:v>8370.6070287539933</ns0:v>
      </ns0:c>
      <ns0:c r="M24" s="74" t="str">
        <ns0:f t="shared" si="0"/>
        <ns0:v>Ativo</ns0:v>
      </ns0:c>
      <ns0:c r="N24" s="74" t="str">
        <ns0:v>Idealista / JLL Residential</ns0:v>
      </ns0:c>
      <ns0:c r="O24" s="74" t="str">
        <ns0:v>https://www.idealista.pt/empreendimento/34271659/</ns0:v>
      </ns0:c>
      <ns0:c r="P24" s="75" t="n">
        <ns0:v>46288</ns0:v>
      </ns0:c>
      <ns0:c r="Q24" s="74" t="str">
        <ns0:f t="shared" si="1"/>
        <ns0:v>Premium waterfront/marina</ns0:v>
      </ns0:c>
      <ns0:c r="R24" s="74" t="s">
        <ns0:v>32</ns0:v>
      </ns0:c>
      <ns0:c r="S24" s="74"/>
      <ns0:c r="T24" s="74"/>
      <ns0:c r="U24" s="74"/>
      <ns0:c r="V24" s="74"/>
      <ns0:c r="W24" s="76" t="n">
        <ns0:f t="shared" si="2"/>
        <ns0:v>1</ns0:v>
      </ns0:c>
      <ns0:c r="X24" s="74" t="str">
        <ns0:f t="shared" si="3"/>
        <ns0:v>A · Premium ativo</ns0:v>
      </ns0:c>
      <ns0:c r="Y24" s="74" t="str">
        <ns0:f t="shared" si="4"/>
        <ns0:v>Alta</ns0:v>
      </ns0:c>
      <ns0:c r="Z24" s="74" t="str">
        <ns0:v>Validado face à oferta pública atual do Del Mar Waterfront em setembro de 2026.</ns0:v>
      </ns0:c>
      <ns0:c r="AA24" s="74" t="str">
        <ns0:f t="shared" si="5"/>
        <ns0:v>Revalidar disponibilidade e preço trimestralmente.</ns0:v>
      </ns0:c>
      <ns0:c r="AB24" s="74" t="str">
        <ns0:f t="shared" si="6"/>
        <ns0:v>Média</ns0:v>
      </ns0:c>
    </ns0:row>
    <ns0:row r="25">
      <ns0:c r="A25" s="71" t="s">
        <ns0:v>28</ns0:v>
      </ns0:c>
      <ns0:c r="B25" s="71" t="s">
        <ns0:v>56</ns0:v>
      </ns0:c>
      <ns0:c r="C25" s="71" t="s">
        <ns0:v>30</ns0:v>
      </ns0:c>
      <ns0:c r="D25" s="71" t="s">
        <ns0:v>31</ns0:v>
      </ns0:c>
      <ns0:c r="E25" s="71">
        <ns0:v>1</ns0:v>
      </ns0:c>
      <ns0:c r="F25" s="72">
        <ns0:v>135.72999999999999</ns0:v>
      </ns0:c>
      <ns0:c r="G25" s="72">
        <ns0:v>32.15</ns0:v>
      </ns0:c>
      <ns0:c r="H25" s="72">
        <ns0:v>167.88</ns0:v>
      </ns0:c>
      <ns0:c r="I25" s="73">
        <ns0:v>1310000</ns0:v>
      </ns0:c>
      <ns0:c r="J25" s="71">
        <ns0:v>2026</ns0:v>
      </ns0:c>
      <ns0:c r="K25" s="73">
        <ns0:v>9651.5140352169765</ns0:v>
      </ns0:c>
      <ns0:c r="L25" s="73">
        <ns0:v>7803.1927567309986</ns0:v>
      </ns0:c>
      <ns0:c r="M25" s="74" t="str">
        <ns0:f t="shared" si="0"/>
        <ns0:v>Ativo</ns0:v>
      </ns0:c>
      <ns0:c r="N25" s="74" t="str">
        <ns0:v>Idealista / JLL Residential</ns0:v>
      </ns0:c>
      <ns0:c r="O25" s="74" t="str">
        <ns0:v>https://www.idealista.pt/empreendimento/34271659/</ns0:v>
      </ns0:c>
      <ns0:c r="P25" s="75" t="n">
        <ns0:v>46288</ns0:v>
      </ns0:c>
      <ns0:c r="Q25" s="74" t="str">
        <ns0:f t="shared" si="1"/>
        <ns0:v>Premium waterfront/marina</ns0:v>
      </ns0:c>
      <ns0:c r="R25" s="74" t="s">
        <ns0:v>32</ns0:v>
      </ns0:c>
      <ns0:c r="S25" s="74"/>
      <ns0:c r="T25" s="74"/>
      <ns0:c r="U25" s="74"/>
      <ns0:c r="V25" s="74"/>
      <ns0:c r="W25" s="76" t="n">
        <ns0:f t="shared" si="2"/>
        <ns0:v>1</ns0:v>
      </ns0:c>
      <ns0:c r="X25" s="74" t="str">
        <ns0:f t="shared" si="3"/>
        <ns0:v>A · Premium ativo</ns0:v>
      </ns0:c>
      <ns0:c r="Y25" s="74" t="str">
        <ns0:f t="shared" si="4"/>
        <ns0:v>Alta</ns0:v>
      </ns0:c>
      <ns0:c r="Z25" s="74" t="str">
        <ns0:v>Validado face à oferta pública atual do Del Mar Waterfront em setembro de 2026.</ns0:v>
      </ns0:c>
      <ns0:c r="AA25" s="74" t="str">
        <ns0:f t="shared" si="5"/>
        <ns0:v>Revalidar disponibilidade e preço trimestralmente.</ns0:v>
      </ns0:c>
      <ns0:c r="AB25" s="74" t="str">
        <ns0:f t="shared" si="6"/>
        <ns0:v>Média</ns0:v>
      </ns0:c>
    </ns0:row>
    <ns0:row r="26">
      <ns0:c r="A26" s="71" t="s">
        <ns0:v>28</ns0:v>
      </ns0:c>
      <ns0:c r="B26" s="71" t="s">
        <ns0:v>57</ns0:v>
      </ns0:c>
      <ns0:c r="C26" s="71" t="s">
        <ns0:v>30</ns0:v>
      </ns0:c>
      <ns0:c r="D26" s="71" t="s">
        <ns0:v>42</ns0:v>
      </ns0:c>
      <ns0:c r="E26" s="71">
        <ns0:v>2</ns0:v>
      </ns0:c>
      <ns0:c r="F26" s="72">
        <ns0:v>72.150000000000006</ns0:v>
      </ns0:c>
      <ns0:c r="G26" s="72">
        <ns0:v>15.6</ns0:v>
      </ns0:c>
      <ns0:c r="H26" s="72">
        <ns0:v>87.75</ns0:v>
      </ns0:c>
      <ns0:c r="I26" s="73">
        <ns0:v>375000</ns0:v>
      </ns0:c>
      <ns0:c r="J26" s="71">
        <ns0:v>2024</ns0:v>
      </ns0:c>
      <ns0:c r="K26" s="73">
        <ns0:v>5197.5051975051974</ns0:v>
      </ns0:c>
      <ns0:c r="L26" s="73">
        <ns0:v>4273.5042735042734</ns0:v>
      </ns0:c>
      <ns0:c r="M26" s="74" t="str">
        <ns0:f t="shared" si="0"/>
        <ns0:v>Histórico</ns0:v>
      </ns0:c>
      <ns0:c r="N26" s="74"/>
      <ns0:c r="O26" s="74"/>
      <ns0:c r="P26" s="77"/>
      <ns0:c r="Q26" s="74" t="str">
        <ns0:f t="shared" si="1"/>
        <ns0:v>Premium waterfront/marina</ns0:v>
      </ns0:c>
      <ns0:c r="R26" s="74" t="s">
        <ns0:v>32</ns0:v>
      </ns0:c>
      <ns0:c r="S26" s="74"/>
      <ns0:c r="T26" s="74"/>
      <ns0:c r="U26" s="74"/>
      <ns0:c r="V26" s="74"/>
      <ns0:c r="W26" s="76" t="n">
        <ns0:f t="shared" si="2"/>
        <ns0:v>0.2</ns0:v>
      </ns0:c>
      <ns0:c r="X26" s="74" t="str">
        <ns0:f t="shared" si="3"/>
        <ns0:v>C · Histórico/secundário</ns0:v>
      </ns0:c>
      <ns0:c r="Y26" s="74" t="str">
        <ns0:f t="shared" si="4"/>
        <ns0:v>Baixa</ns0:v>
      </ns0:c>
      <ns0:c r="Z26" s="74"/>
      <ns0:c r="AA26" s="74" t="str">
        <ns0:f t="shared" si="5"/>
        <ns0:v>Atualizar preço/status</ns0:v>
      </ns0:c>
      <ns0:c r="AB26" s="74" t="str">
        <ns0:f t="shared" si="6"/>
        <ns0:v>Alta</ns0:v>
      </ns0:c>
    </ns0:row>
    <ns0:row r="27">
      <ns0:c r="A27" s="71" t="s">
        <ns0:v>28</ns0:v>
      </ns0:c>
      <ns0:c r="B27" s="71" t="s">
        <ns0:v>58</ns0:v>
      </ns0:c>
      <ns0:c r="C27" s="71" t="s">
        <ns0:v>30</ns0:v>
      </ns0:c>
      <ns0:c r="D27" s="71" t="s">
        <ns0:v>42</ns0:v>
      </ns0:c>
      <ns0:c r="E27" s="71">
        <ns0:v>2</ns0:v>
      </ns0:c>
      <ns0:c r="F27" s="72">
        <ns0:v>89.39</ns0:v>
      </ns0:c>
      <ns0:c r="G27" s="72">
        <ns0:v>16.61</ns0:v>
      </ns0:c>
      <ns0:c r="H27" s="72">
        <ns0:v>106</ns0:v>
      </ns0:c>
      <ns0:c r="I27" s="73">
        <ns0:v>395000</ns0:v>
      </ns0:c>
      <ns0:c r="J27" s="71">
        <ns0:v>2024</ns0:v>
      </ns0:c>
      <ns0:c r="K27" s="73">
        <ns0:v>4418.8387962859379</ns0:v>
      </ns0:c>
      <ns0:c r="L27" s="73">
        <ns0:v>3726.415094339623</ns0:v>
      </ns0:c>
      <ns0:c r="M27" s="74" t="str">
        <ns0:f t="shared" si="0"/>
        <ns0:v>Histórico</ns0:v>
      </ns0:c>
      <ns0:c r="N27" s="74"/>
      <ns0:c r="O27" s="74"/>
      <ns0:c r="P27" s="77"/>
      <ns0:c r="Q27" s="74" t="str">
        <ns0:f t="shared" si="1"/>
        <ns0:v>Premium waterfront/marina</ns0:v>
      </ns0:c>
      <ns0:c r="R27" s="74" t="s">
        <ns0:v>32</ns0:v>
      </ns0:c>
      <ns0:c r="S27" s="74"/>
      <ns0:c r="T27" s="74"/>
      <ns0:c r="U27" s="74"/>
      <ns0:c r="V27" s="74"/>
      <ns0:c r="W27" s="76" t="n">
        <ns0:f t="shared" si="2"/>
        <ns0:v>0.2</ns0:v>
      </ns0:c>
      <ns0:c r="X27" s="74" t="str">
        <ns0:f t="shared" si="3"/>
        <ns0:v>C · Histórico/secundário</ns0:v>
      </ns0:c>
      <ns0:c r="Y27" s="74" t="str">
        <ns0:f t="shared" si="4"/>
        <ns0:v>Baixa</ns0:v>
      </ns0:c>
      <ns0:c r="Z27" s="74"/>
      <ns0:c r="AA27" s="74" t="str">
        <ns0:f t="shared" si="5"/>
        <ns0:v>Atualizar preço/status</ns0:v>
      </ns0:c>
      <ns0:c r="AB27" s="74" t="str">
        <ns0:f t="shared" si="6"/>
        <ns0:v>Alta</ns0:v>
      </ns0:c>
    </ns0:row>
    <ns0:row r="28">
      <ns0:c r="A28" s="71" t="s">
        <ns0:v>28</ns0:v>
      </ns0:c>
      <ns0:c r="B28" s="71" t="s">
        <ns0:v>59</ns0:v>
      </ns0:c>
      <ns0:c r="C28" s="71" t="s">
        <ns0:v>30</ns0:v>
      </ns0:c>
      <ns0:c r="D28" s="71" t="s">
        <ns0:v>31</ns0:v>
      </ns0:c>
      <ns0:c r="E28" s="71">
        <ns0:v>2</ns0:v>
      </ns0:c>
      <ns0:c r="F28" s="72">
        <ns0:v>120.58</ns0:v>
      </ns0:c>
      <ns0:c r="G28" s="72">
        <ns0:v>22.83</ns0:v>
      </ns0:c>
      <ns0:c r="H28" s="72">
        <ns0:v>143.41</ns0:v>
      </ns0:c>
      <ns0:c r="I28" s="73">
        <ns0:v>660000</ns0:v>
      </ns0:c>
      <ns0:c r="J28" s="71">
        <ns0:v>2024</ns0:v>
      </ns0:c>
      <ns0:c r="K28" s="73">
        <ns0:v>5473.5445347487148</ns0:v>
      </ns0:c>
      <ns0:c r="L28" s="73">
        <ns0:v>4602.1895265323201</ns0:v>
      </ns0:c>
      <ns0:c r="M28" s="74" t="str">
        <ns0:f t="shared" si="0"/>
        <ns0:v>Histórico</ns0:v>
      </ns0:c>
      <ns0:c r="N28" s="74"/>
      <ns0:c r="O28" s="74"/>
      <ns0:c r="P28" s="77"/>
      <ns0:c r="Q28" s="74" t="str">
        <ns0:f t="shared" si="1"/>
        <ns0:v>Premium waterfront/marina</ns0:v>
      </ns0:c>
      <ns0:c r="R28" s="74" t="s">
        <ns0:v>32</ns0:v>
      </ns0:c>
      <ns0:c r="S28" s="74"/>
      <ns0:c r="T28" s="74"/>
      <ns0:c r="U28" s="74"/>
      <ns0:c r="V28" s="74"/>
      <ns0:c r="W28" s="76" t="n">
        <ns0:f t="shared" si="2"/>
        <ns0:v>0.2</ns0:v>
      </ns0:c>
      <ns0:c r="X28" s="74" t="str">
        <ns0:f t="shared" si="3"/>
        <ns0:v>C · Histórico/secundário</ns0:v>
      </ns0:c>
      <ns0:c r="Y28" s="74" t="str">
        <ns0:f t="shared" si="4"/>
        <ns0:v>Baixa</ns0:v>
      </ns0:c>
      <ns0:c r="Z28" s="74"/>
      <ns0:c r="AA28" s="74" t="str">
        <ns0:f t="shared" si="5"/>
        <ns0:v>Atualizar preço/status</ns0:v>
      </ns0:c>
      <ns0:c r="AB28" s="74" t="str">
        <ns0:f t="shared" si="6"/>
        <ns0:v>Alta</ns0:v>
      </ns0:c>
    </ns0:row>
    <ns0:row r="29">
      <ns0:c r="A29" s="71" t="s">
        <ns0:v>28</ns0:v>
      </ns0:c>
      <ns0:c r="B29" s="71" t="s">
        <ns0:v>60</ns0:v>
      </ns0:c>
      <ns0:c r="C29" s="71" t="s">
        <ns0:v>30</ns0:v>
      </ns0:c>
      <ns0:c r="D29" s="71" t="s">
        <ns0:v>42</ns0:v>
      </ns0:c>
      <ns0:c r="E29" s="71">
        <ns0:v>2</ns0:v>
      </ns0:c>
      <ns0:c r="F29" s="72">
        <ns0:v>85.19</ns0:v>
      </ns0:c>
      <ns0:c r="G29" s="72">
        <ns0:v>18.46</ns0:v>
      </ns0:c>
      <ns0:c r="H29" s="72">
        <ns0:v>103.65</ns0:v>
      </ns0:c>
      <ns0:c r="I29" s="73">
        <ns0:v>385000</ns0:v>
      </ns0:c>
      <ns0:c r="J29" s="71">
        <ns0:v>2024</ns0:v>
      </ns0:c>
      <ns0:c r="K29" s="73">
        <ns0:v>4519.3097781429742</ns0:v>
      </ns0:c>
      <ns0:c r="L29" s="73">
        <ns0:v>3714.42354076218</ns0:v>
      </ns0:c>
      <ns0:c r="M29" s="74" t="str">
        <ns0:f t="shared" si="0"/>
        <ns0:v>Histórico</ns0:v>
      </ns0:c>
      <ns0:c r="N29" s="74"/>
      <ns0:c r="O29" s="74"/>
      <ns0:c r="P29" s="77"/>
      <ns0:c r="Q29" s="74" t="str">
        <ns0:f t="shared" si="1"/>
        <ns0:v>Premium waterfront/marina</ns0:v>
      </ns0:c>
      <ns0:c r="R29" s="74" t="s">
        <ns0:v>32</ns0:v>
      </ns0:c>
      <ns0:c r="S29" s="74"/>
      <ns0:c r="T29" s="74"/>
      <ns0:c r="U29" s="74"/>
      <ns0:c r="V29" s="74"/>
      <ns0:c r="W29" s="76" t="n">
        <ns0:f t="shared" si="2"/>
        <ns0:v>0.2</ns0:v>
      </ns0:c>
      <ns0:c r="X29" s="74" t="str">
        <ns0:f t="shared" si="3"/>
        <ns0:v>C · Histórico/secundário</ns0:v>
      </ns0:c>
      <ns0:c r="Y29" s="74" t="str">
        <ns0:f t="shared" si="4"/>
        <ns0:v>Baixa</ns0:v>
      </ns0:c>
      <ns0:c r="Z29" s="74"/>
      <ns0:c r="AA29" s="74" t="str">
        <ns0:f t="shared" si="5"/>
        <ns0:v>Atualizar preço/status</ns0:v>
      </ns0:c>
      <ns0:c r="AB29" s="74" t="str">
        <ns0:f t="shared" si="6"/>
        <ns0:v>Alta</ns0:v>
      </ns0:c>
    </ns0:row>
    <ns0:row r="30">
      <ns0:c r="A30" s="71" t="s">
        <ns0:v>28</ns0:v>
      </ns0:c>
      <ns0:c r="B30" s="71" t="s">
        <ns0:v>61</ns0:v>
      </ns0:c>
      <ns0:c r="C30" s="71" t="s">
        <ns0:v>30</ns0:v>
      </ns0:c>
      <ns0:c r="D30" s="71" t="s">
        <ns0:v>31</ns0:v>
      </ns0:c>
      <ns0:c r="E30" s="71">
        <ns0:v>3</ns0:v>
      </ns0:c>
      <ns0:c r="F30" s="72">
        <ns0:v>107.95</ns0:v>
      </ns0:c>
      <ns0:c r="G30" s="72">
        <ns0:v>19.3</ns0:v>
      </ns0:c>
      <ns0:c r="H30" s="72">
        <ns0:v>127.25</ns0:v>
      </ns0:c>
      <ns0:c r="I30" s="73">
        <ns0:v>575000</ns0:v>
      </ns0:c>
      <ns0:c r="J30" s="71">
        <ns0:v>2024</ns0:v>
      </ns0:c>
      <ns0:c r="K30" s="73">
        <ns0:v>5326.5400648448358</ns0:v>
      </ns0:c>
      <ns0:c r="L30" s="73">
        <ns0:v>4518.6640471512774</ns0:v>
      </ns0:c>
      <ns0:c r="M30" s="74" t="str">
        <ns0:f t="shared" si="0"/>
        <ns0:v>Histórico</ns0:v>
      </ns0:c>
      <ns0:c r="N30" s="74"/>
      <ns0:c r="O30" s="74"/>
      <ns0:c r="P30" s="77"/>
      <ns0:c r="Q30" s="74" t="str">
        <ns0:f t="shared" si="1"/>
        <ns0:v>Premium waterfront/marina</ns0:v>
      </ns0:c>
      <ns0:c r="R30" s="74" t="s">
        <ns0:v>32</ns0:v>
      </ns0:c>
      <ns0:c r="S30" s="74"/>
      <ns0:c r="T30" s="74"/>
      <ns0:c r="U30" s="74"/>
      <ns0:c r="V30" s="74"/>
      <ns0:c r="W30" s="76" t="n">
        <ns0:f t="shared" si="2"/>
        <ns0:v>0.2</ns0:v>
      </ns0:c>
      <ns0:c r="X30" s="74" t="str">
        <ns0:f t="shared" si="3"/>
        <ns0:v>C · Histórico/secundário</ns0:v>
      </ns0:c>
      <ns0:c r="Y30" s="74" t="str">
        <ns0:f t="shared" si="4"/>
        <ns0:v>Baixa</ns0:v>
      </ns0:c>
      <ns0:c r="Z30" s="74"/>
      <ns0:c r="AA30" s="74" t="str">
        <ns0:f t="shared" si="5"/>
        <ns0:v>Atualizar preço/status</ns0:v>
      </ns0:c>
      <ns0:c r="AB30" s="74" t="str">
        <ns0:f t="shared" si="6"/>
        <ns0:v>Alta</ns0:v>
      </ns0:c>
    </ns0:row>
    <ns0:row r="31">
      <ns0:c r="A31" s="71" t="s">
        <ns0:v>28</ns0:v>
      </ns0:c>
      <ns0:c r="B31" s="71" t="s">
        <ns0:v>62</ns0:v>
      </ns0:c>
      <ns0:c r="C31" s="71">
        <ns0:v>1</ns0:v>
      </ns0:c>
      <ns0:c r="D31" s="71" t="s">
        <ns0:v>31</ns0:v>
      </ns0:c>
      <ns0:c r="E31" s="71">
        <ns0:v>2</ns0:v>
      </ns0:c>
      <ns0:c r="F31" s="72">
        <ns0:v>139.13999999999999</ns0:v>
      </ns0:c>
      <ns0:c r="G31" s="72">
        <ns0:v>26.67</ns0:v>
      </ns0:c>
      <ns0:c r="H31" s="72">
        <ns0:v>165.81</ns0:v>
      </ns0:c>
      <ns0:c r="I31" s="73">
        <ns0:v>1310000</ns0:v>
      </ns0:c>
      <ns0:c r="J31" s="71">
        <ns0:v>2026</ns0:v>
      </ns0:c>
      <ns0:c r="K31" s="73">
        <ns0:v>9271.2376024148343</ns0:v>
      </ns0:c>
      <ns0:c r="L31" s="73">
        <ns0:v>7779.989144201194</ns0:v>
      </ns0:c>
      <ns0:c r="M31" s="74" t="str">
        <ns0:f t="shared" si="0"/>
        <ns0:v>A validar</ns0:v>
      </ns0:c>
      <ns0:c r="N31" s="74" t="str">
        <ns0:v>Idealista / JLL Residential</ns0:v>
      </ns0:c>
      <ns0:c r="O31" s="74" t="str">
        <ns0:v>https://www.idealista.pt/empreendimento/34271659/</ns0:v>
      </ns0:c>
      <ns0:c r="P31" s="75" t="n">
        <ns0:v>46288</ns0:v>
      </ns0:c>
      <ns0:c r="Q31" s="74" t="str">
        <ns0:f t="shared" si="1"/>
        <ns0:v>Premium waterfront/marina</ns0:v>
      </ns0:c>
      <ns0:c r="R31" s="74" t="s">
        <ns0:v>32</ns0:v>
      </ns0:c>
      <ns0:c r="S31" s="74"/>
      <ns0:c r="T31" s="74"/>
      <ns0:c r="U31" s="74"/>
      <ns0:c r="V31" s="74"/>
      <ns0:c r="W31" s="76" t="n">
        <ns0:f t="shared" si="2"/>
        <ns0:v>0.6</ns0:v>
      </ns0:c>
      <ns0:c r="X31" s="74" t="str">
        <ns0:f t="shared" si="3"/>
        <ns0:v>B · A validar</ns0:v>
      </ns0:c>
      <ns0:c r="Y31" s="74" t="str">
        <ns0:f t="shared" si="4"/>
        <ns0:v>Média</ns0:v>
      </ns0:c>
      <ns0:c r="Z31" s="74" t="str">
        <ns0:v>Não identificado de forma inequívoca na oferta pública consultada em setembro de 2026; preservado até validação.</ns0:v>
      </ns0:c>
      <ns0:c r="AA31" s="74" t="str">
        <ns0:f t="shared" si="5"/>
        <ns0:v>Confirmar disponibilidade/preço ou passar a histórico.</ns0:v>
      </ns0:c>
      <ns0:c r="AB31" s="74" t="str">
        <ns0:f t="shared" si="6"/>
        <ns0:v>Alta</ns0:v>
      </ns0:c>
    </ns0:row>
    <ns0:row r="32">
      <ns0:c r="A32" s="71" t="s">
        <ns0:v>28</ns0:v>
      </ns0:c>
      <ns0:c r="B32" s="71" t="s">
        <ns0:v>63</ns0:v>
      </ns0:c>
      <ns0:c r="C32" s="71">
        <ns0:v>1</ns0:v>
      </ns0:c>
      <ns0:c r="D32" s="71" t="s">
        <ns0:v>64</ns0:v>
      </ns0:c>
      <ns0:c r="E32" s="71">
        <ns0:v>1</ns0:v>
      </ns0:c>
      <ns0:c r="F32" s="72">
        <ns0:v>157.01</ns0:v>
      </ns0:c>
      <ns0:c r="G32" s="72">
        <ns0:v>27.23</ns0:v>
      </ns0:c>
      <ns0:c r="H32" s="72">
        <ns0:v>184.24</ns0:v>
      </ns0:c>
      <ns0:c r="I32" s="73">
        <ns0:v>1360000</ns0:v>
      </ns0:c>
      <ns0:c r="J32" s="71">
        <ns0:v>2026</ns0:v>
      </ns0:c>
      <ns0:c r="K32" s="73">
        <ns0:v>8661.8686707853012</ns0:v>
      </ns0:c>
      <ns0:c r="L32" s="73">
        <ns0:v>7381.6760746851942</ns0:v>
      </ns0:c>
      <ns0:c r="M32" s="74" t="str">
        <ns0:f t="shared" si="0"/>
        <ns0:v>Ativo</ns0:v>
      </ns0:c>
      <ns0:c r="N32" s="74" t="str">
        <ns0:v>Idealista / JLL Residential</ns0:v>
      </ns0:c>
      <ns0:c r="O32" s="74" t="str">
        <ns0:v>https://www.idealista.pt/empreendimento/34271659/</ns0:v>
      </ns0:c>
      <ns0:c r="P32" s="75" t="n">
        <ns0:v>46288</ns0:v>
      </ns0:c>
      <ns0:c r="Q32" s="74" t="str">
        <ns0:f t="shared" si="1"/>
        <ns0:v>Premium waterfront/marina</ns0:v>
      </ns0:c>
      <ns0:c r="R32" s="74" t="s">
        <ns0:v>32</ns0:v>
      </ns0:c>
      <ns0:c r="S32" s="74"/>
      <ns0:c r="T32" s="74"/>
      <ns0:c r="U32" s="74"/>
      <ns0:c r="V32" s="74"/>
      <ns0:c r="W32" s="76" t="n">
        <ns0:f t="shared" si="2"/>
        <ns0:v>1</ns0:v>
      </ns0:c>
      <ns0:c r="X32" s="74" t="str">
        <ns0:f t="shared" si="3"/>
        <ns0:v>A · Premium ativo</ns0:v>
      </ns0:c>
      <ns0:c r="Y32" s="74" t="str">
        <ns0:f t="shared" si="4"/>
        <ns0:v>Alta</ns0:v>
      </ns0:c>
      <ns0:c r="Z32" s="74" t="str">
        <ns0:v>Validado face à oferta pública atual do Del Mar Waterfront em setembro de 2026.</ns0:v>
      </ns0:c>
      <ns0:c r="AA32" s="74" t="str">
        <ns0:f t="shared" si="5"/>
        <ns0:v>Revalidar disponibilidade e preço trimestralmente.</ns0:v>
      </ns0:c>
      <ns0:c r="AB32" s="74" t="str">
        <ns0:f t="shared" si="6"/>
        <ns0:v>Média</ns0:v>
      </ns0:c>
    </ns0:row>
    <ns0:row r="33">
      <ns0:c r="A33" s="71" t="s">
        <ns0:v>28</ns0:v>
      </ns0:c>
      <ns0:c r="B33" s="71" t="s">
        <ns0:v>65</ns0:v>
      </ns0:c>
      <ns0:c r="C33" s="71">
        <ns0:v>1</ns0:v>
      </ns0:c>
      <ns0:c r="D33" s="71" t="s">
        <ns0:v>31</ns0:v>
      </ns0:c>
      <ns0:c r="E33" s="71">
        <ns0:v>2</ns0:v>
      </ns0:c>
      <ns0:c r="F33" s="72">
        <ns0:v>127.37</ns0:v>
      </ns0:c>
      <ns0:c r="G33" s="72">
        <ns0:v>16.07</ns0:v>
      </ns0:c>
      <ns0:c r="H33" s="72">
        <ns0:v>143.44</ns0:v>
      </ns0:c>
      <ns0:c r="I33" s="73">
        <ns0:v>790000</ns0:v>
      </ns0:c>
      <ns0:c r="J33" s="71">
        <ns0:v>2026</ns0:v>
      </ns0:c>
      <ns0:c r="K33" s="73">
        <ns0:v>6202.4024495564099</ns0:v>
      </ns0:c>
      <ns0:c r="L33" s="73">
        <ns0:v>5507.5292805354156</ns0:v>
      </ns0:c>
      <ns0:c r="M33" s="74" t="str">
        <ns0:f t="shared" si="0"/>
        <ns0:v>Ativo</ns0:v>
      </ns0:c>
      <ns0:c r="N33" s="74" t="str">
        <ns0:v>Idealista / JLL Residential</ns0:v>
      </ns0:c>
      <ns0:c r="O33" s="74" t="str">
        <ns0:v>https://www.idealista.pt/empreendimento/34271659/</ns0:v>
      </ns0:c>
      <ns0:c r="P33" s="75" t="n">
        <ns0:v>46288</ns0:v>
      </ns0:c>
      <ns0:c r="Q33" s="74" t="str">
        <ns0:f t="shared" si="1"/>
        <ns0:v>Premium waterfront/marina</ns0:v>
      </ns0:c>
      <ns0:c r="R33" s="74" t="s">
        <ns0:v>32</ns0:v>
      </ns0:c>
      <ns0:c r="S33" s="74"/>
      <ns0:c r="T33" s="74"/>
      <ns0:c r="U33" s="74"/>
      <ns0:c r="V33" s="74"/>
      <ns0:c r="W33" s="76" t="n">
        <ns0:f t="shared" si="2"/>
        <ns0:v>1</ns0:v>
      </ns0:c>
      <ns0:c r="X33" s="74" t="str">
        <ns0:f t="shared" si="3"/>
        <ns0:v>A · Premium ativo</ns0:v>
      </ns0:c>
      <ns0:c r="Y33" s="74" t="str">
        <ns0:f t="shared" si="4"/>
        <ns0:v>Alta</ns0:v>
      </ns0:c>
      <ns0:c r="Z33" s="74" t="str">
        <ns0:v>Validado face à oferta pública atual do Del Mar Waterfront em setembro de 2026.</ns0:v>
      </ns0:c>
      <ns0:c r="AA33" s="74" t="str">
        <ns0:f t="shared" si="5"/>
        <ns0:v>Revalidar disponibilidade e preço trimestralmente.</ns0:v>
      </ns0:c>
      <ns0:c r="AB33" s="74" t="str">
        <ns0:f t="shared" si="6"/>
        <ns0:v>Média</ns0:v>
      </ns0:c>
    </ns0:row>
    <ns0:row r="34">
      <ns0:c r="A34" s="71" t="s">
        <ns0:v>28</ns0:v>
      </ns0:c>
      <ns0:c r="B34" s="71" t="s">
        <ns0:v>66</ns0:v>
      </ns0:c>
      <ns0:c r="C34" s="71">
        <ns0:v>1</ns0:v>
      </ns0:c>
      <ns0:c r="D34" s="71" t="s">
        <ns0:v>42</ns0:v>
      </ns0:c>
      <ns0:c r="E34" s="71">
        <ns0:v>2</ns0:v>
      </ns0:c>
      <ns0:c r="F34" s="72">
        <ns0:v>94.46</ns0:v>
      </ns0:c>
      <ns0:c r="G34" s="72">
        <ns0:v>9.15</ns0:v>
      </ns0:c>
      <ns0:c r="H34" s="72">
        <ns0:v>103.61</ns0:v>
      </ns0:c>
      <ns0:c r="I34" s="73">
        <ns0:v>425000</ns0:v>
      </ns0:c>
      <ns0:c r="J34" s="71">
        <ns0:v>2024</ns0:v>
      </ns0:c>
      <ns0:c r="K34" s="73">
        <ns0:v>4499.2589455854331</ns0:v>
      </ns0:c>
      <ns0:c r="L34" s="73">
        <ns0:v>4101.9206640285684</ns0:v>
      </ns0:c>
      <ns0:c r="M34" s="74" t="str">
        <ns0:f t="shared" ref="M34:M65" si="7">IF(A34="The View","Projeto",IF(J34&gt;=2026,"Ativo",IF(J34=2025,"Rever","Histórico")))</ns0:f>
        <ns0:v>Histórico</ns0:v>
      </ns0:c>
      <ns0:c r="N34" s="74"/>
      <ns0:c r="O34" s="74"/>
      <ns0:c r="P34" s="77"/>
      <ns0:c r="Q34" s="74" t="str">
        <ns0:f t="shared" ref="Q34:Q97" si="8">IF(A34="The View","Projeto",IF(A34="Le Parc","Benchmark local",IF(OR(A34="Del Mar Waterfront",A34="Aura Living"),"Premium waterfront/marina","A classificar")))</ns0:f>
        <ns0:v>Premium waterfront/marina</ns0:v>
      </ns0:c>
      <ns0:c r="R34" s="74" t="s">
        <ns0:v>32</ns0:v>
      </ns0:c>
      <ns0:c r="S34" s="74"/>
      <ns0:c r="T34" s="74"/>
      <ns0:c r="U34" s="74"/>
      <ns0:c r="V34" s="74"/>
      <ns0:c r="W34" s="76" t="n">
        <ns0:f t="shared" ref="W34:W65" si="9">IF(A34="The View",1,MAX(0.25,MIN(1,IF(J34&gt;=2026,1,IF(J34=2025,0.8,IF(J34=2024,0.45,0.3)))*IF(Q34="Premium waterfront/marina",1,IF(Q34="Benchmark local",0.7,0.6))*IF(M34="Vendido",0.65,IF(M34="Reservado",0.8,IF(M34="Histórico",0.55,1))))))</ns0:f>
        <ns0:v>0.2</ns0:v>
      </ns0:c>
      <ns0:c r="X34" s="74" t="str">
        <ns0:f t="shared" ref="X34:X65" si="10">IF(A34="The View","Projeto",IF(W34&gt;=0.85,"A · Premium ativo",IF(W34&gt;=0.55,"B · Benchmark local","C · Histórico/secundário")))</ns0:f>
        <ns0:v>C · Histórico/secundário</ns0:v>
      </ns0:c>
      <ns0:c r="Y34" s="74" t="str">
        <ns0:f t="shared" ref="Y34:Y65" si="11">IF(A34="The View","N/A",IF(AND(N34&lt;&gt;"",O34&lt;&gt;"",P34&lt;&gt;""),"Alta",IF(OR(N34&lt;&gt;"",O34&lt;&gt;"",P34&lt;&gt;""),"Média","Baixa")))</ns0:f>
        <ns0:v>Baixa</ns0:v>
      </ns0:c>
      <ns0:c r="Z34" s="74"/>
      <ns0:c r="AA34" s="74" t="str">
        <ns0:f t="shared" ref="AA34:AA65" si="12">IF(A34="The View","Manter",IF(J34&lt;2026,"Atualizar preço/status",IF(Y34="Baixa","Adicionar fonte/URL/data",IF(W34&lt;0.55,"Rever comparabilidade","OK"))))</ns0:f>
        <ns0:v>Atualizar preço/status</ns0:v>
      </ns0:c>
      <ns0:c r="AB34" s="74" t="str">
        <ns0:f t="shared" ref="AB34:AB65" si="13">IF(A34="The View","",IF(OR(J34&lt;2026,Y34="Baixa"),"Alta",IF(W34&lt;0.55,"Média","Baixa")))</ns0:f>
        <ns0:v>Alta</ns0:v>
      </ns0:c>
    </ns0:row>
    <ns0:row r="35">
      <ns0:c r="A35" s="71" t="s">
        <ns0:v>28</ns0:v>
      </ns0:c>
      <ns0:c r="B35" s="71" t="s">
        <ns0:v>67</ns0:v>
      </ns0:c>
      <ns0:c r="C35" s="71">
        <ns0:v>1</ns0:v>
      </ns0:c>
      <ns0:c r="D35" s="71" t="s">
        <ns0:v>64</ns0:v>
      </ns0:c>
      <ns0:c r="E35" s="71">
        <ns0:v>3</ns0:v>
      </ns0:c>
      <ns0:c r="F35" s="72">
        <ns0:v>163.49</ns0:v>
      </ns0:c>
      <ns0:c r="G35" s="72">
        <ns0:v>28.52</ns0:v>
      </ns0:c>
      <ns0:c r="H35" s="72">
        <ns0:v>192.01</ns0:v>
      </ns0:c>
      <ns0:c r="I35" s="73">
        <ns0:v>990000</ns0:v>
      </ns0:c>
      <ns0:c r="J35" s="71">
        <ns0:v>2024</ns0:v>
      </ns0:c>
      <ns0:c r="K35" s="73">
        <ns0:v>6055.4162334087696</ns0:v>
      </ns0:c>
      <ns0:c r="L35" s="73">
        <ns0:v>5155.9814592989942</ns0:v>
      </ns0:c>
      <ns0:c r="M35" s="74" t="str">
        <ns0:f t="shared" si="7"/>
        <ns0:v>Histórico</ns0:v>
      </ns0:c>
      <ns0:c r="N35" s="74"/>
      <ns0:c r="O35" s="74"/>
      <ns0:c r="P35" s="77"/>
      <ns0:c r="Q35" s="74" t="str">
        <ns0:f t="shared" si="8"/>
        <ns0:v>Premium waterfront/marina</ns0:v>
      </ns0:c>
      <ns0:c r="R35" s="74" t="s">
        <ns0:v>32</ns0:v>
      </ns0:c>
      <ns0:c r="S35" s="74"/>
      <ns0:c r="T35" s="74"/>
      <ns0:c r="U35" s="74"/>
      <ns0:c r="V35" s="74"/>
      <ns0:c r="W35" s="76" t="n">
        <ns0:f t="shared" si="9"/>
        <ns0:v>0.2</ns0:v>
      </ns0:c>
      <ns0:c r="X35" s="74" t="str">
        <ns0:f t="shared" si="10"/>
        <ns0:v>C · Histórico/secundário</ns0:v>
      </ns0:c>
      <ns0:c r="Y35" s="74" t="str">
        <ns0:f t="shared" si="11"/>
        <ns0:v>Baixa</ns0:v>
      </ns0:c>
      <ns0:c r="Z35" s="74"/>
      <ns0:c r="AA35" s="74" t="str">
        <ns0:f t="shared" si="12"/>
        <ns0:v>Atualizar preço/status</ns0:v>
      </ns0:c>
      <ns0:c r="AB35" s="74" t="str">
        <ns0:f t="shared" si="13"/>
        <ns0:v>Alta</ns0:v>
      </ns0:c>
    </ns0:row>
    <ns0:row r="36">
      <ns0:c r="A36" s="71" t="s">
        <ns0:v>28</ns0:v>
      </ns0:c>
      <ns0:c r="B36" s="71" t="s">
        <ns0:v>68</ns0:v>
      </ns0:c>
      <ns0:c r="C36" s="71">
        <ns0:v>1</ns0:v>
      </ns0:c>
      <ns0:c r="D36" s="71" t="s">
        <ns0:v>31</ns0:v>
      </ns0:c>
      <ns0:c r="E36" s="71">
        <ns0:v>3</ns0:v>
      </ns0:c>
      <ns0:c r="F36" s="72">
        <ns0:v>132.30000000000001</ns0:v>
      </ns0:c>
      <ns0:c r="G36" s="72">
        <ns0:v>15.5</ns0:v>
      </ns0:c>
      <ns0:c r="H36" s="72">
        <ns0:v>147.80000000000001</ns0:v>
      </ns0:c>
      <ns0:c r="I36" s="73">
        <ns0:v>795000</ns0:v>
      </ns0:c>
      <ns0:c r="J36" s="71">
        <ns0:v>2026</ns0:v>
      </ns0:c>
      <ns0:c r="K36" s="73">
        <ns0:v>6009.0702947845803</ns0:v>
      </ns0:c>
      <ns0:c r="L36" s="73">
        <ns0:v>5378.8903924221913</ns0:v>
      </ns0:c>
      <ns0:c r="M36" s="74" t="str">
        <ns0:f t="shared" si="7"/>
        <ns0:v>Ativo</ns0:v>
      </ns0:c>
      <ns0:c r="N36" s="74" t="str">
        <ns0:v>Idealista / JLL Residential</ns0:v>
      </ns0:c>
      <ns0:c r="O36" s="74" t="str">
        <ns0:v>https://www.idealista.pt/empreendimento/34271659/</ns0:v>
      </ns0:c>
      <ns0:c r="P36" s="75" t="n">
        <ns0:v>46288</ns0:v>
      </ns0:c>
      <ns0:c r="Q36" s="74" t="str">
        <ns0:f t="shared" si="8"/>
        <ns0:v>Premium waterfront/marina</ns0:v>
      </ns0:c>
      <ns0:c r="R36" s="74" t="s">
        <ns0:v>32</ns0:v>
      </ns0:c>
      <ns0:c r="S36" s="74"/>
      <ns0:c r="T36" s="74"/>
      <ns0:c r="U36" s="74"/>
      <ns0:c r="V36" s="74"/>
      <ns0:c r="W36" s="76" t="n">
        <ns0:f t="shared" si="9"/>
        <ns0:v>1</ns0:v>
      </ns0:c>
      <ns0:c r="X36" s="74" t="str">
        <ns0:f t="shared" si="10"/>
        <ns0:v>A · Premium ativo</ns0:v>
      </ns0:c>
      <ns0:c r="Y36" s="74" t="str">
        <ns0:f t="shared" si="11"/>
        <ns0:v>Alta</ns0:v>
      </ns0:c>
      <ns0:c r="Z36" s="74" t="str">
        <ns0:v>Validado face à oferta pública atual do Del Mar Waterfront em setembro de 2026.</ns0:v>
      </ns0:c>
      <ns0:c r="AA36" s="74" t="str">
        <ns0:f t="shared" si="12"/>
        <ns0:v>Revalidar disponibilidade e preço trimestralmente.</ns0:v>
      </ns0:c>
      <ns0:c r="AB36" s="74" t="str">
        <ns0:f t="shared" si="13"/>
        <ns0:v>Média</ns0:v>
      </ns0:c>
    </ns0:row>
    <ns0:row r="37">
      <ns0:c r="A37" s="71" t="s">
        <ns0:v>28</ns0:v>
      </ns0:c>
      <ns0:c r="B37" s="71" t="s">
        <ns0:v>69</ns0:v>
      </ns0:c>
      <ns0:c r="C37" s="71">
        <ns0:v>2</ns0:v>
      </ns0:c>
      <ns0:c r="D37" s="71" t="s">
        <ns0:v>31</ns0:v>
      </ns0:c>
      <ns0:c r="E37" s="71">
        <ns0:v>2</ns0:v>
      </ns0:c>
      <ns0:c r="F37" s="72">
        <ns0:v>139.13999999999999</ns0:v>
      </ns0:c>
      <ns0:c r="G37" s="72">
        <ns0:v>26.67</ns0:v>
      </ns0:c>
      <ns0:c r="H37" s="72">
        <ns0:v>165.81</ns0:v>
      </ns0:c>
      <ns0:c r="I37" s="73">
        <ns0:v>1320000</ns0:v>
      </ns0:c>
      <ns0:c r="J37" s="71">
        <ns0:v>2024</ns0:v>
      </ns0:c>
      <ns0:c r="K37" s="73">
        <ns0:v>9486.8477792151807</ns0:v>
      </ns0:c>
      <ns0:c r="L37" s="73">
        <ns0:v>7960.9191242988963</ns0:v>
      </ns0:c>
      <ns0:c r="M37" s="74" t="str">
        <ns0:f t="shared" si="7"/>
        <ns0:v>Histórico</ns0:v>
      </ns0:c>
      <ns0:c r="N37" s="74"/>
      <ns0:c r="O37" s="74"/>
      <ns0:c r="P37" s="77"/>
      <ns0:c r="Q37" s="74" t="str">
        <ns0:f t="shared" si="8"/>
        <ns0:v>Premium waterfront/marina</ns0:v>
      </ns0:c>
      <ns0:c r="R37" s="74" t="s">
        <ns0:v>32</ns0:v>
      </ns0:c>
      <ns0:c r="S37" s="74"/>
      <ns0:c r="T37" s="74"/>
      <ns0:c r="U37" s="74"/>
      <ns0:c r="V37" s="74"/>
      <ns0:c r="W37" s="76" t="n">
        <ns0:f t="shared" si="9"/>
        <ns0:v>0.2</ns0:v>
      </ns0:c>
      <ns0:c r="X37" s="74" t="str">
        <ns0:f t="shared" si="10"/>
        <ns0:v>C · Histórico/secundário</ns0:v>
      </ns0:c>
      <ns0:c r="Y37" s="74" t="str">
        <ns0:f t="shared" si="11"/>
        <ns0:v>Baixa</ns0:v>
      </ns0:c>
      <ns0:c r="Z37" s="74"/>
      <ns0:c r="AA37" s="74" t="str">
        <ns0:f t="shared" si="12"/>
        <ns0:v>Atualizar preço/status</ns0:v>
      </ns0:c>
      <ns0:c r="AB37" s="74" t="str">
        <ns0:f t="shared" si="13"/>
        <ns0:v>Alta</ns0:v>
      </ns0:c>
    </ns0:row>
    <ns0:row r="38">
      <ns0:c r="A38" s="71" t="s">
        <ns0:v>28</ns0:v>
      </ns0:c>
      <ns0:c r="B38" s="71" t="s">
        <ns0:v>70</ns0:v>
      </ns0:c>
      <ns0:c r="C38" s="71">
        <ns0:v>2</ns0:v>
      </ns0:c>
      <ns0:c r="D38" s="71" t="s">
        <ns0:v>64</ns0:v>
      </ns0:c>
      <ns0:c r="E38" s="71">
        <ns0:v>1</ns0:v>
      </ns0:c>
      <ns0:c r="F38" s="72">
        <ns0:v>157.01</ns0:v>
      </ns0:c>
      <ns0:c r="G38" s="72">
        <ns0:v>27.23</ns0:v>
      </ns0:c>
      <ns0:c r="H38" s="72">
        <ns0:v>184.24</ns0:v>
      </ns0:c>
      <ns0:c r="I38" s="73">
        <ns0:v>1340000</ns0:v>
      </ns0:c>
      <ns0:c r="J38" s="71">
        <ns0:v>2024</ns0:v>
      </ns0:c>
      <ns0:c r="K38" s="73">
        <ns0:v>8534.4882491561057</ns0:v>
      </ns0:c>
      <ns0:c r="L38" s="73">
        <ns0:v>7273.122014763353</ns0:v>
      </ns0:c>
      <ns0:c r="M38" s="74" t="str">
        <ns0:f t="shared" si="7"/>
        <ns0:v>Histórico</ns0:v>
      </ns0:c>
      <ns0:c r="N38" s="74"/>
      <ns0:c r="O38" s="74"/>
      <ns0:c r="P38" s="77"/>
      <ns0:c r="Q38" s="74" t="str">
        <ns0:f t="shared" si="8"/>
        <ns0:v>Premium waterfront/marina</ns0:v>
      </ns0:c>
      <ns0:c r="R38" s="74" t="s">
        <ns0:v>32</ns0:v>
      </ns0:c>
      <ns0:c r="S38" s="74"/>
      <ns0:c r="T38" s="74"/>
      <ns0:c r="U38" s="74"/>
      <ns0:c r="V38" s="74"/>
      <ns0:c r="W38" s="76" t="n">
        <ns0:f t="shared" si="9"/>
        <ns0:v>0.2</ns0:v>
      </ns0:c>
      <ns0:c r="X38" s="74" t="str">
        <ns0:f t="shared" si="10"/>
        <ns0:v>C · Histórico/secundário</ns0:v>
      </ns0:c>
      <ns0:c r="Y38" s="74" t="str">
        <ns0:f t="shared" si="11"/>
        <ns0:v>Baixa</ns0:v>
      </ns0:c>
      <ns0:c r="Z38" s="74"/>
      <ns0:c r="AA38" s="74" t="str">
        <ns0:f t="shared" si="12"/>
        <ns0:v>Atualizar preço/status</ns0:v>
      </ns0:c>
      <ns0:c r="AB38" s="74" t="str">
        <ns0:f t="shared" si="13"/>
        <ns0:v>Alta</ns0:v>
      </ns0:c>
    </ns0:row>
    <ns0:row r="39">
      <ns0:c r="A39" s="71" t="s">
        <ns0:v>28</ns0:v>
      </ns0:c>
      <ns0:c r="B39" s="71" t="s">
        <ns0:v>71</ns0:v>
      </ns0:c>
      <ns0:c r="C39" s="71">
        <ns0:v>2</ns0:v>
      </ns0:c>
      <ns0:c r="D39" s="71" t="s">
        <ns0:v>42</ns0:v>
      </ns0:c>
      <ns0:c r="E39" s="71">
        <ns0:v>2</ns0:v>
      </ns0:c>
      <ns0:c r="F39" s="72">
        <ns0:v>96.21</ns0:v>
      </ns0:c>
      <ns0:c r="G39" s="72">
        <ns0:v>10.95</ns0:v>
      </ns0:c>
      <ns0:c r="H39" s="72">
        <ns0:v>107.16</ns0:v>
      </ns0:c>
      <ns0:c r="I39" s="73">
        <ns0:v>435000</ns0:v>
      </ns0:c>
      <ns0:c r="J39" s="71">
        <ns0:v>2024</ns0:v>
      </ns0:c>
      <ns0:c r="K39" s="73">
        <ns0:v>4521.3595260367947</ns0:v>
      </ns0:c>
      <ns0:c r="L39" s="73">
        <ns0:v>4059.3505039193728</ns0:v>
      </ns0:c>
      <ns0:c r="M39" s="74" t="str">
        <ns0:f t="shared" si="7"/>
        <ns0:v>Histórico</ns0:v>
      </ns0:c>
      <ns0:c r="N39" s="74"/>
      <ns0:c r="O39" s="74"/>
      <ns0:c r="P39" s="77"/>
      <ns0:c r="Q39" s="74" t="str">
        <ns0:f t="shared" si="8"/>
        <ns0:v>Premium waterfront/marina</ns0:v>
      </ns0:c>
      <ns0:c r="R39" s="74" t="s">
        <ns0:v>32</ns0:v>
      </ns0:c>
      <ns0:c r="S39" s="74"/>
      <ns0:c r="T39" s="74"/>
      <ns0:c r="U39" s="74"/>
      <ns0:c r="V39" s="74"/>
      <ns0:c r="W39" s="76" t="n">
        <ns0:f t="shared" si="9"/>
        <ns0:v>0.2</ns0:v>
      </ns0:c>
      <ns0:c r="X39" s="74" t="str">
        <ns0:f t="shared" si="10"/>
        <ns0:v>C · Histórico/secundário</ns0:v>
      </ns0:c>
      <ns0:c r="Y39" s="74" t="str">
        <ns0:f t="shared" si="11"/>
        <ns0:v>Baixa</ns0:v>
      </ns0:c>
      <ns0:c r="Z39" s="74"/>
      <ns0:c r="AA39" s="74" t="str">
        <ns0:f t="shared" si="12"/>
        <ns0:v>Atualizar preço/status</ns0:v>
      </ns0:c>
      <ns0:c r="AB39" s="74" t="str">
        <ns0:f t="shared" si="13"/>
        <ns0:v>Alta</ns0:v>
      </ns0:c>
    </ns0:row>
    <ns0:row r="40">
      <ns0:c r="A40" s="71" t="s">
        <ns0:v>28</ns0:v>
      </ns0:c>
      <ns0:c r="B40" s="71" t="s">
        <ns0:v>72</ns0:v>
      </ns0:c>
      <ns0:c r="C40" s="71">
        <ns0:v>2</ns0:v>
      </ns0:c>
      <ns0:c r="D40" s="71" t="s">
        <ns0:v>31</ns0:v>
      </ns0:c>
      <ns0:c r="E40" s="71">
        <ns0:v>2</ns0:v>
      </ns0:c>
      <ns0:c r="F40" s="72">
        <ns0:v>127.37</ns0:v>
      </ns0:c>
      <ns0:c r="G40" s="72">
        <ns0:v>16.07</ns0:v>
      </ns0:c>
      <ns0:c r="H40" s="72">
        <ns0:v>143.44</ns0:v>
      </ns0:c>
      <ns0:c r="I40" s="73">
        <ns0:v>795000</ns0:v>
      </ns0:c>
      <ns0:c r="J40" s="71">
        <ns0:v>2026</ns0:v>
      </ns0:c>
      <ns0:c r="K40" s="73">
        <ns0:v>6241.6581612624632</ns0:v>
      </ns0:c>
      <ns0:c r="L40" s="73">
        <ns0:v>5542.3870607919689</ns0:v>
      </ns0:c>
      <ns0:c r="M40" s="74" t="str">
        <ns0:f t="shared" si="7"/>
        <ns0:v>Ativo</ns0:v>
      </ns0:c>
      <ns0:c r="N40" s="74" t="str">
        <ns0:v>Idealista / JLL Residential</ns0:v>
      </ns0:c>
      <ns0:c r="O40" s="74" t="str">
        <ns0:v>https://www.idealista.pt/empreendimento/34271659/</ns0:v>
      </ns0:c>
      <ns0:c r="P40" s="75" t="n">
        <ns0:v>46288</ns0:v>
      </ns0:c>
      <ns0:c r="Q40" s="74" t="str">
        <ns0:f t="shared" si="8"/>
        <ns0:v>Premium waterfront/marina</ns0:v>
      </ns0:c>
      <ns0:c r="R40" s="74" t="s">
        <ns0:v>32</ns0:v>
      </ns0:c>
      <ns0:c r="S40" s="74"/>
      <ns0:c r="T40" s="74"/>
      <ns0:c r="U40" s="74"/>
      <ns0:c r="V40" s="74"/>
      <ns0:c r="W40" s="76" t="n">
        <ns0:f t="shared" si="9"/>
        <ns0:v>1</ns0:v>
      </ns0:c>
      <ns0:c r="X40" s="74" t="str">
        <ns0:f t="shared" si="10"/>
        <ns0:v>A · Premium ativo</ns0:v>
      </ns0:c>
      <ns0:c r="Y40" s="74" t="str">
        <ns0:f t="shared" si="11"/>
        <ns0:v>Alta</ns0:v>
      </ns0:c>
      <ns0:c r="Z40" s="74" t="str">
        <ns0:v>Validado face à oferta pública atual do Del Mar Waterfront em setembro de 2026.</ns0:v>
      </ns0:c>
      <ns0:c r="AA40" s="74" t="str">
        <ns0:f t="shared" si="12"/>
        <ns0:v>Revalidar disponibilidade e preço trimestralmente.</ns0:v>
      </ns0:c>
      <ns0:c r="AB40" s="74" t="str">
        <ns0:f t="shared" si="13"/>
        <ns0:v>Média</ns0:v>
      </ns0:c>
    </ns0:row>
    <ns0:row r="41">
      <ns0:c r="A41" s="71" t="s">
        <ns0:v>28</ns0:v>
      </ns0:c>
      <ns0:c r="B41" s="71" t="s">
        <ns0:v>73</ns0:v>
      </ns0:c>
      <ns0:c r="C41" s="71">
        <ns0:v>2</ns0:v>
      </ns0:c>
      <ns0:c r="D41" s="71" t="s">
        <ns0:v>42</ns0:v>
      </ns0:c>
      <ns0:c r="E41" s="71">
        <ns0:v>2</ns0:v>
      </ns0:c>
      <ns0:c r="F41" s="72">
        <ns0:v>94.46</ns0:v>
      </ns0:c>
      <ns0:c r="G41" s="72">
        <ns0:v>9.15</ns0:v>
      </ns0:c>
      <ns0:c r="H41" s="72">
        <ns0:v>103.61</ns0:v>
      </ns0:c>
      <ns0:c r="I41" s="73">
        <ns0:v>435000</ns0:v>
      </ns0:c>
      <ns0:c r="J41" s="71">
        <ns0:v>2024</ns0:v>
      </ns0:c>
      <ns0:c r="K41" s="73">
        <ns0:v>4605.1238619521491</ns0:v>
      </ns0:c>
      <ns0:c r="L41" s="73">
        <ns0:v>4198.4364443586528</ns0:v>
      </ns0:c>
      <ns0:c r="M41" s="74" t="str">
        <ns0:f t="shared" si="7"/>
        <ns0:v>Histórico</ns0:v>
      </ns0:c>
      <ns0:c r="N41" s="74"/>
      <ns0:c r="O41" s="74"/>
      <ns0:c r="P41" s="77"/>
      <ns0:c r="Q41" s="74" t="str">
        <ns0:f t="shared" si="8"/>
        <ns0:v>Premium waterfront/marina</ns0:v>
      </ns0:c>
      <ns0:c r="R41" s="74" t="s">
        <ns0:v>32</ns0:v>
      </ns0:c>
      <ns0:c r="S41" s="74"/>
      <ns0:c r="T41" s="74"/>
      <ns0:c r="U41" s="74"/>
      <ns0:c r="V41" s="74"/>
      <ns0:c r="W41" s="76" t="n">
        <ns0:f t="shared" si="9"/>
        <ns0:v>0.2</ns0:v>
      </ns0:c>
      <ns0:c r="X41" s="74" t="str">
        <ns0:f t="shared" si="10"/>
        <ns0:v>C · Histórico/secundário</ns0:v>
      </ns0:c>
      <ns0:c r="Y41" s="74" t="str">
        <ns0:f t="shared" si="11"/>
        <ns0:v>Baixa</ns0:v>
      </ns0:c>
      <ns0:c r="Z41" s="74"/>
      <ns0:c r="AA41" s="74" t="str">
        <ns0:f t="shared" si="12"/>
        <ns0:v>Atualizar preço/status</ns0:v>
      </ns0:c>
      <ns0:c r="AB41" s="74" t="str">
        <ns0:f t="shared" si="13"/>
        <ns0:v>Alta</ns0:v>
      </ns0:c>
    </ns0:row>
    <ns0:row r="42">
      <ns0:c r="A42" s="71" t="s">
        <ns0:v>28</ns0:v>
      </ns0:c>
      <ns0:c r="B42" s="71" t="s">
        <ns0:v>74</ns0:v>
      </ns0:c>
      <ns0:c r="C42" s="71">
        <ns0:v>2</ns0:v>
      </ns0:c>
      <ns0:c r="D42" s="71" t="s">
        <ns0:v>31</ns0:v>
      </ns0:c>
      <ns0:c r="E42" s="71">
        <ns0:v>3</ns0:v>
      </ns0:c>
      <ns0:c r="F42" s="72">
        <ns0:v>132.30000000000001</ns0:v>
      </ns0:c>
      <ns0:c r="G42" s="72">
        <ns0:v>9.5399999999999991</ns0:v>
      </ns0:c>
      <ns0:c r="H42" s="72">
        <ns0:v>141.84</ns0:v>
      </ns0:c>
      <ns0:c r="I42" s="73">
        <ns0:v>810000</ns0:v>
      </ns0:c>
      <ns0:c r="J42" s="71">
        <ns0:v>2026</ns0:v>
      </ns0:c>
      <ns0:c r="K42" s="73">
        <ns0:v>6122.4489795918362</ns0:v>
      </ns0:c>
      <ns0:c r="L42" s="73">
        <ns0:v>5710.6598984771572</ns0:v>
      </ns0:c>
      <ns0:c r="M42" s="74" t="str">
        <ns0:f t="shared" si="7"/>
        <ns0:v>Ativo</ns0:v>
      </ns0:c>
      <ns0:c r="N42" s="74" t="str">
        <ns0:v>Idealista / JLL Residential</ns0:v>
      </ns0:c>
      <ns0:c r="O42" s="74" t="str">
        <ns0:v>https://www.idealista.pt/empreendimento/34271659/</ns0:v>
      </ns0:c>
      <ns0:c r="P42" s="75" t="n">
        <ns0:v>46288</ns0:v>
      </ns0:c>
      <ns0:c r="Q42" s="74" t="str">
        <ns0:f t="shared" si="8"/>
        <ns0:v>Premium waterfront/marina</ns0:v>
      </ns0:c>
      <ns0:c r="R42" s="74" t="s">
        <ns0:v>32</ns0:v>
      </ns0:c>
      <ns0:c r="S42" s="74"/>
      <ns0:c r="T42" s="74"/>
      <ns0:c r="U42" s="74"/>
      <ns0:c r="V42" s="74"/>
      <ns0:c r="W42" s="76" t="n">
        <ns0:f t="shared" si="9"/>
        <ns0:v>1</ns0:v>
      </ns0:c>
      <ns0:c r="X42" s="74" t="str">
        <ns0:f t="shared" si="10"/>
        <ns0:v>A · Premium ativo</ns0:v>
      </ns0:c>
      <ns0:c r="Y42" s="74" t="str">
        <ns0:f t="shared" si="11"/>
        <ns0:v>Alta</ns0:v>
      </ns0:c>
      <ns0:c r="Z42" s="74" t="str">
        <ns0:v>Validado face à oferta pública atual do Del Mar Waterfront em setembro de 2026.</ns0:v>
      </ns0:c>
      <ns0:c r="AA42" s="74" t="str">
        <ns0:f t="shared" si="12"/>
        <ns0:v>Revalidar disponibilidade e preço trimestralmente.</ns0:v>
      </ns0:c>
      <ns0:c r="AB42" s="74" t="str">
        <ns0:f t="shared" si="13"/>
        <ns0:v>Média</ns0:v>
      </ns0:c>
    </ns0:row>
    <ns0:row r="43">
      <ns0:c r="A43" s="71" t="s">
        <ns0:v>28</ns0:v>
      </ns0:c>
      <ns0:c r="B43" s="71" t="s">
        <ns0:v>75</ns0:v>
      </ns0:c>
      <ns0:c r="C43" s="71">
        <ns0:v>3</ns0:v>
      </ns0:c>
      <ns0:c r="D43" s="71" t="s">
        <ns0:v>42</ns0:v>
      </ns0:c>
      <ns0:c r="E43" s="71">
        <ns0:v>2</ns0:v>
      </ns0:c>
      <ns0:c r="F43" s="72">
        <ns0:v>96.21</ns0:v>
      </ns0:c>
      <ns0:c r="G43" s="72">
        <ns0:v>10.95</ns0:v>
      </ns0:c>
      <ns0:c r="H43" s="72">
        <ns0:v>107.16</ns0:v>
      </ns0:c>
      <ns0:c r="I43" s="73">
        <ns0:v>445000</ns0:v>
      </ns0:c>
      <ns0:c r="J43" s="71">
        <ns0:v>2024</ns0:v>
      </ns0:c>
      <ns0:c r="K43" s="73">
        <ns0:v>4625.2988254859156</ns0:v>
      </ns0:c>
      <ns0:c r="L43" s="73">
        <ns0:v>4152.668906308324</ns0:v>
      </ns0:c>
      <ns0:c r="M43" s="74" t="str">
        <ns0:f t="shared" si="7"/>
        <ns0:v>Histórico</ns0:v>
      </ns0:c>
      <ns0:c r="N43" s="74"/>
      <ns0:c r="O43" s="74"/>
      <ns0:c r="P43" s="77"/>
      <ns0:c r="Q43" s="74" t="str">
        <ns0:f t="shared" si="8"/>
        <ns0:v>Premium waterfront/marina</ns0:v>
      </ns0:c>
      <ns0:c r="R43" s="74" t="s">
        <ns0:v>32</ns0:v>
      </ns0:c>
      <ns0:c r="S43" s="74"/>
      <ns0:c r="T43" s="74"/>
      <ns0:c r="U43" s="74"/>
      <ns0:c r="V43" s="74"/>
      <ns0:c r="W43" s="76" t="n">
        <ns0:f t="shared" si="9"/>
        <ns0:v>0.2</ns0:v>
      </ns0:c>
      <ns0:c r="X43" s="74" t="str">
        <ns0:f t="shared" si="10"/>
        <ns0:v>C · Histórico/secundário</ns0:v>
      </ns0:c>
      <ns0:c r="Y43" s="74" t="str">
        <ns0:f t="shared" si="11"/>
        <ns0:v>Baixa</ns0:v>
      </ns0:c>
      <ns0:c r="Z43" s="74"/>
      <ns0:c r="AA43" s="74" t="str">
        <ns0:f t="shared" si="12"/>
        <ns0:v>Atualizar preço/status</ns0:v>
      </ns0:c>
      <ns0:c r="AB43" s="74" t="str">
        <ns0:f t="shared" si="13"/>
        <ns0:v>Alta</ns0:v>
      </ns0:c>
    </ns0:row>
    <ns0:row r="44">
      <ns0:c r="A44" s="71" t="s">
        <ns0:v>28</ns0:v>
      </ns0:c>
      <ns0:c r="B44" s="71" t="s">
        <ns0:v>76</ns0:v>
      </ns0:c>
      <ns0:c r="C44" s="71">
        <ns0:v>3</ns0:v>
      </ns0:c>
      <ns0:c r="D44" s="71" t="s">
        <ns0:v>31</ns0:v>
      </ns0:c>
      <ns0:c r="E44" s="71">
        <ns0:v>2</ns0:v>
      </ns0:c>
      <ns0:c r="F44" s="72">
        <ns0:v>127.37</ns0:v>
      </ns0:c>
      <ns0:c r="G44" s="72">
        <ns0:v>16.07</ns0:v>
      </ns0:c>
      <ns0:c r="H44" s="72">
        <ns0:v>143.44</ns0:v>
      </ns0:c>
      <ns0:c r="I44" s="73">
        <ns0:v>745000</ns0:v>
      </ns0:c>
      <ns0:c r="J44" s="71">
        <ns0:v>2024</ns0:v>
      </ns0:c>
      <ns0:c r="K44" s="73">
        <ns0:v>5849.1010442019306</ns0:v>
      </ns0:c>
      <ns0:c r="L44" s="73">
        <ns0:v>5193.8092582264362</ns0:v>
      </ns0:c>
      <ns0:c r="M44" s="74" t="str">
        <ns0:f t="shared" si="7"/>
        <ns0:v>Histórico</ns0:v>
      </ns0:c>
      <ns0:c r="N44" s="74"/>
      <ns0:c r="O44" s="74"/>
      <ns0:c r="P44" s="77"/>
      <ns0:c r="Q44" s="74" t="str">
        <ns0:f t="shared" si="8"/>
        <ns0:v>Premium waterfront/marina</ns0:v>
      </ns0:c>
      <ns0:c r="R44" s="74" t="s">
        <ns0:v>32</ns0:v>
      </ns0:c>
      <ns0:c r="S44" s="74"/>
      <ns0:c r="T44" s="74"/>
      <ns0:c r="U44" s="74"/>
      <ns0:c r="V44" s="74"/>
      <ns0:c r="W44" s="76" t="n">
        <ns0:f t="shared" si="9"/>
        <ns0:v>0.2</ns0:v>
      </ns0:c>
      <ns0:c r="X44" s="74" t="str">
        <ns0:f t="shared" si="10"/>
        <ns0:v>C · Histórico/secundário</ns0:v>
      </ns0:c>
      <ns0:c r="Y44" s="74" t="str">
        <ns0:f t="shared" si="11"/>
        <ns0:v>Baixa</ns0:v>
      </ns0:c>
      <ns0:c r="Z44" s="74"/>
      <ns0:c r="AA44" s="74" t="str">
        <ns0:f t="shared" si="12"/>
        <ns0:v>Atualizar preço/status</ns0:v>
      </ns0:c>
      <ns0:c r="AB44" s="74" t="str">
        <ns0:f t="shared" si="13"/>
        <ns0:v>Alta</ns0:v>
      </ns0:c>
    </ns0:row>
    <ns0:row r="45">
      <ns0:c r="A45" s="71" t="s">
        <ns0:v>28</ns0:v>
      </ns0:c>
      <ns0:c r="B45" s="71" t="s">
        <ns0:v>77</ns0:v>
      </ns0:c>
      <ns0:c r="C45" s="71">
        <ns0:v>3</ns0:v>
      </ns0:c>
      <ns0:c r="D45" s="71" t="s">
        <ns0:v>42</ns0:v>
      </ns0:c>
      <ns0:c r="E45" s="71">
        <ns0:v>2</ns0:v>
      </ns0:c>
      <ns0:c r="F45" s="72">
        <ns0:v>94.46</ns0:v>
      </ns0:c>
      <ns0:c r="G45" s="72">
        <ns0:v>9.15</ns0:v>
      </ns0:c>
      <ns0:c r="H45" s="72">
        <ns0:v>103.61</ns0:v>
      </ns0:c>
      <ns0:c r="I45" s="73">
        <ns0:v>445000</ns0:v>
      </ns0:c>
      <ns0:c r="J45" s="71">
        <ns0:v>2024</ns0:v>
      </ns0:c>
      <ns0:c r="K45" s="73">
        <ns0:v>4710.9887783188651</ns0:v>
      </ns0:c>
      <ns0:c r="L45" s="73">
        <ns0:v>4294.9522246887364</ns0:v>
      </ns0:c>
      <ns0:c r="M45" s="74" t="str">
        <ns0:f t="shared" si="7"/>
        <ns0:v>Histórico</ns0:v>
      </ns0:c>
      <ns0:c r="N45" s="74"/>
      <ns0:c r="O45" s="74"/>
      <ns0:c r="P45" s="77"/>
      <ns0:c r="Q45" s="74" t="str">
        <ns0:f t="shared" si="8"/>
        <ns0:v>Premium waterfront/marina</ns0:v>
      </ns0:c>
      <ns0:c r="R45" s="74" t="s">
        <ns0:v>32</ns0:v>
      </ns0:c>
      <ns0:c r="S45" s="74"/>
      <ns0:c r="T45" s="74"/>
      <ns0:c r="U45" s="74"/>
      <ns0:c r="V45" s="74"/>
      <ns0:c r="W45" s="76" t="n">
        <ns0:f t="shared" si="9"/>
        <ns0:v>0.2</ns0:v>
      </ns0:c>
      <ns0:c r="X45" s="74" t="str">
        <ns0:f t="shared" si="10"/>
        <ns0:v>C · Histórico/secundário</ns0:v>
      </ns0:c>
      <ns0:c r="Y45" s="74" t="str">
        <ns0:f t="shared" si="11"/>
        <ns0:v>Baixa</ns0:v>
      </ns0:c>
      <ns0:c r="Z45" s="74"/>
      <ns0:c r="AA45" s="74" t="str">
        <ns0:f t="shared" si="12"/>
        <ns0:v>Atualizar preço/status</ns0:v>
      </ns0:c>
      <ns0:c r="AB45" s="74" t="str">
        <ns0:f t="shared" si="13"/>
        <ns0:v>Alta</ns0:v>
      </ns0:c>
    </ns0:row>
    <ns0:row r="46">
      <ns0:c r="A46" s="71" t="s">
        <ns0:v>28</ns0:v>
      </ns0:c>
      <ns0:c r="B46" s="71" t="s">
        <ns0:v>78</ns0:v>
      </ns0:c>
      <ns0:c r="C46" s="71">
        <ns0:v>3</ns0:v>
      </ns0:c>
      <ns0:c r="D46" s="71" t="s">
        <ns0:v>31</ns0:v>
      </ns0:c>
      <ns0:c r="E46" s="71">
        <ns0:v>3</ns0:v>
      </ns0:c>
      <ns0:c r="F46" s="72">
        <ns0:v>132.30000000000001</ns0:v>
      </ns0:c>
      <ns0:c r="G46" s="72">
        <ns0:v>15.5</ns0:v>
      </ns0:c>
      <ns0:c r="H46" s="72">
        <ns0:v>147.80000000000001</ns0:v>
      </ns0:c>
      <ns0:c r="I46" s="73">
        <ns0:v>685000</ns0:v>
      </ns0:c>
      <ns0:c r="J46" s="71">
        <ns0:v>2024</ns0:v>
      </ns0:c>
      <ns0:c r="K46" s="73">
        <ns0:v>5177.6266061980341</ns0:v>
      </ns0:c>
      <ns0:c r="L46" s="73">
        <ns0:v>4634.6414073071719</ns0:v>
      </ns0:c>
      <ns0:c r="M46" s="74" t="str">
        <ns0:f t="shared" si="7"/>
        <ns0:v>Histórico</ns0:v>
      </ns0:c>
      <ns0:c r="N46" s="74"/>
      <ns0:c r="O46" s="74"/>
      <ns0:c r="P46" s="77"/>
      <ns0:c r="Q46" s="74" t="str">
        <ns0:f t="shared" si="8"/>
        <ns0:v>Premium waterfront/marina</ns0:v>
      </ns0:c>
      <ns0:c r="R46" s="74" t="s">
        <ns0:v>32</ns0:v>
      </ns0:c>
      <ns0:c r="S46" s="74"/>
      <ns0:c r="T46" s="74"/>
      <ns0:c r="U46" s="74"/>
      <ns0:c r="V46" s="74"/>
      <ns0:c r="W46" s="76" t="n">
        <ns0:f t="shared" si="9"/>
        <ns0:v>0.2</ns0:v>
      </ns0:c>
      <ns0:c r="X46" s="74" t="str">
        <ns0:f t="shared" si="10"/>
        <ns0:v>C · Histórico/secundário</ns0:v>
      </ns0:c>
      <ns0:c r="Y46" s="74" t="str">
        <ns0:f t="shared" si="11"/>
        <ns0:v>Baixa</ns0:v>
      </ns0:c>
      <ns0:c r="Z46" s="74"/>
      <ns0:c r="AA46" s="74" t="str">
        <ns0:f t="shared" si="12"/>
        <ns0:v>Atualizar preço/status</ns0:v>
      </ns0:c>
      <ns0:c r="AB46" s="74" t="str">
        <ns0:f t="shared" si="13"/>
        <ns0:v>Alta</ns0:v>
      </ns0:c>
    </ns0:row>
    <ns0:row r="47">
      <ns0:c r="A47" s="71" t="s">
        <ns0:v>28</ns0:v>
      </ns0:c>
      <ns0:c r="B47" s="71" t="s">
        <ns0:v>79</ns0:v>
      </ns0:c>
      <ns0:c r="C47" s="71">
        <ns0:v>4</ns0:v>
      </ns0:c>
      <ns0:c r="D47" s="71" t="s">
        <ns0:v>31</ns0:v>
      </ns0:c>
      <ns0:c r="E47" s="71">
        <ns0:v>2</ns0:v>
      </ns0:c>
      <ns0:c r="F47" s="72">
        <ns0:v>127.37</ns0:v>
      </ns0:c>
      <ns0:c r="G47" s="72">
        <ns0:v>16.07</ns0:v>
      </ns0:c>
      <ns0:c r="H47" s="72">
        <ns0:v>143.44</ns0:v>
      </ns0:c>
      <ns0:c r="I47" s="73">
        <ns0:v>835000</ns0:v>
      </ns0:c>
      <ns0:c r="J47" s="71">
        <ns0:v>2026</ns0:v>
      </ns0:c>
      <ns0:c r="K47" s="73">
        <ns0:v>5927.612467614038</ns0:v>
      </ns0:c>
      <ns0:c r="L47" s="73">
        <ns0:v>5263.5248187395428</ns0:v>
      </ns0:c>
      <ns0:c r="M47" s="74" t="str">
        <ns0:f t="shared" si="7"/>
        <ns0:v>A validar</ns0:v>
      </ns0:c>
      <ns0:c r="N47" s="74" t="str">
        <ns0:v>Idealista / JLL Residential</ns0:v>
      </ns0:c>
      <ns0:c r="O47" s="74" t="str">
        <ns0:v>https://www.idealista.pt/empreendimento/34271659/</ns0:v>
      </ns0:c>
      <ns0:c r="P47" s="75" t="n">
        <ns0:v>46288</ns0:v>
      </ns0:c>
      <ns0:c r="Q47" s="74" t="str">
        <ns0:f t="shared" si="8"/>
        <ns0:v>Premium waterfront/marina</ns0:v>
      </ns0:c>
      <ns0:c r="R47" s="74" t="s">
        <ns0:v>32</ns0:v>
      </ns0:c>
      <ns0:c r="S47" s="74"/>
      <ns0:c r="T47" s="74"/>
      <ns0:c r="U47" s="74"/>
      <ns0:c r="V47" s="74"/>
      <ns0:c r="W47" s="76" t="n">
        <ns0:f t="shared" si="9"/>
        <ns0:v>0.6</ns0:v>
      </ns0:c>
      <ns0:c r="X47" s="74" t="str">
        <ns0:f t="shared" si="10"/>
        <ns0:v>B · A validar</ns0:v>
      </ns0:c>
      <ns0:c r="Y47" s="74" t="str">
        <ns0:f t="shared" si="11"/>
        <ns0:v>Média</ns0:v>
      </ns0:c>
      <ns0:c r="Z47" s="74" t="str">
        <ns0:v>Não identificado de forma inequívoca na oferta pública consultada em setembro de 2026; preservado até validação.</ns0:v>
      </ns0:c>
      <ns0:c r="AA47" s="74" t="str">
        <ns0:f t="shared" si="12"/>
        <ns0:v>Confirmar disponibilidade/preço ou passar a histórico.</ns0:v>
      </ns0:c>
      <ns0:c r="AB47" s="74" t="str">
        <ns0:f t="shared" si="13"/>
        <ns0:v>Alta</ns0:v>
      </ns0:c>
    </ns0:row>
    <ns0:row r="48">
      <ns0:c r="A48" s="71" t="s">
        <ns0:v>28</ns0:v>
      </ns0:c>
      <ns0:c r="B48" s="71" t="s">
        <ns0:v>80</ns0:v>
      </ns0:c>
      <ns0:c r="C48" s="71">
        <ns0:v>4</ns0:v>
      </ns0:c>
      <ns0:c r="D48" s="71" t="s">
        <ns0:v>31</ns0:v>
      </ns0:c>
      <ns0:c r="E48" s="71">
        <ns0:v>3</ns0:v>
      </ns0:c>
      <ns0:c r="F48" s="72">
        <ns0:v>132.30000000000001</ns0:v>
      </ns0:c>
      <ns0:c r="G48" s="72">
        <ns0:v>15.5</ns0:v>
      </ns0:c>
      <ns0:c r="H48" s="72">
        <ns0:v>147.80000000000001</ns0:v>
      </ns0:c>
      <ns0:c r="I48" s="73">
        <ns0:v>725000</ns0:v>
      </ns0:c>
      <ns0:c r="J48" s="71">
        <ns0:v>2024</ns0:v>
      </ns0:c>
      <ns0:c r="K48" s="73">
        <ns0:v>5479.9697656840508</ns0:v>
      </ns0:c>
      <ns0:c r="L48" s="73">
        <ns0:v>4905.2774018944519</ns0:v>
      </ns0:c>
      <ns0:c r="M48" s="74" t="str">
        <ns0:f t="shared" si="7"/>
        <ns0:v>Histórico</ns0:v>
      </ns0:c>
      <ns0:c r="N48" s="74"/>
      <ns0:c r="O48" s="74"/>
      <ns0:c r="P48" s="77"/>
      <ns0:c r="Q48" s="74" t="str">
        <ns0:f t="shared" si="8"/>
        <ns0:v>Premium waterfront/marina</ns0:v>
      </ns0:c>
      <ns0:c r="R48" s="74" t="s">
        <ns0:v>32</ns0:v>
      </ns0:c>
      <ns0:c r="S48" s="74"/>
      <ns0:c r="T48" s="74"/>
      <ns0:c r="U48" s="74"/>
      <ns0:c r="V48" s="74"/>
      <ns0:c r="W48" s="76" t="n">
        <ns0:f t="shared" si="9"/>
        <ns0:v>0.2</ns0:v>
      </ns0:c>
      <ns0:c r="X48" s="74" t="str">
        <ns0:f t="shared" si="10"/>
        <ns0:v>C · Histórico/secundário</ns0:v>
      </ns0:c>
      <ns0:c r="Y48" s="74" t="str">
        <ns0:f t="shared" si="11"/>
        <ns0:v>Baixa</ns0:v>
      </ns0:c>
      <ns0:c r="Z48" s="74"/>
      <ns0:c r="AA48" s="74" t="str">
        <ns0:f t="shared" si="12"/>
        <ns0:v>Atualizar preço/status</ns0:v>
      </ns0:c>
      <ns0:c r="AB48" s="74" t="str">
        <ns0:f t="shared" si="13"/>
        <ns0:v>Alta</ns0:v>
      </ns0:c>
    </ns0:row>
    <ns0:row r="49">
      <ns0:c r="A49" s="71" t="s">
        <ns0:v>81</ns0:v>
      </ns0:c>
      <ns0:c r="B49" s="71" t="s">
        <ns0:v>82</ns0:v>
      </ns0:c>
      <ns0:c r="C49" s="71">
        <ns0:v>1</ns0:v>
      </ns0:c>
      <ns0:c r="D49" s="71" t="s">
        <ns0:v>31</ns0:v>
      </ns0:c>
      <ns0:c r="E49" s="71">
        <ns0:v>3</ns0:v>
      </ns0:c>
      <ns0:c r="F49" s="72">
        <ns0:v>107</ns0:v>
      </ns0:c>
      <ns0:c r="G49" s="72">
        <ns0:v>35</ns0:v>
      </ns0:c>
      <ns0:c r="H49" s="72">
        <ns0:v>142</ns0:v>
      </ns0:c>
      <ns0:c r="I49" s="73">
        <ns0:v>537900</ns0:v>
      </ns0:c>
      <ns0:c r="J49" s="71">
        <ns0:v>2026</ns0:v>
      </ns0:c>
      <ns0:c r="K49" s="73">
        <ns0:v>5027.1028037383176</ns0:v>
      </ns0:c>
      <ns0:c r="L49" s="73">
        <ns0:v>3788.0281690140851</ns0:v>
      </ns0:c>
      <ns0:c r="M49" s="74" t="str">
        <ns0:f t="shared" si="7"/>
        <ns0:v>Ativo</ns0:v>
      </ns0:c>
      <ns0:c r="N49" s="74"/>
      <ns0:c r="O49" s="74"/>
      <ns0:c r="P49" s="77"/>
      <ns0:c r="Q49" s="74" t="str">
        <ns0:f t="shared" si="8"/>
        <ns0:v>Benchmark local</ns0:v>
      </ns0:c>
      <ns0:c r="R49" s="74" t="s">
        <ns0:v>32</ns0:v>
      </ns0:c>
      <ns0:c r="S49" s="74"/>
      <ns0:c r="T49" s="74"/>
      <ns0:c r="U49" s="74"/>
      <ns0:c r="V49" s="74"/>
      <ns0:c r="W49" s="76" t="n">
        <ns0:f t="shared" si="9"/>
        <ns0:v>0.35</ns0:v>
      </ns0:c>
      <ns0:c r="X49" s="74" t="str">
        <ns0:f t="shared" si="10"/>
        <ns0:v>C · Benchmark local secundário</ns0:v>
      </ns0:c>
      <ns0:c r="Y49" s="74" t="str">
        <ns0:f t="shared" si="11"/>
        <ns0:v>Baixa</ns0:v>
      </ns0:c>
      <ns0:c r="Z49" s="74" t="str">
        <ns0:v>Benchmark local/contextual; menor comparabilidade com o produto premium atual do The View.</ns0:v>
      </ns0:c>
      <ns0:c r="AA49" s="74" t="str">
        <ns0:f t="shared" si="12"/>
        <ns0:v>Manter apenas como contexto; revalidar preços ativos.</ns0:v>
      </ns0:c>
      <ns0:c r="AB49" s="74" t="str">
        <ns0:f t="shared" si="13"/>
        <ns0:v>Baixa</ns0:v>
      </ns0:c>
    </ns0:row>
    <ns0:row r="50">
      <ns0:c r="A50" s="71" t="s">
        <ns0:v>81</ns0:v>
      </ns0:c>
      <ns0:c r="B50" s="71" t="s">
        <ns0:v>83</ns0:v>
      </ns0:c>
      <ns0:c r="C50" s="71">
        <ns0:v>1</ns0:v>
      </ns0:c>
      <ns0:c r="D50" s="71" t="s">
        <ns0:v>31</ns0:v>
      </ns0:c>
      <ns0:c r="E50" s="71">
        <ns0:v>1</ns0:v>
      </ns0:c>
      <ns0:c r="F50" s="72">
        <ns0:v>107</ns0:v>
      </ns0:c>
      <ns0:c r="G50" s="72">
        <ns0:v>35</ns0:v>
      </ns0:c>
      <ns0:c r="H50" s="72">
        <ns0:v>142</ns0:v>
      </ns0:c>
      <ns0:c r="I50" s="73">
        <ns0:v>425700</ns0:v>
      </ns0:c>
      <ns0:c r="J50" s="71">
        <ns0:v>2024</ns0:v>
      </ns0:c>
      <ns0:c r="K50" s="73">
        <ns0:v>3978.5046728971961</ns0:v>
      </ns0:c>
      <ns0:c r="L50" s="73">
        <ns0:v>2997.8873239436621</ns0:v>
      </ns0:c>
      <ns0:c r="M50" s="74" t="str">
        <ns0:f t="shared" si="7"/>
        <ns0:v>Histórico</ns0:v>
      </ns0:c>
      <ns0:c r="N50" s="74"/>
      <ns0:c r="O50" s="74"/>
      <ns0:c r="P50" s="77"/>
      <ns0:c r="Q50" s="74" t="str">
        <ns0:f t="shared" si="8"/>
        <ns0:v>Benchmark local</ns0:v>
      </ns0:c>
      <ns0:c r="R50" s="74" t="s">
        <ns0:v>32</ns0:v>
      </ns0:c>
      <ns0:c r="S50" s="74"/>
      <ns0:c r="T50" s="74"/>
      <ns0:c r="U50" s="74"/>
      <ns0:c r="V50" s="74"/>
      <ns0:c r="W50" s="76" t="n">
        <ns0:f t="shared" si="9"/>
        <ns0:v>0.2</ns0:v>
      </ns0:c>
      <ns0:c r="X50" s="74" t="str">
        <ns0:f t="shared" si="10"/>
        <ns0:v>C · Histórico/secundário</ns0:v>
      </ns0:c>
      <ns0:c r="Y50" s="74" t="str">
        <ns0:f t="shared" si="11"/>
        <ns0:v>Baixa</ns0:v>
      </ns0:c>
      <ns0:c r="Z50" s="74"/>
      <ns0:c r="AA50" s="74" t="str">
        <ns0:f t="shared" si="12"/>
        <ns0:v>Atualizar preço/status</ns0:v>
      </ns0:c>
      <ns0:c r="AB50" s="74" t="str">
        <ns0:f t="shared" si="13"/>
        <ns0:v>Alta</ns0:v>
      </ns0:c>
    </ns0:row>
    <ns0:row r="51">
      <ns0:c r="A51" s="71" t="s">
        <ns0:v>81</ns0:v>
      </ns0:c>
      <ns0:c r="B51" s="71" t="s">
        <ns0:v>84</ns0:v>
      </ns0:c>
      <ns0:c r="C51" s="71">
        <ns0:v>2</ns0:v>
      </ns0:c>
      <ns0:c r="D51" s="71" t="s">
        <ns0:v>31</ns0:v>
      </ns0:c>
      <ns0:c r="E51" s="71">
        <ns0:v>3</ns0:v>
      </ns0:c>
      <ns0:c r="F51" s="72">
        <ns0:v>107</ns0:v>
      </ns0:c>
      <ns0:c r="G51" s="72">
        <ns0:v>34</ns0:v>
      </ns0:c>
      <ns0:c r="H51" s="72">
        <ns0:v>141</ns0:v>
      </ns0:c>
      <ns0:c r="I51" s="73">
        <ns0:v>482350</ns0:v>
      </ns0:c>
      <ns0:c r="J51" s="71">
        <ns0:v>2026</ns0:v>
      </ns0:c>
      <ns0:c r="K51" s="73">
        <ns0:v>4507.9439252336451</ns0:v>
      </ns0:c>
      <ns0:c r="L51" s="73">
        <ns0:v>3420.921985815603</ns0:v>
      </ns0:c>
      <ns0:c r="M51" s="74" t="str">
        <ns0:f t="shared" si="7"/>
        <ns0:v>Ativo</ns0:v>
      </ns0:c>
      <ns0:c r="N51" s="74"/>
      <ns0:c r="O51" s="74"/>
      <ns0:c r="P51" s="77"/>
      <ns0:c r="Q51" s="74" t="str">
        <ns0:f t="shared" si="8"/>
        <ns0:v>Benchmark local</ns0:v>
      </ns0:c>
      <ns0:c r="R51" s="74" t="s">
        <ns0:v>32</ns0:v>
      </ns0:c>
      <ns0:c r="S51" s="74"/>
      <ns0:c r="T51" s="74"/>
      <ns0:c r="U51" s="74"/>
      <ns0:c r="V51" s="74"/>
      <ns0:c r="W51" s="76" t="n">
        <ns0:f t="shared" si="9"/>
        <ns0:v>0.35</ns0:v>
      </ns0:c>
      <ns0:c r="X51" s="74" t="str">
        <ns0:f t="shared" si="10"/>
        <ns0:v>C · Benchmark local secundário</ns0:v>
      </ns0:c>
      <ns0:c r="Y51" s="74" t="str">
        <ns0:f t="shared" si="11"/>
        <ns0:v>Baixa</ns0:v>
      </ns0:c>
      <ns0:c r="Z51" s="74" t="str">
        <ns0:v>Benchmark local/contextual; menor comparabilidade com o produto premium atual do The View.</ns0:v>
      </ns0:c>
      <ns0:c r="AA51" s="74" t="str">
        <ns0:f t="shared" si="12"/>
        <ns0:v>Manter apenas como contexto; revalidar preços ativos.</ns0:v>
      </ns0:c>
      <ns0:c r="AB51" s="74" t="str">
        <ns0:f t="shared" si="13"/>
        <ns0:v>Baixa</ns0:v>
      </ns0:c>
    </ns0:row>
    <ns0:row r="52">
      <ns0:c r="A52" s="71" t="s">
        <ns0:v>81</ns0:v>
      </ns0:c>
      <ns0:c r="B52" s="71" t="s">
        <ns0:v>85</ns0:v>
      </ns0:c>
      <ns0:c r="C52" s="71">
        <ns0:v>2</ns0:v>
      </ns0:c>
      <ns0:c r="D52" s="71" t="s">
        <ns0:v>31</ns0:v>
      </ns0:c>
      <ns0:c r="E52" s="71">
        <ns0:v>1</ns0:v>
      </ns0:c>
      <ns0:c r="F52" s="72">
        <ns0:v>107</ns0:v>
      </ns0:c>
      <ns0:c r="G52" s="72">
        <ns0:v>34</ns0:v>
      </ns0:c>
      <ns0:c r="H52" s="72">
        <ns0:v>141</ns0:v>
      </ns0:c>
      <ns0:c r="I52" s="73">
        <ns0:v>408100</ns0:v>
      </ns0:c>
      <ns0:c r="J52" s="71">
        <ns0:v>2024</ns0:v>
      </ns0:c>
      <ns0:c r="K52" s="73">
        <ns0:v>3814.0186915887848</ns0:v>
      </ns0:c>
      <ns0:c r="L52" s="73">
        <ns0:v>2894.3262411347519</ns0:v>
      </ns0:c>
      <ns0:c r="M52" s="74" t="str">
        <ns0:f t="shared" si="7"/>
        <ns0:v>Histórico</ns0:v>
      </ns0:c>
      <ns0:c r="N52" s="74"/>
      <ns0:c r="O52" s="74"/>
      <ns0:c r="P52" s="77"/>
      <ns0:c r="Q52" s="74" t="str">
        <ns0:f t="shared" si="8"/>
        <ns0:v>Benchmark local</ns0:v>
      </ns0:c>
      <ns0:c r="R52" s="74" t="s">
        <ns0:v>32</ns0:v>
      </ns0:c>
      <ns0:c r="S52" s="74"/>
      <ns0:c r="T52" s="74"/>
      <ns0:c r="U52" s="74"/>
      <ns0:c r="V52" s="74"/>
      <ns0:c r="W52" s="76" t="n">
        <ns0:f t="shared" si="9"/>
        <ns0:v>0.2</ns0:v>
      </ns0:c>
      <ns0:c r="X52" s="74" t="str">
        <ns0:f t="shared" si="10"/>
        <ns0:v>C · Histórico/secundário</ns0:v>
      </ns0:c>
      <ns0:c r="Y52" s="74" t="str">
        <ns0:f t="shared" si="11"/>
        <ns0:v>Baixa</ns0:v>
      </ns0:c>
      <ns0:c r="Z52" s="74"/>
      <ns0:c r="AA52" s="74" t="str">
        <ns0:f t="shared" si="12"/>
        <ns0:v>Atualizar preço/status</ns0:v>
      </ns0:c>
      <ns0:c r="AB52" s="74" t="str">
        <ns0:f t="shared" si="13"/>
        <ns0:v>Alta</ns0:v>
      </ns0:c>
    </ns0:row>
    <ns0:row r="53">
      <ns0:c r="A53" s="71" t="s">
        <ns0:v>81</ns0:v>
      </ns0:c>
      <ns0:c r="B53" s="71" t="s">
        <ns0:v>86</ns0:v>
      </ns0:c>
      <ns0:c r="C53" s="71">
        <ns0:v>3</ns0:v>
      </ns0:c>
      <ns0:c r="D53" s="71" t="s">
        <ns0:v>31</ns0:v>
      </ns0:c>
      <ns0:c r="E53" s="71">
        <ns0:v>3</ns0:v>
      </ns0:c>
      <ns0:c r="F53" s="72">
        <ns0:v>107</ns0:v>
      </ns0:c>
      <ns0:c r="G53" s="72">
        <ns0:v>34</ns0:v>
      </ns0:c>
      <ns0:c r="H53" s="72">
        <ns0:v>141</ns0:v>
      </ns0:c>
      <ns0:c r="I53" s="73">
        <ns0:v>409750</ns0:v>
      </ns0:c>
      <ns0:c r="J53" s="71">
        <ns0:v>2024</ns0:v>
      </ns0:c>
      <ns0:c r="K53" s="73">
        <ns0:v>3829.439252336449</ns0:v>
      </ns0:c>
      <ns0:c r="L53" s="73">
        <ns0:v>2906.0283687943261</ns0:v>
      </ns0:c>
      <ns0:c r="M53" s="74" t="str">
        <ns0:f t="shared" si="7"/>
        <ns0:v>Histórico</ns0:v>
      </ns0:c>
      <ns0:c r="N53" s="74"/>
      <ns0:c r="O53" s="74"/>
      <ns0:c r="P53" s="77"/>
      <ns0:c r="Q53" s="74" t="str">
        <ns0:f t="shared" si="8"/>
        <ns0:v>Benchmark local</ns0:v>
      </ns0:c>
      <ns0:c r="R53" s="74" t="s">
        <ns0:v>32</ns0:v>
      </ns0:c>
      <ns0:c r="S53" s="74"/>
      <ns0:c r="T53" s="74"/>
      <ns0:c r="U53" s="74"/>
      <ns0:c r="V53" s="74"/>
      <ns0:c r="W53" s="76" t="n">
        <ns0:f t="shared" si="9"/>
        <ns0:v>0.2</ns0:v>
      </ns0:c>
      <ns0:c r="X53" s="74" t="str">
        <ns0:f t="shared" si="10"/>
        <ns0:v>C · Histórico/secundário</ns0:v>
      </ns0:c>
      <ns0:c r="Y53" s="74" t="str">
        <ns0:f t="shared" si="11"/>
        <ns0:v>Baixa</ns0:v>
      </ns0:c>
      <ns0:c r="Z53" s="74"/>
      <ns0:c r="AA53" s="74" t="str">
        <ns0:f t="shared" si="12"/>
        <ns0:v>Atualizar preço/status</ns0:v>
      </ns0:c>
      <ns0:c r="AB53" s="74" t="str">
        <ns0:f t="shared" si="13"/>
        <ns0:v>Alta</ns0:v>
      </ns0:c>
    </ns0:row>
    <ns0:row r="54">
      <ns0:c r="A54" s="71" t="s">
        <ns0:v>81</ns0:v>
      </ns0:c>
      <ns0:c r="B54" s="71" t="s">
        <ns0:v>87</ns0:v>
      </ns0:c>
      <ns0:c r="C54" s="71">
        <ns0:v>3</ns0:v>
      </ns0:c>
      <ns0:c r="D54" s="71" t="s">
        <ns0:v>31</ns0:v>
      </ns0:c>
      <ns0:c r="E54" s="71">
        <ns0:v>1</ns0:v>
      </ns0:c>
      <ns0:c r="F54" s="72">
        <ns0:v>107</ns0:v>
      </ns0:c>
      <ns0:c r="G54" s="72">
        <ns0:v>34</ns0:v>
      </ns0:c>
      <ns0:c r="H54" s="72">
        <ns0:v>141</ns0:v>
      </ns0:c>
      <ns0:c r="I54" s="73">
        <ns0:v>409750</ns0:v>
      </ns0:c>
      <ns0:c r="J54" s="71">
        <ns0:v>2024</ns0:v>
      </ns0:c>
      <ns0:c r="K54" s="73">
        <ns0:v>3829.439252336449</ns0:v>
      </ns0:c>
      <ns0:c r="L54" s="73">
        <ns0:v>2906.0283687943261</ns0:v>
      </ns0:c>
      <ns0:c r="M54" s="74" t="str">
        <ns0:f t="shared" si="7"/>
        <ns0:v>Histórico</ns0:v>
      </ns0:c>
      <ns0:c r="N54" s="74"/>
      <ns0:c r="O54" s="74"/>
      <ns0:c r="P54" s="77"/>
      <ns0:c r="Q54" s="74" t="str">
        <ns0:f t="shared" si="8"/>
        <ns0:v>Benchmark local</ns0:v>
      </ns0:c>
      <ns0:c r="R54" s="74" t="s">
        <ns0:v>32</ns0:v>
      </ns0:c>
      <ns0:c r="S54" s="74"/>
      <ns0:c r="T54" s="74"/>
      <ns0:c r="U54" s="74"/>
      <ns0:c r="V54" s="74"/>
      <ns0:c r="W54" s="76" t="n">
        <ns0:f t="shared" si="9"/>
        <ns0:v>0.2</ns0:v>
      </ns0:c>
      <ns0:c r="X54" s="74" t="str">
        <ns0:f t="shared" si="10"/>
        <ns0:v>C · Histórico/secundário</ns0:v>
      </ns0:c>
      <ns0:c r="Y54" s="74" t="str">
        <ns0:f t="shared" si="11"/>
        <ns0:v>Baixa</ns0:v>
      </ns0:c>
      <ns0:c r="Z54" s="74"/>
      <ns0:c r="AA54" s="74" t="str">
        <ns0:f t="shared" si="12"/>
        <ns0:v>Atualizar preço/status</ns0:v>
      </ns0:c>
      <ns0:c r="AB54" s="74" t="str">
        <ns0:f t="shared" si="13"/>
        <ns0:v>Alta</ns0:v>
      </ns0:c>
    </ns0:row>
    <ns0:row r="55">
      <ns0:c r="A55" s="71" t="s">
        <ns0:v>81</ns0:v>
      </ns0:c>
      <ns0:c r="B55" s="71" t="s">
        <ns0:v>88</ns0:v>
      </ns0:c>
      <ns0:c r="C55" s="71">
        <ns0:v>4</ns0:v>
      </ns0:c>
      <ns0:c r="D55" s="71" t="s">
        <ns0:v>31</ns0:v>
      </ns0:c>
      <ns0:c r="E55" s="71">
        <ns0:v>3</ns0:v>
      </ns0:c>
      <ns0:c r="F55" s="72">
        <ns0:v>107</ns0:v>
      </ns0:c>
      <ns0:c r="G55" s="72">
        <ns0:v>34</ns0:v>
      </ns0:c>
      <ns0:c r="H55" s="72">
        <ns0:v>141</ns0:v>
      </ns0:c>
      <ns0:c r="I55" s="73">
        <ns0:v>420750</ns0:v>
      </ns0:c>
      <ns0:c r="J55" s="71">
        <ns0:v>2024</ns0:v>
      </ns0:c>
      <ns0:c r="K55" s="73">
        <ns0:v>3932.2429906542061</ns0:v>
      </ns0:c>
      <ns0:c r="L55" s="73">
        <ns0:v>2984.0425531914889</ns0:v>
      </ns0:c>
      <ns0:c r="M55" s="74" t="str">
        <ns0:f t="shared" si="7"/>
        <ns0:v>Histórico</ns0:v>
      </ns0:c>
      <ns0:c r="N55" s="74"/>
      <ns0:c r="O55" s="74"/>
      <ns0:c r="P55" s="77"/>
      <ns0:c r="Q55" s="74" t="str">
        <ns0:f t="shared" si="8"/>
        <ns0:v>Benchmark local</ns0:v>
      </ns0:c>
      <ns0:c r="R55" s="74" t="s">
        <ns0:v>32</ns0:v>
      </ns0:c>
      <ns0:c r="S55" s="74"/>
      <ns0:c r="T55" s="74"/>
      <ns0:c r="U55" s="74"/>
      <ns0:c r="V55" s="74"/>
      <ns0:c r="W55" s="76" t="n">
        <ns0:f t="shared" si="9"/>
        <ns0:v>0.2</ns0:v>
      </ns0:c>
      <ns0:c r="X55" s="74" t="str">
        <ns0:f t="shared" si="10"/>
        <ns0:v>C · Histórico/secundário</ns0:v>
      </ns0:c>
      <ns0:c r="Y55" s="74" t="str">
        <ns0:f t="shared" si="11"/>
        <ns0:v>Baixa</ns0:v>
      </ns0:c>
      <ns0:c r="Z55" s="74"/>
      <ns0:c r="AA55" s="74" t="str">
        <ns0:f t="shared" si="12"/>
        <ns0:v>Atualizar preço/status</ns0:v>
      </ns0:c>
      <ns0:c r="AB55" s="74" t="str">
        <ns0:f t="shared" si="13"/>
        <ns0:v>Alta</ns0:v>
      </ns0:c>
    </ns0:row>
    <ns0:row r="56">
      <ns0:c r="A56" s="71" t="s">
        <ns0:v>81</ns0:v>
      </ns0:c>
      <ns0:c r="B56" s="71" t="s">
        <ns0:v>89</ns0:v>
      </ns0:c>
      <ns0:c r="C56" s="71">
        <ns0:v>4</ns0:v>
      </ns0:c>
      <ns0:c r="D56" s="71" t="s">
        <ns0:v>31</ns0:v>
      </ns0:c>
      <ns0:c r="E56" s="71">
        <ns0:v>1</ns0:v>
      </ns0:c>
      <ns0:c r="F56" s="72">
        <ns0:v>107</ns0:v>
      </ns0:c>
      <ns0:c r="G56" s="72">
        <ns0:v>34</ns0:v>
      </ns0:c>
      <ns0:c r="H56" s="72">
        <ns0:v>141</ns0:v>
      </ns0:c>
      <ns0:c r="I56" s="73">
        <ns0:v>420750</ns0:v>
      </ns0:c>
      <ns0:c r="J56" s="71">
        <ns0:v>2024</ns0:v>
      </ns0:c>
      <ns0:c r="K56" s="73">
        <ns0:v>3932.2429906542061</ns0:v>
      </ns0:c>
      <ns0:c r="L56" s="73">
        <ns0:v>2984.0425531914889</ns0:v>
      </ns0:c>
      <ns0:c r="M56" s="74" t="str">
        <ns0:f t="shared" si="7"/>
        <ns0:v>Histórico</ns0:v>
      </ns0:c>
      <ns0:c r="N56" s="74"/>
      <ns0:c r="O56" s="74"/>
      <ns0:c r="P56" s="77"/>
      <ns0:c r="Q56" s="74" t="str">
        <ns0:f t="shared" si="8"/>
        <ns0:v>Benchmark local</ns0:v>
      </ns0:c>
      <ns0:c r="R56" s="74" t="s">
        <ns0:v>32</ns0:v>
      </ns0:c>
      <ns0:c r="S56" s="74"/>
      <ns0:c r="T56" s="74"/>
      <ns0:c r="U56" s="74"/>
      <ns0:c r="V56" s="74"/>
      <ns0:c r="W56" s="76" t="n">
        <ns0:f t="shared" si="9"/>
        <ns0:v>0.2</ns0:v>
      </ns0:c>
      <ns0:c r="X56" s="74" t="str">
        <ns0:f t="shared" si="10"/>
        <ns0:v>C · Histórico/secundário</ns0:v>
      </ns0:c>
      <ns0:c r="Y56" s="74" t="str">
        <ns0:f t="shared" si="11"/>
        <ns0:v>Baixa</ns0:v>
      </ns0:c>
      <ns0:c r="Z56" s="74"/>
      <ns0:c r="AA56" s="74" t="str">
        <ns0:f t="shared" si="12"/>
        <ns0:v>Atualizar preço/status</ns0:v>
      </ns0:c>
      <ns0:c r="AB56" s="74" t="str">
        <ns0:f t="shared" si="13"/>
        <ns0:v>Alta</ns0:v>
      </ns0:c>
    </ns0:row>
    <ns0:row r="57">
      <ns0:c r="A57" s="71" t="s">
        <ns0:v>81</ns0:v>
      </ns0:c>
      <ns0:c r="B57" s="71" t="s">
        <ns0:v>82</ns0:v>
      </ns0:c>
      <ns0:c r="C57" s="71">
        <ns0:v>1</ns0:v>
      </ns0:c>
      <ns0:c r="D57" s="71" t="s">
        <ns0:v>64</ns0:v>
      </ns0:c>
      <ns0:c r="E57" s="71">
        <ns0:v>3</ns0:v>
      </ns0:c>
      <ns0:c r="F57" s="72">
        <ns0:v>124</ns0:v>
      </ns0:c>
      <ns0:c r="G57" s="72">
        <ns0:v>74</ns0:v>
      </ns0:c>
      <ns0:c r="H57" s="72">
        <ns0:v>198</ns0:v>
      </ns0:c>
      <ns0:c r="I57" s="73">
        <ns0:v>513150</ns0:v>
      </ns0:c>
      <ns0:c r="J57" s="71">
        <ns0:v>2024</ns0:v>
      </ns0:c>
      <ns0:c r="K57" s="73">
        <ns0:v>4138.3064516129034</ns0:v>
      </ns0:c>
      <ns0:c r="L57" s="73">
        <ns0:v>2591.666666666667</ns0:v>
      </ns0:c>
      <ns0:c r="M57" s="74" t="str">
        <ns0:f t="shared" si="7"/>
        <ns0:v>Histórico</ns0:v>
      </ns0:c>
      <ns0:c r="N57" s="74"/>
      <ns0:c r="O57" s="74"/>
      <ns0:c r="P57" s="77"/>
      <ns0:c r="Q57" s="74" t="str">
        <ns0:f t="shared" si="8"/>
        <ns0:v>Benchmark local</ns0:v>
      </ns0:c>
      <ns0:c r="R57" s="74" t="s">
        <ns0:v>32</ns0:v>
      </ns0:c>
      <ns0:c r="S57" s="74"/>
      <ns0:c r="T57" s="74"/>
      <ns0:c r="U57" s="74"/>
      <ns0:c r="V57" s="74"/>
      <ns0:c r="W57" s="76" t="n">
        <ns0:f t="shared" si="9"/>
        <ns0:v>0.2</ns0:v>
      </ns0:c>
      <ns0:c r="X57" s="74" t="str">
        <ns0:f t="shared" si="10"/>
        <ns0:v>C · Histórico/secundário</ns0:v>
      </ns0:c>
      <ns0:c r="Y57" s="74" t="str">
        <ns0:f t="shared" si="11"/>
        <ns0:v>Baixa</ns0:v>
      </ns0:c>
      <ns0:c r="Z57" s="74"/>
      <ns0:c r="AA57" s="74" t="str">
        <ns0:f t="shared" si="12"/>
        <ns0:v>Atualizar preço/status</ns0:v>
      </ns0:c>
      <ns0:c r="AB57" s="74" t="str">
        <ns0:f t="shared" si="13"/>
        <ns0:v>Alta</ns0:v>
      </ns0:c>
    </ns0:row>
    <ns0:row r="58">
      <ns0:c r="A58" s="71" t="s">
        <ns0:v>81</ns0:v>
      </ns0:c>
      <ns0:c r="B58" s="71" t="s">
        <ns0:v>83</ns0:v>
      </ns0:c>
      <ns0:c r="C58" s="71">
        <ns0:v>1</ns0:v>
      </ns0:c>
      <ns0:c r="D58" s="71" t="s">
        <ns0:v>31</ns0:v>
      </ns0:c>
      <ns0:c r="E58" s="71">
        <ns0:v>4</ns0:v>
      </ns0:c>
      <ns0:c r="F58" s="72">
        <ns0:v>88</ns0:v>
      </ns0:c>
      <ns0:c r="G58" s="72">
        <ns0:v>3</ns0:v>
      </ns0:c>
      <ns0:c r="H58" s="72">
        <ns0:v>91</ns0:v>
      </ns0:c>
      <ns0:c r="I58" s="73">
        <ns0:v>331650</ns0:v>
      </ns0:c>
      <ns0:c r="J58" s="71">
        <ns0:v>2024</ns0:v>
      </ns0:c>
      <ns0:c r="K58" s="73">
        <ns0:v>3768.75</ns0:v>
      </ns0:c>
      <ns0:c r="L58" s="73">
        <ns0:v>3644.505494505494</ns0:v>
      </ns0:c>
      <ns0:c r="M58" s="74" t="str">
        <ns0:f t="shared" si="7"/>
        <ns0:v>Histórico</ns0:v>
      </ns0:c>
      <ns0:c r="N58" s="74"/>
      <ns0:c r="O58" s="74"/>
      <ns0:c r="P58" s="77"/>
      <ns0:c r="Q58" s="74" t="str">
        <ns0:f t="shared" si="8"/>
        <ns0:v>Benchmark local</ns0:v>
      </ns0:c>
      <ns0:c r="R58" s="74" t="s">
        <ns0:v>32</ns0:v>
      </ns0:c>
      <ns0:c r="S58" s="74"/>
      <ns0:c r="T58" s="74"/>
      <ns0:c r="U58" s="74"/>
      <ns0:c r="V58" s="74"/>
      <ns0:c r="W58" s="76" t="n">
        <ns0:f t="shared" si="9"/>
        <ns0:v>0.2</ns0:v>
      </ns0:c>
      <ns0:c r="X58" s="74" t="str">
        <ns0:f t="shared" si="10"/>
        <ns0:v>C · Histórico/secundário</ns0:v>
      </ns0:c>
      <ns0:c r="Y58" s="74" t="str">
        <ns0:f t="shared" si="11"/>
        <ns0:v>Baixa</ns0:v>
      </ns0:c>
      <ns0:c r="Z58" s="74"/>
      <ns0:c r="AA58" s="74" t="str">
        <ns0:f t="shared" si="12"/>
        <ns0:v>Atualizar preço/status</ns0:v>
      </ns0:c>
      <ns0:c r="AB58" s="74" t="str">
        <ns0:f t="shared" si="13"/>
        <ns0:v>Alta</ns0:v>
      </ns0:c>
    </ns0:row>
    <ns0:row r="59">
      <ns0:c r="A59" s="71" t="s">
        <ns0:v>81</ns0:v>
      </ns0:c>
      <ns0:c r="B59" s="71" t="s">
        <ns0:v>90</ns0:v>
      </ns0:c>
      <ns0:c r="C59" s="71">
        <ns0:v>1</ns0:v>
      </ns0:c>
      <ns0:c r="D59" s="71" t="s">
        <ns0:v>31</ns0:v>
      </ns0:c>
      <ns0:c r="E59" s="71">
        <ns0:v>4</ns0:v>
      </ns0:c>
      <ns0:c r="F59" s="72">
        <ns0:v>91</ns0:v>
      </ns0:c>
      <ns0:c r="G59" s="72">
        <ns0:v>3</ns0:v>
      </ns0:c>
      <ns0:c r="H59" s="72">
        <ns0:v>94</ns0:v>
      </ns0:c>
      <ns0:c r="I59" s="73">
        <ns0:v>341550</ns0:v>
      </ns0:c>
      <ns0:c r="J59" s="71">
        <ns0:v>2024</ns0:v>
      </ns0:c>
      <ns0:c r="K59" s="73">
        <ns0:v>3753.2967032967031</ns0:v>
      </ns0:c>
      <ns0:c r="L59" s="73">
        <ns0:v>3633.510638297872</ns0:v>
      </ns0:c>
      <ns0:c r="M59" s="74" t="str">
        <ns0:f t="shared" si="7"/>
        <ns0:v>Histórico</ns0:v>
      </ns0:c>
      <ns0:c r="N59" s="74"/>
      <ns0:c r="O59" s="74"/>
      <ns0:c r="P59" s="77"/>
      <ns0:c r="Q59" s="74" t="str">
        <ns0:f t="shared" si="8"/>
        <ns0:v>Benchmark local</ns0:v>
      </ns0:c>
      <ns0:c r="R59" s="74" t="s">
        <ns0:v>32</ns0:v>
      </ns0:c>
      <ns0:c r="S59" s="74"/>
      <ns0:c r="T59" s="74"/>
      <ns0:c r="U59" s="74"/>
      <ns0:c r="V59" s="74"/>
      <ns0:c r="W59" s="76" t="n">
        <ns0:f t="shared" si="9"/>
        <ns0:v>0.2</ns0:v>
      </ns0:c>
      <ns0:c r="X59" s="74" t="str">
        <ns0:f t="shared" si="10"/>
        <ns0:v>C · Histórico/secundário</ns0:v>
      </ns0:c>
      <ns0:c r="Y59" s="74" t="str">
        <ns0:f t="shared" si="11"/>
        <ns0:v>Baixa</ns0:v>
      </ns0:c>
      <ns0:c r="Z59" s="74"/>
      <ns0:c r="AA59" s="74" t="str">
        <ns0:f t="shared" si="12"/>
        <ns0:v>Atualizar preço/status</ns0:v>
      </ns0:c>
      <ns0:c r="AB59" s="74" t="str">
        <ns0:f t="shared" si="13"/>
        <ns0:v>Alta</ns0:v>
      </ns0:c>
    </ns0:row>
    <ns0:row r="60">
      <ns0:c r="A60" s="71" t="s">
        <ns0:v>81</ns0:v>
      </ns0:c>
      <ns0:c r="B60" s="71" t="s">
        <ns0:v>91</ns0:v>
      </ns0:c>
      <ns0:c r="C60" s="71">
        <ns0:v>1</ns0:v>
      </ns0:c>
      <ns0:c r="D60" s="71" t="s">
        <ns0:v>64</ns0:v>
      </ns0:c>
      <ns0:c r="E60" s="71">
        <ns0:v>1</ns0:v>
      </ns0:c>
      <ns0:c r="F60" s="72">
        <ns0:v>124</ns0:v>
      </ns0:c>
      <ns0:c r="G60" s="72">
        <ns0:v>85</ns0:v>
      </ns0:c>
      <ns0:c r="H60" s="72">
        <ns0:v>209</ns0:v>
      </ns0:c>
      <ns0:c r="I60" s="73">
        <ns0:v>518100</ns0:v>
      </ns0:c>
      <ns0:c r="J60" s="71">
        <ns0:v>2024</ns0:v>
      </ns0:c>
      <ns0:c r="K60" s="73">
        <ns0:v>4178.2258064516127</ns0:v>
      </ns0:c>
      <ns0:c r="L60" s="73">
        <ns0:v>2478.947368421052</ns0:v>
      </ns0:c>
      <ns0:c r="M60" s="74" t="str">
        <ns0:f t="shared" si="7"/>
        <ns0:v>Histórico</ns0:v>
      </ns0:c>
      <ns0:c r="N60" s="74"/>
      <ns0:c r="O60" s="74"/>
      <ns0:c r="P60" s="77"/>
      <ns0:c r="Q60" s="74" t="str">
        <ns0:f t="shared" si="8"/>
        <ns0:v>Benchmark local</ns0:v>
      </ns0:c>
      <ns0:c r="R60" s="74" t="s">
        <ns0:v>32</ns0:v>
      </ns0:c>
      <ns0:c r="S60" s="74"/>
      <ns0:c r="T60" s="74"/>
      <ns0:c r="U60" s="74"/>
      <ns0:c r="V60" s="74"/>
      <ns0:c r="W60" s="76" t="n">
        <ns0:f t="shared" si="9"/>
        <ns0:v>0.2</ns0:v>
      </ns0:c>
      <ns0:c r="X60" s="74" t="str">
        <ns0:f t="shared" si="10"/>
        <ns0:v>C · Histórico/secundário</ns0:v>
      </ns0:c>
      <ns0:c r="Y60" s="74" t="str">
        <ns0:f t="shared" si="11"/>
        <ns0:v>Baixa</ns0:v>
      </ns0:c>
      <ns0:c r="Z60" s="74"/>
      <ns0:c r="AA60" s="74" t="str">
        <ns0:f t="shared" si="12"/>
        <ns0:v>Atualizar preço/status</ns0:v>
      </ns0:c>
      <ns0:c r="AB60" s="74" t="str">
        <ns0:f t="shared" si="13"/>
        <ns0:v>Alta</ns0:v>
      </ns0:c>
    </ns0:row>
    <ns0:row r="61">
      <ns0:c r="A61" s="71" t="s">
        <ns0:v>81</ns0:v>
      </ns0:c>
      <ns0:c r="B61" s="71" t="s">
        <ns0:v>92</ns0:v>
      </ns0:c>
      <ns0:c r="C61" s="71">
        <ns0:v>1</ns0:v>
      </ns0:c>
      <ns0:c r="D61" s="71" t="s">
        <ns0:v>31</ns0:v>
      </ns0:c>
      <ns0:c r="E61" s="71">
        <ns0:v>2</ns0:v>
      </ns0:c>
      <ns0:c r="F61" s="72">
        <ns0:v>83</ns0:v>
      </ns0:c>
      <ns0:c r="G61" s="72">
        <ns0:v>108</ns0:v>
      </ns0:c>
      <ns0:c r="H61" s="72">
        <ns0:v>191</ns0:v>
      </ns0:c>
      <ns0:c r="I61" s="73">
        <ns0:v>404250</ns0:v>
      </ns0:c>
      <ns0:c r="J61" s="71">
        <ns0:v>2024</ns0:v>
      </ns0:c>
      <ns0:c r="K61" s="73">
        <ns0:v>4870.4819277108436</ns0:v>
      </ns0:c>
      <ns0:c r="L61" s="73">
        <ns0:v>2116.4921465968591</ns0:v>
      </ns0:c>
      <ns0:c r="M61" s="74" t="str">
        <ns0:f t="shared" si="7"/>
        <ns0:v>Histórico</ns0:v>
      </ns0:c>
      <ns0:c r="N61" s="74"/>
      <ns0:c r="O61" s="74"/>
      <ns0:c r="P61" s="77"/>
      <ns0:c r="Q61" s="74" t="str">
        <ns0:f t="shared" si="8"/>
        <ns0:v>Benchmark local</ns0:v>
      </ns0:c>
      <ns0:c r="R61" s="74" t="s">
        <ns0:v>32</ns0:v>
      </ns0:c>
      <ns0:c r="S61" s="74"/>
      <ns0:c r="T61" s="74"/>
      <ns0:c r="U61" s="74"/>
      <ns0:c r="V61" s="74"/>
      <ns0:c r="W61" s="76" t="n">
        <ns0:f t="shared" si="9"/>
        <ns0:v>0.2</ns0:v>
      </ns0:c>
      <ns0:c r="X61" s="74" t="str">
        <ns0:f t="shared" si="10"/>
        <ns0:v>C · Histórico/secundário</ns0:v>
      </ns0:c>
      <ns0:c r="Y61" s="74" t="str">
        <ns0:f t="shared" si="11"/>
        <ns0:v>Baixa</ns0:v>
      </ns0:c>
      <ns0:c r="Z61" s="74"/>
      <ns0:c r="AA61" s="74" t="str">
        <ns0:f t="shared" si="12"/>
        <ns0:v>Atualizar preço/status</ns0:v>
      </ns0:c>
      <ns0:c r="AB61" s="74" t="str">
        <ns0:f t="shared" si="13"/>
        <ns0:v>Alta</ns0:v>
      </ns0:c>
    </ns0:row>
    <ns0:row r="62">
      <ns0:c r="A62" s="71" t="s">
        <ns0:v>81</ns0:v>
      </ns0:c>
      <ns0:c r="B62" s="71" t="s">
        <ns0:v>93</ns0:v>
      </ns0:c>
      <ns0:c r="C62" s="71">
        <ns0:v>1</ns0:v>
      </ns0:c>
      <ns0:c r="D62" s="71" t="s">
        <ns0:v>31</ns0:v>
      </ns0:c>
      <ns0:c r="E62" s="71">
        <ns0:v>2</ns0:v>
      </ns0:c>
      <ns0:c r="F62" s="72">
        <ns0:v>83</ns0:v>
      </ns0:c>
      <ns0:c r="G62" s="72">
        <ns0:v>102</ns0:v>
      </ns0:c>
      <ns0:c r="H62" s="72">
        <ns0:v>185</ns0:v>
      </ns0:c>
      <ns0:c r="I62" s="73">
        <ns0:v>402600</ns0:v>
      </ns0:c>
      <ns0:c r="J62" s="71">
        <ns0:v>2024</ns0:v>
      </ns0:c>
      <ns0:c r="K62" s="73">
        <ns0:v>4850.6024096385536</ns0:v>
      </ns0:c>
      <ns0:c r="L62" s="73">
        <ns0:v>2176.2162162162158</ns0:v>
      </ns0:c>
      <ns0:c r="M62" s="74" t="str">
        <ns0:f t="shared" si="7"/>
        <ns0:v>Histórico</ns0:v>
      </ns0:c>
      <ns0:c r="N62" s="74"/>
      <ns0:c r="O62" s="74"/>
      <ns0:c r="P62" s="77"/>
      <ns0:c r="Q62" s="74" t="str">
        <ns0:f t="shared" si="8"/>
        <ns0:v>Benchmark local</ns0:v>
      </ns0:c>
      <ns0:c r="R62" s="74" t="s">
        <ns0:v>32</ns0:v>
      </ns0:c>
      <ns0:c r="S62" s="74"/>
      <ns0:c r="T62" s="74"/>
      <ns0:c r="U62" s="74"/>
      <ns0:c r="V62" s="74"/>
      <ns0:c r="W62" s="76" t="n">
        <ns0:f t="shared" si="9"/>
        <ns0:v>0.2</ns0:v>
      </ns0:c>
      <ns0:c r="X62" s="74" t="str">
        <ns0:f t="shared" si="10"/>
        <ns0:v>C · Histórico/secundário</ns0:v>
      </ns0:c>
      <ns0:c r="Y62" s="74" t="str">
        <ns0:f t="shared" si="11"/>
        <ns0:v>Baixa</ns0:v>
      </ns0:c>
      <ns0:c r="Z62" s="74"/>
      <ns0:c r="AA62" s="74" t="str">
        <ns0:f t="shared" si="12"/>
        <ns0:v>Atualizar preço/status</ns0:v>
      </ns0:c>
      <ns0:c r="AB62" s="74" t="str">
        <ns0:f t="shared" si="13"/>
        <ns0:v>Alta</ns0:v>
      </ns0:c>
    </ns0:row>
    <ns0:row r="63">
      <ns0:c r="A63" s="71" t="s">
        <ns0:v>81</ns0:v>
      </ns0:c>
      <ns0:c r="B63" s="71" t="s">
        <ns0:v>84</ns0:v>
      </ns0:c>
      <ns0:c r="C63" s="71">
        <ns0:v>2</ns0:v>
      </ns0:c>
      <ns0:c r="D63" s="71" t="s">
        <ns0:v>64</ns0:v>
      </ns0:c>
      <ns0:c r="E63" s="71">
        <ns0:v>3</ns0:v>
      </ns0:c>
      <ns0:c r="F63" s="72">
        <ns0:v>124</ns0:v>
      </ns0:c>
      <ns0:c r="G63" s="72">
        <ns0:v>29</ns0:v>
      </ns0:c>
      <ns0:c r="H63" s="72">
        <ns0:v>153</ns0:v>
      </ns0:c>
      <ns0:c r="I63" s="73">
        <ns0:v>502150</ns0:v>
      </ns0:c>
      <ns0:c r="J63" s="71">
        <ns0:v>2026</ns0:v>
      </ns0:c>
      <ns0:c r="K63" s="73">
        <ns0:v>4049.5967741935478</ns0:v>
      </ns0:c>
      <ns0:c r="L63" s="73">
        <ns0:v>3282.0261437908498</ns0:v>
      </ns0:c>
      <ns0:c r="M63" s="74" t="str">
        <ns0:f t="shared" si="7"/>
        <ns0:v>Ativo</ns0:v>
      </ns0:c>
      <ns0:c r="N63" s="74"/>
      <ns0:c r="O63" s="74"/>
      <ns0:c r="P63" s="77"/>
      <ns0:c r="Q63" s="74" t="str">
        <ns0:f t="shared" si="8"/>
        <ns0:v>Benchmark local</ns0:v>
      </ns0:c>
      <ns0:c r="R63" s="74" t="s">
        <ns0:v>32</ns0:v>
      </ns0:c>
      <ns0:c r="S63" s="74"/>
      <ns0:c r="T63" s="74"/>
      <ns0:c r="U63" s="74"/>
      <ns0:c r="V63" s="74"/>
      <ns0:c r="W63" s="76" t="n">
        <ns0:f t="shared" si="9"/>
        <ns0:v>0.35</ns0:v>
      </ns0:c>
      <ns0:c r="X63" s="74" t="str">
        <ns0:f t="shared" si="10"/>
        <ns0:v>C · Benchmark local secundário</ns0:v>
      </ns0:c>
      <ns0:c r="Y63" s="74" t="str">
        <ns0:f t="shared" si="11"/>
        <ns0:v>Baixa</ns0:v>
      </ns0:c>
      <ns0:c r="Z63" s="74" t="str">
        <ns0:v>Benchmark local/contextual; menor comparabilidade com o produto premium atual do The View.</ns0:v>
      </ns0:c>
      <ns0:c r="AA63" s="74" t="str">
        <ns0:f t="shared" si="12"/>
        <ns0:v>Manter apenas como contexto; revalidar preços ativos.</ns0:v>
      </ns0:c>
      <ns0:c r="AB63" s="74" t="str">
        <ns0:f t="shared" si="13"/>
        <ns0:v>Baixa</ns0:v>
      </ns0:c>
    </ns0:row>
    <ns0:row r="64">
      <ns0:c r="A64" s="71" t="s">
        <ns0:v>81</ns0:v>
      </ns0:c>
      <ns0:c r="B64" s="71" t="s">
        <ns0:v>85</ns0:v>
      </ns0:c>
      <ns0:c r="C64" s="71">
        <ns0:v>2</ns0:v>
      </ns0:c>
      <ns0:c r="D64" s="71" t="s">
        <ns0:v>31</ns0:v>
      </ns0:c>
      <ns0:c r="E64" s="71">
        <ns0:v>4</ns0:v>
      </ns0:c>
      <ns0:c r="F64" s="72">
        <ns0:v>91</ns0:v>
      </ns0:c>
      <ns0:c r="G64" s="72">
        <ns0:v>24</ns0:v>
      </ns0:c>
      <ns0:c r="H64" s="72">
        <ns0:v>115</ns0:v>
      </ns0:c>
      <ns0:c r="I64" s="73">
        <ns0:v>369600</ns0:v>
      </ns0:c>
      <ns0:c r="J64" s="71">
        <ns0:v>2024</ns0:v>
      </ns0:c>
      <ns0:c r="K64" s="73">
        <ns0:v>4061.538461538461</ns0:v>
      </ns0:c>
      <ns0:c r="L64" s="73">
        <ns0:v>3213.913043478261</ns0:v>
      </ns0:c>
      <ns0:c r="M64" s="74" t="str">
        <ns0:f t="shared" si="7"/>
        <ns0:v>Histórico</ns0:v>
      </ns0:c>
      <ns0:c r="N64" s="74"/>
      <ns0:c r="O64" s="74"/>
      <ns0:c r="P64" s="77"/>
      <ns0:c r="Q64" s="74" t="str">
        <ns0:f t="shared" si="8"/>
        <ns0:v>Benchmark local</ns0:v>
      </ns0:c>
      <ns0:c r="R64" s="74" t="s">
        <ns0:v>32</ns0:v>
      </ns0:c>
      <ns0:c r="S64" s="74"/>
      <ns0:c r="T64" s="74"/>
      <ns0:c r="U64" s="74"/>
      <ns0:c r="V64" s="74"/>
      <ns0:c r="W64" s="76" t="n">
        <ns0:f t="shared" si="9"/>
        <ns0:v>0.2</ns0:v>
      </ns0:c>
      <ns0:c r="X64" s="74" t="str">
        <ns0:f t="shared" si="10"/>
        <ns0:v>C · Histórico/secundário</ns0:v>
      </ns0:c>
      <ns0:c r="Y64" s="74" t="str">
        <ns0:f t="shared" si="11"/>
        <ns0:v>Baixa</ns0:v>
      </ns0:c>
      <ns0:c r="Z64" s="74"/>
      <ns0:c r="AA64" s="74" t="str">
        <ns0:f t="shared" si="12"/>
        <ns0:v>Atualizar preço/status</ns0:v>
      </ns0:c>
      <ns0:c r="AB64" s="74" t="str">
        <ns0:f t="shared" si="13"/>
        <ns0:v>Alta</ns0:v>
      </ns0:c>
    </ns0:row>
    <ns0:row r="65">
      <ns0:c r="A65" s="71" t="s">
        <ns0:v>81</ns0:v>
      </ns0:c>
      <ns0:c r="B65" s="71" t="s">
        <ns0:v>94</ns0:v>
      </ns0:c>
      <ns0:c r="C65" s="71">
        <ns0:v>2</ns0:v>
      </ns0:c>
      <ns0:c r="D65" s="71" t="s">
        <ns0:v>31</ns0:v>
      </ns0:c>
      <ns0:c r="E65" s="71">
        <ns0:v>4</ns0:v>
      </ns0:c>
      <ns0:c r="F65" s="72">
        <ns0:v>93</ns0:v>
      </ns0:c>
      <ns0:c r="G65" s="72">
        <ns0:v>24</ns0:v>
      </ns0:c>
      <ns0:c r="H65" s="72">
        <ns0:v>117</ns0:v>
      </ns0:c>
      <ns0:c r="I65" s="73">
        <ns0:v>376200</ns0:v>
      </ns0:c>
      <ns0:c r="J65" s="71">
        <ns0:v>2024</ns0:v>
      </ns0:c>
      <ns0:c r="K65" s="73">
        <ns0:v>4045.16129032258</ns0:v>
      </ns0:c>
      <ns0:c r="L65" s="73">
        <ns0:v>3215.3846153846148</ns0:v>
      </ns0:c>
      <ns0:c r="M65" s="74" t="str">
        <ns0:f t="shared" si="7"/>
        <ns0:v>Histórico</ns0:v>
      </ns0:c>
      <ns0:c r="N65" s="74"/>
      <ns0:c r="O65" s="74"/>
      <ns0:c r="P65" s="77"/>
      <ns0:c r="Q65" s="74" t="str">
        <ns0:f t="shared" si="8"/>
        <ns0:v>Benchmark local</ns0:v>
      </ns0:c>
      <ns0:c r="R65" s="74" t="s">
        <ns0:v>32</ns0:v>
      </ns0:c>
      <ns0:c r="S65" s="74"/>
      <ns0:c r="T65" s="74"/>
      <ns0:c r="U65" s="74"/>
      <ns0:c r="V65" s="74"/>
      <ns0:c r="W65" s="76" t="n">
        <ns0:f t="shared" si="9"/>
        <ns0:v>0.2</ns0:v>
      </ns0:c>
      <ns0:c r="X65" s="74" t="str">
        <ns0:f t="shared" si="10"/>
        <ns0:v>C · Histórico/secundário</ns0:v>
      </ns0:c>
      <ns0:c r="Y65" s="74" t="str">
        <ns0:f t="shared" si="11"/>
        <ns0:v>Baixa</ns0:v>
      </ns0:c>
      <ns0:c r="Z65" s="74"/>
      <ns0:c r="AA65" s="74" t="str">
        <ns0:f t="shared" si="12"/>
        <ns0:v>Atualizar preço/status</ns0:v>
      </ns0:c>
      <ns0:c r="AB65" s="74" t="str">
        <ns0:f t="shared" si="13"/>
        <ns0:v>Alta</ns0:v>
      </ns0:c>
    </ns0:row>
    <ns0:row r="66">
      <ns0:c r="A66" s="71" t="s">
        <ns0:v>81</ns0:v>
      </ns0:c>
      <ns0:c r="B66" s="71" t="s">
        <ns0:v>95</ns0:v>
      </ns0:c>
      <ns0:c r="C66" s="71">
        <ns0:v>2</ns0:v>
      </ns0:c>
      <ns0:c r="D66" s="71" t="s">
        <ns0:v>64</ns0:v>
      </ns0:c>
      <ns0:c r="E66" s="71">
        <ns0:v>1</ns0:v>
      </ns0:c>
      <ns0:c r="F66" s="72">
        <ns0:v>124</ns0:v>
      </ns0:c>
      <ns0:c r="G66" s="72">
        <ns0:v>29</ns0:v>
      </ns0:c>
      <ns0:c r="H66" s="72">
        <ns0:v>153</ns0:v>
      </ns0:c>
      <ns0:c r="I66" s="73">
        <ns0:v>482350</ns0:v>
      </ns0:c>
      <ns0:c r="J66" s="71">
        <ns0:v>2026</ns0:v>
      </ns0:c>
      <ns0:c r="K66" s="73">
        <ns0:v>3889.9193548387102</ns0:v>
      </ns0:c>
      <ns0:c r="L66" s="73">
        <ns0:v>3152.6143790849669</ns0:v>
      </ns0:c>
      <ns0:c r="M66" s="74" t="str">
        <ns0:f t="shared" ref="M66:M97" si="14">IF(A66="The View","Projeto",IF(J66&gt;=2026,"Ativo",IF(J66=2025,"Rever","Histórico")))</ns0:f>
        <ns0:v>Ativo</ns0:v>
      </ns0:c>
      <ns0:c r="N66" s="74"/>
      <ns0:c r="O66" s="74"/>
      <ns0:c r="P66" s="77"/>
      <ns0:c r="Q66" s="74" t="str">
        <ns0:f t="shared" si="8"/>
        <ns0:v>Benchmark local</ns0:v>
      </ns0:c>
      <ns0:c r="R66" s="74" t="s">
        <ns0:v>32</ns0:v>
      </ns0:c>
      <ns0:c r="S66" s="74"/>
      <ns0:c r="T66" s="74"/>
      <ns0:c r="U66" s="74"/>
      <ns0:c r="V66" s="74"/>
      <ns0:c r="W66" s="76" t="n">
        <ns0:f t="shared" ref="W66:W97" si="15">IF(A66="The View",1,MAX(0.25,MIN(1,IF(J66&gt;=2026,1,IF(J66=2025,0.8,IF(J66=2024,0.45,0.3)))*IF(Q66="Premium waterfront/marina",1,IF(Q66="Benchmark local",0.7,0.6))*IF(M66="Vendido",0.65,IF(M66="Reservado",0.8,IF(M66="Histórico",0.55,1))))))</ns0:f>
        <ns0:v>0.35</ns0:v>
      </ns0:c>
      <ns0:c r="X66" s="74" t="str">
        <ns0:f t="shared" ref="X66:X97" si="16">IF(A66="The View","Projeto",IF(W66&gt;=0.85,"A · Premium ativo",IF(W66&gt;=0.55,"B · Benchmark local","C · Histórico/secundário")))</ns0:f>
        <ns0:v>C · Benchmark local secundário</ns0:v>
      </ns0:c>
      <ns0:c r="Y66" s="74" t="str">
        <ns0:f t="shared" ref="Y66:Y97" si="17">IF(A66="The View","N/A",IF(AND(N66&lt;&gt;"",O66&lt;&gt;"",P66&lt;&gt;""),"Alta",IF(OR(N66&lt;&gt;"",O66&lt;&gt;"",P66&lt;&gt;""),"Média","Baixa")))</ns0:f>
        <ns0:v>Baixa</ns0:v>
      </ns0:c>
      <ns0:c r="Z66" s="74" t="str">
        <ns0:v>Benchmark local/contextual; menor comparabilidade com o produto premium atual do The View.</ns0:v>
      </ns0:c>
      <ns0:c r="AA66" s="74" t="str">
        <ns0:f t="shared" ref="AA66:AA97" si="18">IF(A66="The View","Manter",IF(J66&lt;2026,"Atualizar preço/status",IF(Y66="Baixa","Adicionar fonte/URL/data",IF(W66&lt;0.55,"Rever comparabilidade","OK"))))</ns0:f>
        <ns0:v>Manter apenas como contexto; revalidar preços ativos.</ns0:v>
      </ns0:c>
      <ns0:c r="AB66" s="74" t="str">
        <ns0:f t="shared" ref="AB66:AB97" si="19">IF(A66="The View","",IF(OR(J66&lt;2026,Y66="Baixa"),"Alta",IF(W66&lt;0.55,"Média","Baixa")))</ns0:f>
        <ns0:v>Baixa</ns0:v>
      </ns0:c>
    </ns0:row>
    <ns0:row r="67">
      <ns0:c r="A67" s="71" t="s">
        <ns0:v>81</ns0:v>
      </ns0:c>
      <ns0:c r="B67" s="71" t="s">
        <ns0:v>96</ns0:v>
      </ns0:c>
      <ns0:c r="C67" s="71">
        <ns0:v>2</ns0:v>
      </ns0:c>
      <ns0:c r="D67" s="71" t="s">
        <ns0:v>31</ns0:v>
      </ns0:c>
      <ns0:c r="E67" s="71">
        <ns0:v>2</ns0:v>
      </ns0:c>
      <ns0:c r="F67" s="72">
        <ns0:v>83</ns0:v>
      </ns0:c>
      <ns0:c r="G67" s="72">
        <ns0:v>23</ns0:v>
      </ns0:c>
      <ns0:c r="H67" s="72">
        <ns0:v>106</ns0:v>
      </ns0:c>
      <ns0:c r="I67" s="73">
        <ns0:v>339900</ns0:v>
      </ns0:c>
      <ns0:c r="J67" s="71">
        <ns0:v>2024</ns0:v>
      </ns0:c>
      <ns0:c r="K67" s="73">
        <ns0:v>4095.1807228915659</ns0:v>
      </ns0:c>
      <ns0:c r="L67" s="73">
        <ns0:v>3206.6037735849059</ns0:v>
      </ns0:c>
      <ns0:c r="M67" s="74" t="str">
        <ns0:f t="shared" si="14"/>
        <ns0:v>Histórico</ns0:v>
      </ns0:c>
      <ns0:c r="N67" s="74"/>
      <ns0:c r="O67" s="74"/>
      <ns0:c r="P67" s="77"/>
      <ns0:c r="Q67" s="74" t="str">
        <ns0:f t="shared" si="8"/>
        <ns0:v>Benchmark local</ns0:v>
      </ns0:c>
      <ns0:c r="R67" s="74" t="s">
        <ns0:v>32</ns0:v>
      </ns0:c>
      <ns0:c r="S67" s="74"/>
      <ns0:c r="T67" s="74"/>
      <ns0:c r="U67" s="74"/>
      <ns0:c r="V67" s="74"/>
      <ns0:c r="W67" s="76" t="n">
        <ns0:f t="shared" si="15"/>
        <ns0:v>0.2</ns0:v>
      </ns0:c>
      <ns0:c r="X67" s="74" t="str">
        <ns0:f t="shared" si="16"/>
        <ns0:v>C · Histórico/secundário</ns0:v>
      </ns0:c>
      <ns0:c r="Y67" s="74" t="str">
        <ns0:f t="shared" si="17"/>
        <ns0:v>Baixa</ns0:v>
      </ns0:c>
      <ns0:c r="Z67" s="74"/>
      <ns0:c r="AA67" s="74" t="str">
        <ns0:f t="shared" si="18"/>
        <ns0:v>Atualizar preço/status</ns0:v>
      </ns0:c>
      <ns0:c r="AB67" s="74" t="str">
        <ns0:f t="shared" si="19"/>
        <ns0:v>Alta</ns0:v>
      </ns0:c>
    </ns0:row>
    <ns0:row r="68">
      <ns0:c r="A68" s="71" t="s">
        <ns0:v>81</ns0:v>
      </ns0:c>
      <ns0:c r="B68" s="71" t="s">
        <ns0:v>97</ns0:v>
      </ns0:c>
      <ns0:c r="C68" s="71">
        <ns0:v>2</ns0:v>
      </ns0:c>
      <ns0:c r="D68" s="71" t="s">
        <ns0:v>31</ns0:v>
      </ns0:c>
      <ns0:c r="E68" s="71">
        <ns0:v>2</ns0:v>
      </ns0:c>
      <ns0:c r="F68" s="72">
        <ns0:v>83</ns0:v>
      </ns0:c>
      <ns0:c r="G68" s="72">
        <ns0:v>23</ns0:v>
      </ns0:c>
      <ns0:c r="H68" s="72">
        <ns0:v>106</ns0:v>
      </ns0:c>
      <ns0:c r="I68" s="73">
        <ns0:v>339900</ns0:v>
      </ns0:c>
      <ns0:c r="J68" s="71">
        <ns0:v>2024</ns0:v>
      </ns0:c>
      <ns0:c r="K68" s="73">
        <ns0:v>4095.1807228915659</ns0:v>
      </ns0:c>
      <ns0:c r="L68" s="73">
        <ns0:v>3206.6037735849059</ns0:v>
      </ns0:c>
      <ns0:c r="M68" s="74" t="str">
        <ns0:f t="shared" si="14"/>
        <ns0:v>Histórico</ns0:v>
      </ns0:c>
      <ns0:c r="N68" s="74"/>
      <ns0:c r="O68" s="74"/>
      <ns0:c r="P68" s="77"/>
      <ns0:c r="Q68" s="74" t="str">
        <ns0:f t="shared" si="8"/>
        <ns0:v>Benchmark local</ns0:v>
      </ns0:c>
      <ns0:c r="R68" s="74" t="s">
        <ns0:v>32</ns0:v>
      </ns0:c>
      <ns0:c r="S68" s="74"/>
      <ns0:c r="T68" s="74"/>
      <ns0:c r="U68" s="74"/>
      <ns0:c r="V68" s="74"/>
      <ns0:c r="W68" s="76" t="n">
        <ns0:f t="shared" si="15"/>
        <ns0:v>0.2</ns0:v>
      </ns0:c>
      <ns0:c r="X68" s="74" t="str">
        <ns0:f t="shared" si="16"/>
        <ns0:v>C · Histórico/secundário</ns0:v>
      </ns0:c>
      <ns0:c r="Y68" s="74" t="str">
        <ns0:f t="shared" si="17"/>
        <ns0:v>Baixa</ns0:v>
      </ns0:c>
      <ns0:c r="Z68" s="74"/>
      <ns0:c r="AA68" s="74" t="str">
        <ns0:f t="shared" si="18"/>
        <ns0:v>Atualizar preço/status</ns0:v>
      </ns0:c>
      <ns0:c r="AB68" s="74" t="str">
        <ns0:f t="shared" si="19"/>
        <ns0:v>Alta</ns0:v>
      </ns0:c>
    </ns0:row>
    <ns0:row r="69">
      <ns0:c r="A69" s="71" t="s">
        <ns0:v>81</ns0:v>
      </ns0:c>
      <ns0:c r="B69" s="71" t="s">
        <ns0:v>86</ns0:v>
      </ns0:c>
      <ns0:c r="C69" s="71">
        <ns0:v>3</ns0:v>
      </ns0:c>
      <ns0:c r="D69" s="71" t="s">
        <ns0:v>64</ns0:v>
      </ns0:c>
      <ns0:c r="E69" s="71">
        <ns0:v>3</ns0:v>
      </ns0:c>
      <ns0:c r="F69" s="72">
        <ns0:v>124</ns0:v>
      </ns0:c>
      <ns0:c r="G69" s="72">
        <ns0:v>29</ns0:v>
      </ns0:c>
      <ns0:c r="H69" s="72">
        <ns0:v>153</ns0:v>
      </ns0:c>
      <ns0:c r="I69" s="73">
        <ns0:v>503800</ns0:v>
      </ns0:c>
      <ns0:c r="J69" s="71">
        <ns0:v>2026</ns0:v>
      </ns0:c>
      <ns0:c r="K69" s="73">
        <ns0:v>4062.9032258064522</ns0:v>
      </ns0:c>
      <ns0:c r="L69" s="73">
        <ns0:v>3292.8104575163402</ns0:v>
      </ns0:c>
      <ns0:c r="M69" s="74" t="str">
        <ns0:f t="shared" si="14"/>
        <ns0:v>Ativo</ns0:v>
      </ns0:c>
      <ns0:c r="N69" s="74"/>
      <ns0:c r="O69" s="74"/>
      <ns0:c r="P69" s="77"/>
      <ns0:c r="Q69" s="74" t="str">
        <ns0:f t="shared" si="8"/>
        <ns0:v>Benchmark local</ns0:v>
      </ns0:c>
      <ns0:c r="R69" s="74" t="s">
        <ns0:v>32</ns0:v>
      </ns0:c>
      <ns0:c r="S69" s="74"/>
      <ns0:c r="T69" s="74"/>
      <ns0:c r="U69" s="74"/>
      <ns0:c r="V69" s="74"/>
      <ns0:c r="W69" s="76" t="n">
        <ns0:f t="shared" si="15"/>
        <ns0:v>0.35</ns0:v>
      </ns0:c>
      <ns0:c r="X69" s="74" t="str">
        <ns0:f t="shared" si="16"/>
        <ns0:v>C · Benchmark local secundário</ns0:v>
      </ns0:c>
      <ns0:c r="Y69" s="74" t="str">
        <ns0:f t="shared" si="17"/>
        <ns0:v>Baixa</ns0:v>
      </ns0:c>
      <ns0:c r="Z69" s="74" t="str">
        <ns0:v>Benchmark local/contextual; menor comparabilidade com o produto premium atual do The View.</ns0:v>
      </ns0:c>
      <ns0:c r="AA69" s="74" t="str">
        <ns0:f t="shared" si="18"/>
        <ns0:v>Manter apenas como contexto; revalidar preços ativos.</ns0:v>
      </ns0:c>
      <ns0:c r="AB69" s="74" t="str">
        <ns0:f t="shared" si="19"/>
        <ns0:v>Baixa</ns0:v>
      </ns0:c>
    </ns0:row>
    <ns0:row r="70">
      <ns0:c r="A70" s="71" t="s">
        <ns0:v>81</ns0:v>
      </ns0:c>
      <ns0:c r="B70" s="71" t="s">
        <ns0:v>87</ns0:v>
      </ns0:c>
      <ns0:c r="C70" s="71">
        <ns0:v>3</ns0:v>
      </ns0:c>
      <ns0:c r="D70" s="71" t="s">
        <ns0:v>31</ns0:v>
      </ns0:c>
      <ns0:c r="E70" s="71">
        <ns0:v>4</ns0:v>
      </ns0:c>
      <ns0:c r="F70" s="72">
        <ns0:v>91</ns0:v>
      </ns0:c>
      <ns0:c r="G70" s="72">
        <ns0:v>24</ns0:v>
      </ns0:c>
      <ns0:c r="H70" s="72">
        <ns0:v>115</ns0:v>
      </ns0:c>
      <ns0:c r="I70" s="73">
        <ns0:v>374000</ns0:v>
      </ns0:c>
      <ns0:c r="J70" s="71">
        <ns0:v>2024</ns0:v>
      </ns0:c>
      <ns0:c r="K70" s="73">
        <ns0:v>4109.8901098901097</ns0:v>
      </ns0:c>
      <ns0:c r="L70" s="73">
        <ns0:v>3252.173913043478</ns0:v>
      </ns0:c>
      <ns0:c r="M70" s="74" t="str">
        <ns0:f t="shared" si="14"/>
        <ns0:v>Histórico</ns0:v>
      </ns0:c>
      <ns0:c r="N70" s="74"/>
      <ns0:c r="O70" s="74"/>
      <ns0:c r="P70" s="77"/>
      <ns0:c r="Q70" s="74" t="str">
        <ns0:f t="shared" si="8"/>
        <ns0:v>Benchmark local</ns0:v>
      </ns0:c>
      <ns0:c r="R70" s="74" t="s">
        <ns0:v>32</ns0:v>
      </ns0:c>
      <ns0:c r="S70" s="74"/>
      <ns0:c r="T70" s="74"/>
      <ns0:c r="U70" s="74"/>
      <ns0:c r="V70" s="74"/>
      <ns0:c r="W70" s="76" t="n">
        <ns0:f t="shared" si="15"/>
        <ns0:v>0.2</ns0:v>
      </ns0:c>
      <ns0:c r="X70" s="74" t="str">
        <ns0:f t="shared" si="16"/>
        <ns0:v>C · Histórico/secundário</ns0:v>
      </ns0:c>
      <ns0:c r="Y70" s="74" t="str">
        <ns0:f t="shared" si="17"/>
        <ns0:v>Baixa</ns0:v>
      </ns0:c>
      <ns0:c r="Z70" s="74"/>
      <ns0:c r="AA70" s="74" t="str">
        <ns0:f t="shared" si="18"/>
        <ns0:v>Atualizar preço/status</ns0:v>
      </ns0:c>
      <ns0:c r="AB70" s="74" t="str">
        <ns0:f t="shared" si="19"/>
        <ns0:v>Alta</ns0:v>
      </ns0:c>
    </ns0:row>
    <ns0:row r="71">
      <ns0:c r="A71" s="71" t="s">
        <ns0:v>81</ns0:v>
      </ns0:c>
      <ns0:c r="B71" s="71" t="s">
        <ns0:v>98</ns0:v>
      </ns0:c>
      <ns0:c r="C71" s="71">
        <ns0:v>3</ns0:v>
      </ns0:c>
      <ns0:c r="D71" s="71" t="s">
        <ns0:v>31</ns0:v>
      </ns0:c>
      <ns0:c r="E71" s="71">
        <ns0:v>4</ns0:v>
      </ns0:c>
      <ns0:c r="F71" s="72">
        <ns0:v>83</ns0:v>
      </ns0:c>
      <ns0:c r="G71" s="72">
        <ns0:v>24</ns0:v>
      </ns0:c>
      <ns0:c r="H71" s="72">
        <ns0:v>107</ns0:v>
      </ns0:c>
      <ns0:c r="I71" s="73">
        <ns0:v>490600</ns0:v>
      </ns0:c>
      <ns0:c r="J71" s="71">
        <ns0:v>2026</ns0:v>
      </ns0:c>
      <ns0:c r="K71" s="73">
        <ns0:v>5910.8433734939763</ns0:v>
      </ns0:c>
      <ns0:c r="L71" s="73">
        <ns0:v>4585.0467289719627</ns0:v>
      </ns0:c>
      <ns0:c r="M71" s="74" t="str">
        <ns0:f t="shared" si="14"/>
        <ns0:v>Ativo</ns0:v>
      </ns0:c>
      <ns0:c r="N71" s="74"/>
      <ns0:c r="O71" s="74"/>
      <ns0:c r="P71" s="77"/>
      <ns0:c r="Q71" s="74" t="str">
        <ns0:f t="shared" si="8"/>
        <ns0:v>Benchmark local</ns0:v>
      </ns0:c>
      <ns0:c r="R71" s="74" t="s">
        <ns0:v>32</ns0:v>
      </ns0:c>
      <ns0:c r="S71" s="74"/>
      <ns0:c r="T71" s="74"/>
      <ns0:c r="U71" s="74"/>
      <ns0:c r="V71" s="74"/>
      <ns0:c r="W71" s="76" t="n">
        <ns0:f t="shared" si="15"/>
        <ns0:v>0.35</ns0:v>
      </ns0:c>
      <ns0:c r="X71" s="74" t="str">
        <ns0:f t="shared" si="16"/>
        <ns0:v>C · Benchmark local secundário</ns0:v>
      </ns0:c>
      <ns0:c r="Y71" s="74" t="str">
        <ns0:f t="shared" si="17"/>
        <ns0:v>Baixa</ns0:v>
      </ns0:c>
      <ns0:c r="Z71" s="74" t="str">
        <ns0:v>Benchmark local/contextual; menor comparabilidade com o produto premium atual do The View.</ns0:v>
      </ns0:c>
      <ns0:c r="AA71" s="74" t="str">
        <ns0:f t="shared" si="18"/>
        <ns0:v>Manter apenas como contexto; revalidar preços ativos.</ns0:v>
      </ns0:c>
      <ns0:c r="AB71" s="74" t="str">
        <ns0:f t="shared" si="19"/>
        <ns0:v>Baixa</ns0:v>
      </ns0:c>
    </ns0:row>
    <ns0:row r="72">
      <ns0:c r="A72" s="71" t="s">
        <ns0:v>81</ns0:v>
      </ns0:c>
      <ns0:c r="B72" s="71" t="s">
        <ns0:v>99</ns0:v>
      </ns0:c>
      <ns0:c r="C72" s="71">
        <ns0:v>3</ns0:v>
      </ns0:c>
      <ns0:c r="D72" s="71" t="s">
        <ns0:v>64</ns0:v>
      </ns0:c>
      <ns0:c r="E72" s="71">
        <ns0:v>1</ns0:v>
      </ns0:c>
      <ns0:c r="F72" s="72">
        <ns0:v>124</ns0:v>
      </ns0:c>
      <ns0:c r="G72" s="72">
        <ns0:v>29</ns0:v>
      </ns0:c>
      <ns0:c r="H72" s="72">
        <ns0:v>153</ns0:v>
      </ns0:c>
      <ns0:c r="I72" s="73">
        <ns0:v>486750</ns0:v>
      </ns0:c>
      <ns0:c r="J72" s="71">
        <ns0:v>2024</ns0:v>
      </ns0:c>
      <ns0:c r="K72" s="73">
        <ns0:v>3925.4032258064522</ns0:v>
      </ns0:c>
      <ns0:c r="L72" s="73">
        <ns0:v>3181.372549019608</ns0:v>
      </ns0:c>
      <ns0:c r="M72" s="74" t="str">
        <ns0:f t="shared" si="14"/>
        <ns0:v>Histórico</ns0:v>
      </ns0:c>
      <ns0:c r="N72" s="74"/>
      <ns0:c r="O72" s="74"/>
      <ns0:c r="P72" s="77"/>
      <ns0:c r="Q72" s="74" t="str">
        <ns0:f t="shared" si="8"/>
        <ns0:v>Benchmark local</ns0:v>
      </ns0:c>
      <ns0:c r="R72" s="74" t="s">
        <ns0:v>32</ns0:v>
      </ns0:c>
      <ns0:c r="S72" s="74"/>
      <ns0:c r="T72" s="74"/>
      <ns0:c r="U72" s="74"/>
      <ns0:c r="V72" s="74"/>
      <ns0:c r="W72" s="76" t="n">
        <ns0:f t="shared" si="15"/>
        <ns0:v>0.2</ns0:v>
      </ns0:c>
      <ns0:c r="X72" s="74" t="str">
        <ns0:f t="shared" si="16"/>
        <ns0:v>C · Histórico/secundário</ns0:v>
      </ns0:c>
      <ns0:c r="Y72" s="74" t="str">
        <ns0:f t="shared" si="17"/>
        <ns0:v>Baixa</ns0:v>
      </ns0:c>
      <ns0:c r="Z72" s="74"/>
      <ns0:c r="AA72" s="74" t="str">
        <ns0:f t="shared" si="18"/>
        <ns0:v>Atualizar preço/status</ns0:v>
      </ns0:c>
      <ns0:c r="AB72" s="74" t="str">
        <ns0:f t="shared" si="19"/>
        <ns0:v>Alta</ns0:v>
      </ns0:c>
    </ns0:row>
    <ns0:row r="73">
      <ns0:c r="A73" s="71" t="s">
        <ns0:v>81</ns0:v>
      </ns0:c>
      <ns0:c r="B73" s="71" t="s">
        <ns0:v>100</ns0:v>
      </ns0:c>
      <ns0:c r="C73" s="71">
        <ns0:v>3</ns0:v>
      </ns0:c>
      <ns0:c r="D73" s="71" t="s">
        <ns0:v>31</ns0:v>
      </ns0:c>
      <ns0:c r="E73" s="71">
        <ns0:v>2</ns0:v>
      </ns0:c>
      <ns0:c r="F73" s="72">
        <ns0:v>83</ns0:v>
      </ns0:c>
      <ns0:c r="G73" s="72">
        <ns0:v>23</ns0:v>
      </ns0:c>
      <ns0:c r="H73" s="72">
        <ns0:v>106</ns0:v>
      </ns0:c>
      <ns0:c r="I73" s="73">
        <ns0:v>344300</ns0:v>
      </ns0:c>
      <ns0:c r="J73" s="71">
        <ns0:v>2024</ns0:v>
      </ns0:c>
      <ns0:c r="K73" s="73">
        <ns0:v>4148.1927710843374</ns0:v>
      </ns0:c>
      <ns0:c r="L73" s="73">
        <ns0:v>3248.1132075471701</ns0:v>
      </ns0:c>
      <ns0:c r="M73" s="74" t="str">
        <ns0:f t="shared" si="14"/>
        <ns0:v>Histórico</ns0:v>
      </ns0:c>
      <ns0:c r="N73" s="74"/>
      <ns0:c r="O73" s="74"/>
      <ns0:c r="P73" s="77"/>
      <ns0:c r="Q73" s="74" t="str">
        <ns0:f t="shared" si="8"/>
        <ns0:v>Benchmark local</ns0:v>
      </ns0:c>
      <ns0:c r="R73" s="74" t="s">
        <ns0:v>32</ns0:v>
      </ns0:c>
      <ns0:c r="S73" s="74"/>
      <ns0:c r="T73" s="74"/>
      <ns0:c r="U73" s="74"/>
      <ns0:c r="V73" s="74"/>
      <ns0:c r="W73" s="76" t="n">
        <ns0:f t="shared" si="15"/>
        <ns0:v>0.2</ns0:v>
      </ns0:c>
      <ns0:c r="X73" s="74" t="str">
        <ns0:f t="shared" si="16"/>
        <ns0:v>C · Histórico/secundário</ns0:v>
      </ns0:c>
      <ns0:c r="Y73" s="74" t="str">
        <ns0:f t="shared" si="17"/>
        <ns0:v>Baixa</ns0:v>
      </ns0:c>
      <ns0:c r="Z73" s="74"/>
      <ns0:c r="AA73" s="74" t="str">
        <ns0:f t="shared" si="18"/>
        <ns0:v>Atualizar preço/status</ns0:v>
      </ns0:c>
      <ns0:c r="AB73" s="74" t="str">
        <ns0:f t="shared" si="19"/>
        <ns0:v>Alta</ns0:v>
      </ns0:c>
    </ns0:row>
    <ns0:row r="74">
      <ns0:c r="A74" s="71" t="s">
        <ns0:v>81</ns0:v>
      </ns0:c>
      <ns0:c r="B74" s="71" t="s">
        <ns0:v>101</ns0:v>
      </ns0:c>
      <ns0:c r="C74" s="71">
        <ns0:v>3</ns0:v>
      </ns0:c>
      <ns0:c r="D74" s="71" t="s">
        <ns0:v>31</ns0:v>
      </ns0:c>
      <ns0:c r="E74" s="71">
        <ns0:v>2</ns0:v>
      </ns0:c>
      <ns0:c r="F74" s="72">
        <ns0:v>83</ns0:v>
      </ns0:c>
      <ns0:c r="G74" s="72">
        <ns0:v>23</ns0:v>
      </ns0:c>
      <ns0:c r="H74" s="72">
        <ns0:v>106</ns0:v>
      </ns0:c>
      <ns0:c r="I74" s="73">
        <ns0:v>344300</ns0:v>
      </ns0:c>
      <ns0:c r="J74" s="71">
        <ns0:v>2024</ns0:v>
      </ns0:c>
      <ns0:c r="K74" s="73">
        <ns0:v>4148.1927710843374</ns0:v>
      </ns0:c>
      <ns0:c r="L74" s="73">
        <ns0:v>3248.1132075471701</ns0:v>
      </ns0:c>
      <ns0:c r="M74" s="74" t="str">
        <ns0:f t="shared" si="14"/>
        <ns0:v>Histórico</ns0:v>
      </ns0:c>
      <ns0:c r="N74" s="74"/>
      <ns0:c r="O74" s="74"/>
      <ns0:c r="P74" s="77"/>
      <ns0:c r="Q74" s="74" t="str">
        <ns0:f t="shared" si="8"/>
        <ns0:v>Benchmark local</ns0:v>
      </ns0:c>
      <ns0:c r="R74" s="74" t="s">
        <ns0:v>32</ns0:v>
      </ns0:c>
      <ns0:c r="S74" s="74"/>
      <ns0:c r="T74" s="74"/>
      <ns0:c r="U74" s="74"/>
      <ns0:c r="V74" s="74"/>
      <ns0:c r="W74" s="76" t="n">
        <ns0:f t="shared" si="15"/>
        <ns0:v>0.2</ns0:v>
      </ns0:c>
      <ns0:c r="X74" s="74" t="str">
        <ns0:f t="shared" si="16"/>
        <ns0:v>C · Histórico/secundário</ns0:v>
      </ns0:c>
      <ns0:c r="Y74" s="74" t="str">
        <ns0:f t="shared" si="17"/>
        <ns0:v>Baixa</ns0:v>
      </ns0:c>
      <ns0:c r="Z74" s="74"/>
      <ns0:c r="AA74" s="74" t="str">
        <ns0:f t="shared" si="18"/>
        <ns0:v>Atualizar preço/status</ns0:v>
      </ns0:c>
      <ns0:c r="AB74" s="74" t="str">
        <ns0:f t="shared" si="19"/>
        <ns0:v>Alta</ns0:v>
      </ns0:c>
    </ns0:row>
    <ns0:row r="75">
      <ns0:c r="A75" s="71" t="s">
        <ns0:v>81</ns0:v>
      </ns0:c>
      <ns0:c r="B75" s="71" t="s">
        <ns0:v>88</ns0:v>
      </ns0:c>
      <ns0:c r="C75" s="71">
        <ns0:v>4</ns0:v>
      </ns0:c>
      <ns0:c r="D75" s="71" t="s">
        <ns0:v>64</ns0:v>
      </ns0:c>
      <ns0:c r="E75" s="71">
        <ns0:v>3</ns0:v>
      </ns0:c>
      <ns0:c r="F75" s="72">
        <ns0:v>134</ns0:v>
      </ns0:c>
      <ns0:c r="G75" s="72">
        <ns0:v>29</ns0:v>
      </ns0:c>
      <ns0:c r="H75" s="72">
        <ns0:v>163</ns0:v>
      </ns0:c>
      <ns0:c r="I75" s="73">
        <ns0:v>521400</ns0:v>
      </ns0:c>
      <ns0:c r="J75" s="71">
        <ns0:v>2026</ns0:v>
      </ns0:c>
      <ns0:c r="K75" s="73">
        <ns0:v>3891.0447761194032</ns0:v>
      </ns0:c>
      <ns0:c r="L75" s="73">
        <ns0:v>3198.7730061349689</ns0:v>
      </ns0:c>
      <ns0:c r="M75" s="74" t="str">
        <ns0:f t="shared" si="14"/>
        <ns0:v>Ativo</ns0:v>
      </ns0:c>
      <ns0:c r="N75" s="74"/>
      <ns0:c r="O75" s="74"/>
      <ns0:c r="P75" s="77"/>
      <ns0:c r="Q75" s="74" t="str">
        <ns0:f t="shared" si="8"/>
        <ns0:v>Benchmark local</ns0:v>
      </ns0:c>
      <ns0:c r="R75" s="74" t="s">
        <ns0:v>32</ns0:v>
      </ns0:c>
      <ns0:c r="S75" s="74"/>
      <ns0:c r="T75" s="74"/>
      <ns0:c r="U75" s="74"/>
      <ns0:c r="V75" s="74"/>
      <ns0:c r="W75" s="76" t="n">
        <ns0:f t="shared" si="15"/>
        <ns0:v>0.35</ns0:v>
      </ns0:c>
      <ns0:c r="X75" s="74" t="str">
        <ns0:f t="shared" si="16"/>
        <ns0:v>C · Benchmark local secundário</ns0:v>
      </ns0:c>
      <ns0:c r="Y75" s="74" t="str">
        <ns0:f t="shared" si="17"/>
        <ns0:v>Baixa</ns0:v>
      </ns0:c>
      <ns0:c r="Z75" s="74" t="str">
        <ns0:v>Benchmark local/contextual; menor comparabilidade com o produto premium atual do The View.</ns0:v>
      </ns0:c>
      <ns0:c r="AA75" s="74" t="str">
        <ns0:f t="shared" si="18"/>
        <ns0:v>Manter apenas como contexto; revalidar preços ativos.</ns0:v>
      </ns0:c>
      <ns0:c r="AB75" s="74" t="str">
        <ns0:f t="shared" si="19"/>
        <ns0:v>Baixa</ns0:v>
      </ns0:c>
    </ns0:row>
    <ns0:row r="76">
      <ns0:c r="A76" s="71" t="s">
        <ns0:v>81</ns0:v>
      </ns0:c>
      <ns0:c r="B76" s="71" t="s">
        <ns0:v>89</ns0:v>
      </ns0:c>
      <ns0:c r="C76" s="71">
        <ns0:v>4</ns0:v>
      </ns0:c>
      <ns0:c r="D76" s="71" t="s">
        <ns0:v>31</ns0:v>
      </ns0:c>
      <ns0:c r="E76" s="71">
        <ns0:v>4</ns0:v>
      </ns0:c>
      <ns0:c r="F76" s="72">
        <ns0:v>108</ns0:v>
      </ns0:c>
      <ns0:c r="G76" s="72">
        <ns0:v>28</ns0:v>
      </ns0:c>
      <ns0:c r="H76" s="72">
        <ns0:v>136</ns0:v>
      </ns0:c>
      <ns0:c r="I76" s="73">
        <ns0:v>407000</ns0:v>
      </ns0:c>
      <ns0:c r="J76" s="71">
        <ns0:v>2024</ns0:v>
      </ns0:c>
      <ns0:c r="K76" s="73">
        <ns0:v>3768.5185185185192</ns0:v>
      </ns0:c>
      <ns0:c r="L76" s="73">
        <ns0:v>2992.6470588235288</ns0:v>
      </ns0:c>
      <ns0:c r="M76" s="74" t="str">
        <ns0:f t="shared" si="14"/>
        <ns0:v>Histórico</ns0:v>
      </ns0:c>
      <ns0:c r="N76" s="74"/>
      <ns0:c r="O76" s="74"/>
      <ns0:c r="P76" s="77"/>
      <ns0:c r="Q76" s="74" t="str">
        <ns0:f t="shared" si="8"/>
        <ns0:v>Benchmark local</ns0:v>
      </ns0:c>
      <ns0:c r="R76" s="74" t="s">
        <ns0:v>32</ns0:v>
      </ns0:c>
      <ns0:c r="S76" s="74"/>
      <ns0:c r="T76" s="74"/>
      <ns0:c r="U76" s="74"/>
      <ns0:c r="V76" s="74"/>
      <ns0:c r="W76" s="76" t="n">
        <ns0:f t="shared" si="15"/>
        <ns0:v>0.2</ns0:v>
      </ns0:c>
      <ns0:c r="X76" s="74" t="str">
        <ns0:f t="shared" si="16"/>
        <ns0:v>C · Histórico/secundário</ns0:v>
      </ns0:c>
      <ns0:c r="Y76" s="74" t="str">
        <ns0:f t="shared" si="17"/>
        <ns0:v>Baixa</ns0:v>
      </ns0:c>
      <ns0:c r="Z76" s="74"/>
      <ns0:c r="AA76" s="74" t="str">
        <ns0:f t="shared" si="18"/>
        <ns0:v>Atualizar preço/status</ns0:v>
      </ns0:c>
      <ns0:c r="AB76" s="74" t="str">
        <ns0:f t="shared" si="19"/>
        <ns0:v>Alta</ns0:v>
      </ns0:c>
    </ns0:row>
    <ns0:row r="77">
      <ns0:c r="A77" s="71" t="s">
        <ns0:v>81</ns0:v>
      </ns0:c>
      <ns0:c r="B77" s="71" t="s">
        <ns0:v>102</ns0:v>
      </ns0:c>
      <ns0:c r="C77" s="71">
        <ns0:v>4</ns0:v>
      </ns0:c>
      <ns0:c r="D77" s="71" t="s">
        <ns0:v>31</ns0:v>
      </ns0:c>
      <ns0:c r="E77" s="71">
        <ns0:v>4</ns0:v>
      </ns0:c>
      <ns0:c r="F77" s="72">
        <ns0:v>108</ns0:v>
      </ns0:c>
      <ns0:c r="G77" s="72">
        <ns0:v>28</ns0:v>
      </ns0:c>
      <ns0:c r="H77" s="72">
        <ns0:v>136</ns0:v>
      </ns0:c>
      <ns0:c r="I77" s="73">
        <ns0:v>407000</ns0:v>
      </ns0:c>
      <ns0:c r="J77" s="71">
        <ns0:v>2024</ns0:v>
      </ns0:c>
      <ns0:c r="K77" s="73">
        <ns0:v>3768.5185185185192</ns0:v>
      </ns0:c>
      <ns0:c r="L77" s="73">
        <ns0:v>2992.6470588235288</ns0:v>
      </ns0:c>
      <ns0:c r="M77" s="74" t="str">
        <ns0:f t="shared" si="14"/>
        <ns0:v>Histórico</ns0:v>
      </ns0:c>
      <ns0:c r="N77" s="74"/>
      <ns0:c r="O77" s="74"/>
      <ns0:c r="P77" s="77"/>
      <ns0:c r="Q77" s="74" t="str">
        <ns0:f t="shared" si="8"/>
        <ns0:v>Benchmark local</ns0:v>
      </ns0:c>
      <ns0:c r="R77" s="74" t="s">
        <ns0:v>32</ns0:v>
      </ns0:c>
      <ns0:c r="S77" s="74"/>
      <ns0:c r="T77" s="74"/>
      <ns0:c r="U77" s="74"/>
      <ns0:c r="V77" s="74"/>
      <ns0:c r="W77" s="76" t="n">
        <ns0:f t="shared" si="15"/>
        <ns0:v>0.2</ns0:v>
      </ns0:c>
      <ns0:c r="X77" s="74" t="str">
        <ns0:f t="shared" si="16"/>
        <ns0:v>C · Histórico/secundário</ns0:v>
      </ns0:c>
      <ns0:c r="Y77" s="74" t="str">
        <ns0:f t="shared" si="17"/>
        <ns0:v>Baixa</ns0:v>
      </ns0:c>
      <ns0:c r="Z77" s="74"/>
      <ns0:c r="AA77" s="74" t="str">
        <ns0:f t="shared" si="18"/>
        <ns0:v>Atualizar preço/status</ns0:v>
      </ns0:c>
      <ns0:c r="AB77" s="74" t="str">
        <ns0:f t="shared" si="19"/>
        <ns0:v>Alta</ns0:v>
      </ns0:c>
    </ns0:row>
    <ns0:row r="78">
      <ns0:c r="A78" s="71" t="s">
        <ns0:v>81</ns0:v>
      </ns0:c>
      <ns0:c r="B78" s="71" t="s">
        <ns0:v>103</ns0:v>
      </ns0:c>
      <ns0:c r="C78" s="71">
        <ns0:v>4</ns0:v>
      </ns0:c>
      <ns0:c r="D78" s="71" t="s">
        <ns0:v>104</ns0:v>
      </ns0:c>
      <ns0:c r="E78" s="71">
        <ns0:v>1</ns0:v>
      </ns0:c>
      <ns0:c r="F78" s="72">
        <ns0:v>156</ns0:v>
      </ns0:c>
      <ns0:c r="G78" s="72">
        <ns0:v>35</ns0:v>
      </ns0:c>
      <ns0:c r="H78" s="72">
        <ns0:v>191</ns0:v>
      </ns0:c>
      <ns0:c r="I78" s="73">
        <ns0:v>598950</ns0:v>
      </ns0:c>
      <ns0:c r="J78" s="71">
        <ns0:v>2024</ns0:v>
      </ns0:c>
      <ns0:c r="K78" s="73">
        <ns0:v>3839.4230769230771</ns0:v>
      </ns0:c>
      <ns0:c r="L78" s="73">
        <ns0:v>3135.8638743455499</ns0:v>
      </ns0:c>
      <ns0:c r="M78" s="74" t="str">
        <ns0:f t="shared" si="14"/>
        <ns0:v>Histórico</ns0:v>
      </ns0:c>
      <ns0:c r="N78" s="74"/>
      <ns0:c r="O78" s="74"/>
      <ns0:c r="P78" s="77"/>
      <ns0:c r="Q78" s="74" t="str">
        <ns0:f t="shared" si="8"/>
        <ns0:v>Benchmark local</ns0:v>
      </ns0:c>
      <ns0:c r="R78" s="74" t="s">
        <ns0:v>32</ns0:v>
      </ns0:c>
      <ns0:c r="S78" s="74"/>
      <ns0:c r="T78" s="74"/>
      <ns0:c r="U78" s="74"/>
      <ns0:c r="V78" s="74"/>
      <ns0:c r="W78" s="76" t="n">
        <ns0:f t="shared" si="15"/>
        <ns0:v>0.2</ns0:v>
      </ns0:c>
      <ns0:c r="X78" s="74" t="str">
        <ns0:f t="shared" si="16"/>
        <ns0:v>C · Histórico/secundário</ns0:v>
      </ns0:c>
      <ns0:c r="Y78" s="74" t="str">
        <ns0:f t="shared" si="17"/>
        <ns0:v>Baixa</ns0:v>
      </ns0:c>
      <ns0:c r="Z78" s="74"/>
      <ns0:c r="AA78" s="74" t="str">
        <ns0:f t="shared" si="18"/>
        <ns0:v>Atualizar preço/status</ns0:v>
      </ns0:c>
      <ns0:c r="AB78" s="74" t="str">
        <ns0:f t="shared" si="19"/>
        <ns0:v>Alta</ns0:v>
      </ns0:c>
    </ns0:row>
    <ns0:row r="79">
      <ns0:c r="A79" s="71" t="s">
        <ns0:v>81</ns0:v>
      </ns0:c>
      <ns0:c r="B79" s="71" t="s">
        <ns0:v>105</ns0:v>
      </ns0:c>
      <ns0:c r="C79" s="71">
        <ns0:v>4</ns0:v>
      </ns0:c>
      <ns0:c r="D79" s="71" t="s">
        <ns0:v>31</ns0:v>
      </ns0:c>
      <ns0:c r="E79" s="71">
        <ns0:v>2</ns0:v>
      </ns0:c>
      <ns0:c r="F79" s="72">
        <ns0:v>101</ns0:v>
      </ns0:c>
      <ns0:c r="G79" s="72">
        <ns0:v>30</ns0:v>
      </ns0:c>
      <ns0:c r="H79" s="72">
        <ns0:v>131</ns0:v>
      </ns0:c>
      <ns0:c r="I79" s="73">
        <ns0:v>385550</ns0:v>
      </ns0:c>
      <ns0:c r="J79" s="71">
        <ns0:v>2024</ns0:v>
      </ns0:c>
      <ns0:c r="K79" s="73">
        <ns0:v>3817.326732673268</ns0:v>
      </ns0:c>
      <ns0:c r="L79" s="73">
        <ns0:v>2943.129770992367</ns0:v>
      </ns0:c>
      <ns0:c r="M79" s="74" t="str">
        <ns0:f t="shared" si="14"/>
        <ns0:v>Histórico</ns0:v>
      </ns0:c>
      <ns0:c r="N79" s="74"/>
      <ns0:c r="O79" s="74"/>
      <ns0:c r="P79" s="77"/>
      <ns0:c r="Q79" s="74" t="str">
        <ns0:f t="shared" si="8"/>
        <ns0:v>Benchmark local</ns0:v>
      </ns0:c>
      <ns0:c r="R79" s="74" t="s">
        <ns0:v>32</ns0:v>
      </ns0:c>
      <ns0:c r="S79" s="74"/>
      <ns0:c r="T79" s="74"/>
      <ns0:c r="U79" s="74"/>
      <ns0:c r="V79" s="74"/>
      <ns0:c r="W79" s="76" t="n">
        <ns0:f t="shared" si="15"/>
        <ns0:v>0.2</ns0:v>
      </ns0:c>
      <ns0:c r="X79" s="74" t="str">
        <ns0:f t="shared" si="16"/>
        <ns0:v>C · Histórico/secundário</ns0:v>
      </ns0:c>
      <ns0:c r="Y79" s="74" t="str">
        <ns0:f t="shared" si="17"/>
        <ns0:v>Baixa</ns0:v>
      </ns0:c>
      <ns0:c r="Z79" s="74"/>
      <ns0:c r="AA79" s="74" t="str">
        <ns0:f t="shared" si="18"/>
        <ns0:v>Atualizar preço/status</ns0:v>
      </ns0:c>
      <ns0:c r="AB79" s="74" t="str">
        <ns0:f t="shared" si="19"/>
        <ns0:v>Alta</ns0:v>
      </ns0:c>
    </ns0:row>
    <ns0:row r="80">
      <ns0:c r="A80" s="71" t="s">
        <ns0:v>81</ns0:v>
      </ns0:c>
      <ns0:c r="B80" s="71" t="s">
        <ns0:v>106</ns0:v>
      </ns0:c>
      <ns0:c r="C80" s="71">
        <ns0:v>5</ns0:v>
      </ns0:c>
      <ns0:c r="D80" s="71" t="s">
        <ns0:v>64</ns0:v>
      </ns0:c>
      <ns0:c r="E80" s="71">
        <ns0:v>3</ns0:v>
      </ns0:c>
      <ns0:c r="F80" s="72">
        <ns0:v>134</ns0:v>
      </ns0:c>
      <ns0:c r="G80" s="72">
        <ns0:v>29</ns0:v>
      </ns0:c>
      <ns0:c r="H80" s="72">
        <ns0:v>163</ns0:v>
      </ns0:c>
      <ns0:c r="I80" s="73">
        <ns0:v>523050</ns0:v>
      </ns0:c>
      <ns0:c r="J80" s="71">
        <ns0:v>2024</ns0:v>
      </ns0:c>
      <ns0:c r="K80" s="73">
        <ns0:v>3903.3582089552242</ns0:v>
      </ns0:c>
      <ns0:c r="L80" s="73">
        <ns0:v>3208.8957055214719</ns0:v>
      </ns0:c>
      <ns0:c r="M80" s="74" t="str">
        <ns0:f t="shared" si="14"/>
        <ns0:v>Histórico</ns0:v>
      </ns0:c>
      <ns0:c r="N80" s="74"/>
      <ns0:c r="O80" s="74"/>
      <ns0:c r="P80" s="77"/>
      <ns0:c r="Q80" s="74" t="str">
        <ns0:f t="shared" si="8"/>
        <ns0:v>Benchmark local</ns0:v>
      </ns0:c>
      <ns0:c r="R80" s="74" t="s">
        <ns0:v>32</ns0:v>
      </ns0:c>
      <ns0:c r="S80" s="74"/>
      <ns0:c r="T80" s="74"/>
      <ns0:c r="U80" s="74"/>
      <ns0:c r="V80" s="74"/>
      <ns0:c r="W80" s="76" t="n">
        <ns0:f t="shared" si="15"/>
        <ns0:v>0.2</ns0:v>
      </ns0:c>
      <ns0:c r="X80" s="74" t="str">
        <ns0:f t="shared" si="16"/>
        <ns0:v>C · Histórico/secundário</ns0:v>
      </ns0:c>
      <ns0:c r="Y80" s="74" t="str">
        <ns0:f t="shared" si="17"/>
        <ns0:v>Baixa</ns0:v>
      </ns0:c>
      <ns0:c r="Z80" s="74"/>
      <ns0:c r="AA80" s="74" t="str">
        <ns0:f t="shared" si="18"/>
        <ns0:v>Atualizar preço/status</ns0:v>
      </ns0:c>
      <ns0:c r="AB80" s="74" t="str">
        <ns0:f t="shared" si="19"/>
        <ns0:v>Alta</ns0:v>
      </ns0:c>
    </ns0:row>
    <ns0:row r="81">
      <ns0:c r="A81" s="71" t="s">
        <ns0:v>81</ns0:v>
      </ns0:c>
      <ns0:c r="B81" s="71" t="s">
        <ns0:v>107</ns0:v>
      </ns0:c>
      <ns0:c r="C81" s="71">
        <ns0:v>5</ns0:v>
      </ns0:c>
      <ns0:c r="D81" s="71" t="s">
        <ns0:v>31</ns0:v>
      </ns0:c>
      <ns0:c r="E81" s="71">
        <ns0:v>4</ns0:v>
      </ns0:c>
      <ns0:c r="F81" s="72">
        <ns0:v>108</ns0:v>
      </ns0:c>
      <ns0:c r="G81" s="72">
        <ns0:v>28</ns0:v>
      </ns0:c>
      <ns0:c r="H81" s="72">
        <ns0:v>136</ns0:v>
      </ns0:c>
      <ns0:c r="I81" s="73">
        <ns0:v>408650</ns0:v>
      </ns0:c>
      <ns0:c r="J81" s="71">
        <ns0:v>2024</ns0:v>
      </ns0:c>
      <ns0:c r="K81" s="73">
        <ns0:v>3783.7962962962961</ns0:v>
      </ns0:c>
      <ns0:c r="L81" s="73">
        <ns0:v>3004.7794117647059</ns0:v>
      </ns0:c>
      <ns0:c r="M81" s="74" t="str">
        <ns0:f t="shared" si="14"/>
        <ns0:v>Histórico</ns0:v>
      </ns0:c>
      <ns0:c r="N81" s="74"/>
      <ns0:c r="O81" s="74"/>
      <ns0:c r="P81" s="77"/>
      <ns0:c r="Q81" s="74" t="str">
        <ns0:f t="shared" si="8"/>
        <ns0:v>Benchmark local</ns0:v>
      </ns0:c>
      <ns0:c r="R81" s="74" t="s">
        <ns0:v>32</ns0:v>
      </ns0:c>
      <ns0:c r="S81" s="74"/>
      <ns0:c r="T81" s="74"/>
      <ns0:c r="U81" s="74"/>
      <ns0:c r="V81" s="74"/>
      <ns0:c r="W81" s="76" t="n">
        <ns0:f t="shared" si="15"/>
        <ns0:v>0.2</ns0:v>
      </ns0:c>
      <ns0:c r="X81" s="74" t="str">
        <ns0:f t="shared" si="16"/>
        <ns0:v>C · Histórico/secundário</ns0:v>
      </ns0:c>
      <ns0:c r="Y81" s="74" t="str">
        <ns0:f t="shared" si="17"/>
        <ns0:v>Baixa</ns0:v>
      </ns0:c>
      <ns0:c r="Z81" s="74"/>
      <ns0:c r="AA81" s="74" t="str">
        <ns0:f t="shared" si="18"/>
        <ns0:v>Atualizar preço/status</ns0:v>
      </ns0:c>
      <ns0:c r="AB81" s="74" t="str">
        <ns0:f t="shared" si="19"/>
        <ns0:v>Alta</ns0:v>
      </ns0:c>
    </ns0:row>
    <ns0:row r="82">
      <ns0:c r="A82" s="71" t="s">
        <ns0:v>81</ns0:v>
      </ns0:c>
      <ns0:c r="B82" s="71" t="s">
        <ns0:v>108</ns0:v>
      </ns0:c>
      <ns0:c r="C82" s="71">
        <ns0:v>5</ns0:v>
      </ns0:c>
      <ns0:c r="D82" s="71" t="s">
        <ns0:v>31</ns0:v>
      </ns0:c>
      <ns0:c r="E82" s="71">
        <ns0:v>4</ns0:v>
      </ns0:c>
      <ns0:c r="F82" s="72">
        <ns0:v>108</ns0:v>
      </ns0:c>
      <ns0:c r="G82" s="72">
        <ns0:v>28</ns0:v>
      </ns0:c>
      <ns0:c r="H82" s="72">
        <ns0:v>136</ns0:v>
      </ns0:c>
      <ns0:c r="I82" s="73">
        <ns0:v>408650</ns0:v>
      </ns0:c>
      <ns0:c r="J82" s="71">
        <ns0:v>2024</ns0:v>
      </ns0:c>
      <ns0:c r="K82" s="73">
        <ns0:v>3783.7962962962961</ns0:v>
      </ns0:c>
      <ns0:c r="L82" s="73">
        <ns0:v>3004.7794117647059</ns0:v>
      </ns0:c>
      <ns0:c r="M82" s="74" t="str">
        <ns0:f t="shared" si="14"/>
        <ns0:v>Histórico</ns0:v>
      </ns0:c>
      <ns0:c r="N82" s="74"/>
      <ns0:c r="O82" s="74"/>
      <ns0:c r="P82" s="77"/>
      <ns0:c r="Q82" s="74" t="str">
        <ns0:f t="shared" si="8"/>
        <ns0:v>Benchmark local</ns0:v>
      </ns0:c>
      <ns0:c r="R82" s="74" t="s">
        <ns0:v>32</ns0:v>
      </ns0:c>
      <ns0:c r="S82" s="74"/>
      <ns0:c r="T82" s="74"/>
      <ns0:c r="U82" s="74"/>
      <ns0:c r="V82" s="74"/>
      <ns0:c r="W82" s="76" t="n">
        <ns0:f t="shared" si="15"/>
        <ns0:v>0.2</ns0:v>
      </ns0:c>
      <ns0:c r="X82" s="74" t="str">
        <ns0:f t="shared" si="16"/>
        <ns0:v>C · Histórico/secundário</ns0:v>
      </ns0:c>
      <ns0:c r="Y82" s="74" t="str">
        <ns0:f t="shared" si="17"/>
        <ns0:v>Baixa</ns0:v>
      </ns0:c>
      <ns0:c r="Z82" s="74"/>
      <ns0:c r="AA82" s="74" t="str">
        <ns0:f t="shared" si="18"/>
        <ns0:v>Atualizar preço/status</ns0:v>
      </ns0:c>
      <ns0:c r="AB82" s="74" t="str">
        <ns0:f t="shared" si="19"/>
        <ns0:v>Alta</ns0:v>
      </ns0:c>
    </ns0:row>
    <ns0:row r="83">
      <ns0:c r="A83" s="71" t="s">
        <ns0:v>81</ns0:v>
      </ns0:c>
      <ns0:c r="B83" s="71" t="s">
        <ns0:v>109</ns0:v>
      </ns0:c>
      <ns0:c r="C83" s="71">
        <ns0:v>5</ns0:v>
      </ns0:c>
      <ns0:c r="D83" s="71" t="s">
        <ns0:v>104</ns0:v>
      </ns0:c>
      <ns0:c r="E83" s="71">
        <ns0:v>1</ns0:v>
      </ns0:c>
      <ns0:c r="F83" s="72">
        <ns0:v>156</ns0:v>
      </ns0:c>
      <ns0:c r="G83" s="72">
        <ns0:v>35</ns0:v>
      </ns0:c>
      <ns0:c r="H83" s="72">
        <ns0:v>191</ns0:v>
      </ns0:c>
      <ns0:c r="I83" s="73">
        <ns0:v>600600</ns0:v>
      </ns0:c>
      <ns0:c r="J83" s="71">
        <ns0:v>2024</ns0:v>
      </ns0:c>
      <ns0:c r="K83" s="73">
        <ns0:v>3850</ns0:v>
      </ns0:c>
      <ns0:c r="L83" s="73">
        <ns0:v>3144.5026178010471</ns0:v>
      </ns0:c>
      <ns0:c r="M83" s="74" t="str">
        <ns0:f t="shared" si="14"/>
        <ns0:v>Histórico</ns0:v>
      </ns0:c>
      <ns0:c r="N83" s="74"/>
      <ns0:c r="O83" s="74"/>
      <ns0:c r="P83" s="77"/>
      <ns0:c r="Q83" s="74" t="str">
        <ns0:f t="shared" si="8"/>
        <ns0:v>Benchmark local</ns0:v>
      </ns0:c>
      <ns0:c r="R83" s="74" t="s">
        <ns0:v>32</ns0:v>
      </ns0:c>
      <ns0:c r="S83" s="74"/>
      <ns0:c r="T83" s="74"/>
      <ns0:c r="U83" s="74"/>
      <ns0:c r="V83" s="74"/>
      <ns0:c r="W83" s="76" t="n">
        <ns0:f t="shared" si="15"/>
        <ns0:v>0.2</ns0:v>
      </ns0:c>
      <ns0:c r="X83" s="74" t="str">
        <ns0:f t="shared" si="16"/>
        <ns0:v>C · Histórico/secundário</ns0:v>
      </ns0:c>
      <ns0:c r="Y83" s="74" t="str">
        <ns0:f t="shared" si="17"/>
        <ns0:v>Baixa</ns0:v>
      </ns0:c>
      <ns0:c r="Z83" s="74"/>
      <ns0:c r="AA83" s="74" t="str">
        <ns0:f t="shared" si="18"/>
        <ns0:v>Atualizar preço/status</ns0:v>
      </ns0:c>
      <ns0:c r="AB83" s="74" t="str">
        <ns0:f t="shared" si="19"/>
        <ns0:v>Alta</ns0:v>
      </ns0:c>
    </ns0:row>
    <ns0:row r="84">
      <ns0:c r="A84" s="71" t="s">
        <ns0:v>81</ns0:v>
      </ns0:c>
      <ns0:c r="B84" s="71" t="s">
        <ns0:v>110</ns0:v>
      </ns0:c>
      <ns0:c r="C84" s="71">
        <ns0:v>5</ns0:v>
      </ns0:c>
      <ns0:c r="D84" s="71" t="s">
        <ns0:v>31</ns0:v>
      </ns0:c>
      <ns0:c r="E84" s="71">
        <ns0:v>2</ns0:v>
      </ns0:c>
      <ns0:c r="F84" s="72">
        <ns0:v>101</ns0:v>
      </ns0:c>
      <ns0:c r="G84" s="72">
        <ns0:v>30</ns0:v>
      </ns0:c>
      <ns0:c r="H84" s="72">
        <ns0:v>131</ns0:v>
      </ns0:c>
      <ns0:c r="I84" s="73">
        <ns0:v>387200</ns0:v>
      </ns0:c>
      <ns0:c r="J84" s="71">
        <ns0:v>2024</ns0:v>
      </ns0:c>
      <ns0:c r="K84" s="73">
        <ns0:v>3833.6633663366342</ns0:v>
      </ns0:c>
      <ns0:c r="L84" s="73">
        <ns0:v>2955.7251908396952</ns0:v>
      </ns0:c>
      <ns0:c r="M84" s="74" t="str">
        <ns0:f t="shared" si="14"/>
        <ns0:v>Histórico</ns0:v>
      </ns0:c>
      <ns0:c r="N84" s="74"/>
      <ns0:c r="O84" s="74"/>
      <ns0:c r="P84" s="77"/>
      <ns0:c r="Q84" s="74" t="str">
        <ns0:f t="shared" si="8"/>
        <ns0:v>Benchmark local</ns0:v>
      </ns0:c>
      <ns0:c r="R84" s="74" t="s">
        <ns0:v>32</ns0:v>
      </ns0:c>
      <ns0:c r="S84" s="74"/>
      <ns0:c r="T84" s="74"/>
      <ns0:c r="U84" s="74"/>
      <ns0:c r="V84" s="74"/>
      <ns0:c r="W84" s="76" t="n">
        <ns0:f t="shared" si="15"/>
        <ns0:v>0.2</ns0:v>
      </ns0:c>
      <ns0:c r="X84" s="74" t="str">
        <ns0:f t="shared" si="16"/>
        <ns0:v>C · Histórico/secundário</ns0:v>
      </ns0:c>
      <ns0:c r="Y84" s="74" t="str">
        <ns0:f t="shared" si="17"/>
        <ns0:v>Baixa</ns0:v>
      </ns0:c>
      <ns0:c r="Z84" s="74"/>
      <ns0:c r="AA84" s="74" t="str">
        <ns0:f t="shared" si="18"/>
        <ns0:v>Atualizar preço/status</ns0:v>
      </ns0:c>
      <ns0:c r="AB84" s="74" t="str">
        <ns0:f t="shared" si="19"/>
        <ns0:v>Alta</ns0:v>
      </ns0:c>
    </ns0:row>
    <ns0:row r="85">
      <ns0:c r="A85" s="71" t="s">
        <ns0:v>81</ns0:v>
      </ns0:c>
      <ns0:c r="B85" s="71" t="s">
        <ns0:v>111</ns0:v>
      </ns0:c>
      <ns0:c r="C85" s="71">
        <ns0:v>6</ns0:v>
      </ns0:c>
      <ns0:c r="D85" s="71" t="s">
        <ns0:v>64</ns0:v>
      </ns0:c>
      <ns0:c r="E85" s="71">
        <ns0:v>3</ns0:v>
      </ns0:c>
      <ns0:c r="F85" s="72">
        <ns0:v>134</ns0:v>
      </ns0:c>
      <ns0:c r="G85" s="72">
        <ns0:v>29</ns0:v>
      </ns0:c>
      <ns0:c r="H85" s="72">
        <ns0:v>163</ns0:v>
      </ns0:c>
      <ns0:c r="I85" s="73">
        <ns0:v>534050</ns0:v>
      </ns0:c>
      <ns0:c r="J85" s="71">
        <ns0:v>2024</ns0:v>
      </ns0:c>
      <ns0:c r="K85" s="73">
        <ns0:v>3985.4477611940301</ns0:v>
      </ns0:c>
      <ns0:c r="L85" s="73">
        <ns0:v>3276.38036809816</ns0:v>
      </ns0:c>
      <ns0:c r="M85" s="74" t="str">
        <ns0:f t="shared" si="14"/>
        <ns0:v>Histórico</ns0:v>
      </ns0:c>
      <ns0:c r="N85" s="74"/>
      <ns0:c r="O85" s="74"/>
      <ns0:c r="P85" s="77"/>
      <ns0:c r="Q85" s="74" t="str">
        <ns0:f t="shared" si="8"/>
        <ns0:v>Benchmark local</ns0:v>
      </ns0:c>
      <ns0:c r="R85" s="74" t="s">
        <ns0:v>32</ns0:v>
      </ns0:c>
      <ns0:c r="S85" s="74"/>
      <ns0:c r="T85" s="74"/>
      <ns0:c r="U85" s="74"/>
      <ns0:c r="V85" s="74"/>
      <ns0:c r="W85" s="76" t="n">
        <ns0:f t="shared" si="15"/>
        <ns0:v>0.2</ns0:v>
      </ns0:c>
      <ns0:c r="X85" s="74" t="str">
        <ns0:f t="shared" si="16"/>
        <ns0:v>C · Histórico/secundário</ns0:v>
      </ns0:c>
      <ns0:c r="Y85" s="74" t="str">
        <ns0:f t="shared" si="17"/>
        <ns0:v>Baixa</ns0:v>
      </ns0:c>
      <ns0:c r="Z85" s="74"/>
      <ns0:c r="AA85" s="74" t="str">
        <ns0:f t="shared" si="18"/>
        <ns0:v>Atualizar preço/status</ns0:v>
      </ns0:c>
      <ns0:c r="AB85" s="74" t="str">
        <ns0:f t="shared" si="19"/>
        <ns0:v>Alta</ns0:v>
      </ns0:c>
    </ns0:row>
    <ns0:row r="86">
      <ns0:c r="A86" s="71" t="s">
        <ns0:v>81</ns0:v>
      </ns0:c>
      <ns0:c r="B86" s="71" t="s">
        <ns0:v>112</ns0:v>
      </ns0:c>
      <ns0:c r="C86" s="71">
        <ns0:v>6</ns0:v>
      </ns0:c>
      <ns0:c r="D86" s="71" t="s">
        <ns0:v>31</ns0:v>
      </ns0:c>
      <ns0:c r="E86" s="71">
        <ns0:v>4</ns0:v>
      </ns0:c>
      <ns0:c r="F86" s="72">
        <ns0:v>108</ns0:v>
      </ns0:c>
      <ns0:c r="G86" s="72">
        <ns0:v>28</ns0:v>
      </ns0:c>
      <ns0:c r="H86" s="72">
        <ns0:v>136</ns0:v>
      </ns0:c>
      <ns0:c r="I86" s="73">
        <ns0:v>436150</ns0:v>
      </ns0:c>
      <ns0:c r="J86" s="71">
        <ns0:v>2024</ns0:v>
      </ns0:c>
      <ns0:c r="K86" s="73">
        <ns0:v>4038.4259259259261</ns0:v>
      </ns0:c>
      <ns0:c r="L86" s="73">
        <ns0:v>3206.9852941176468</ns0:v>
      </ns0:c>
      <ns0:c r="M86" s="74" t="str">
        <ns0:f t="shared" si="14"/>
        <ns0:v>Histórico</ns0:v>
      </ns0:c>
      <ns0:c r="N86" s="74"/>
      <ns0:c r="O86" s="74"/>
      <ns0:c r="P86" s="77"/>
      <ns0:c r="Q86" s="74" t="str">
        <ns0:f t="shared" si="8"/>
        <ns0:v>Benchmark local</ns0:v>
      </ns0:c>
      <ns0:c r="R86" s="74" t="s">
        <ns0:v>32</ns0:v>
      </ns0:c>
      <ns0:c r="S86" s="74"/>
      <ns0:c r="T86" s="74"/>
      <ns0:c r="U86" s="74"/>
      <ns0:c r="V86" s="74"/>
      <ns0:c r="W86" s="76" t="n">
        <ns0:f t="shared" si="15"/>
        <ns0:v>0.2</ns0:v>
      </ns0:c>
      <ns0:c r="X86" s="74" t="str">
        <ns0:f t="shared" si="16"/>
        <ns0:v>C · Histórico/secundário</ns0:v>
      </ns0:c>
      <ns0:c r="Y86" s="74" t="str">
        <ns0:f t="shared" si="17"/>
        <ns0:v>Baixa</ns0:v>
      </ns0:c>
      <ns0:c r="Z86" s="74"/>
      <ns0:c r="AA86" s="74" t="str">
        <ns0:f t="shared" si="18"/>
        <ns0:v>Atualizar preço/status</ns0:v>
      </ns0:c>
      <ns0:c r="AB86" s="74" t="str">
        <ns0:f t="shared" si="19"/>
        <ns0:v>Alta</ns0:v>
      </ns0:c>
    </ns0:row>
    <ns0:row r="87">
      <ns0:c r="A87" s="71" t="s">
        <ns0:v>81</ns0:v>
      </ns0:c>
      <ns0:c r="B87" s="71" t="s">
        <ns0:v>113</ns0:v>
      </ns0:c>
      <ns0:c r="C87" s="71">
        <ns0:v>6</ns0:v>
      </ns0:c>
      <ns0:c r="D87" s="71" t="s">
        <ns0:v>31</ns0:v>
      </ns0:c>
      <ns0:c r="E87" s="71">
        <ns0:v>4</ns0:v>
      </ns0:c>
      <ns0:c r="F87" s="72">
        <ns0:v>108</ns0:v>
      </ns0:c>
      <ns0:c r="G87" s="72">
        <ns0:v>28</ns0:v>
      </ns0:c>
      <ns0:c r="H87" s="72">
        <ns0:v>136</ns0:v>
      </ns0:c>
      <ns0:c r="I87" s="73">
        <ns0:v>436150</ns0:v>
      </ns0:c>
      <ns0:c r="J87" s="71">
        <ns0:v>2024</ns0:v>
      </ns0:c>
      <ns0:c r="K87" s="73">
        <ns0:v>4038.4259259259261</ns0:v>
      </ns0:c>
      <ns0:c r="L87" s="73">
        <ns0:v>3206.9852941176468</ns0:v>
      </ns0:c>
      <ns0:c r="M87" s="74" t="str">
        <ns0:f t="shared" si="14"/>
        <ns0:v>Histórico</ns0:v>
      </ns0:c>
      <ns0:c r="N87" s="74"/>
      <ns0:c r="O87" s="74"/>
      <ns0:c r="P87" s="77"/>
      <ns0:c r="Q87" s="74" t="str">
        <ns0:f t="shared" si="8"/>
        <ns0:v>Benchmark local</ns0:v>
      </ns0:c>
      <ns0:c r="R87" s="74" t="s">
        <ns0:v>32</ns0:v>
      </ns0:c>
      <ns0:c r="S87" s="74"/>
      <ns0:c r="T87" s="74"/>
      <ns0:c r="U87" s="74"/>
      <ns0:c r="V87" s="74"/>
      <ns0:c r="W87" s="76" t="n">
        <ns0:f t="shared" si="15"/>
        <ns0:v>0.2</ns0:v>
      </ns0:c>
      <ns0:c r="X87" s="74" t="str">
        <ns0:f t="shared" si="16"/>
        <ns0:v>C · Histórico/secundário</ns0:v>
      </ns0:c>
      <ns0:c r="Y87" s="74" t="str">
        <ns0:f t="shared" si="17"/>
        <ns0:v>Baixa</ns0:v>
      </ns0:c>
      <ns0:c r="Z87" s="74"/>
      <ns0:c r="AA87" s="74" t="str">
        <ns0:f t="shared" si="18"/>
        <ns0:v>Atualizar preço/status</ns0:v>
      </ns0:c>
      <ns0:c r="AB87" s="74" t="str">
        <ns0:f t="shared" si="19"/>
        <ns0:v>Alta</ns0:v>
      </ns0:c>
    </ns0:row>
    <ns0:row r="88">
      <ns0:c r="A88" s="71" t="s">
        <ns0:v>81</ns0:v>
      </ns0:c>
      <ns0:c r="B88" s="71" t="s">
        <ns0:v>114</ns0:v>
      </ns0:c>
      <ns0:c r="C88" s="71">
        <ns0:v>6</ns0:v>
      </ns0:c>
      <ns0:c r="D88" s="71" t="s">
        <ns0:v>104</ns0:v>
      </ns0:c>
      <ns0:c r="E88" s="71">
        <ns0:v>1</ns0:v>
      </ns0:c>
      <ns0:c r="F88" s="72">
        <ns0:v>156</ns0:v>
      </ns0:c>
      <ns0:c r="G88" s="72">
        <ns0:v>35</ns0:v>
      </ns0:c>
      <ns0:c r="H88" s="72">
        <ns0:v>191</ns0:v>
      </ns0:c>
      <ns0:c r="I88" s="73">
        <ns0:v>611600</ns0:v>
      </ns0:c>
      <ns0:c r="J88" s="71">
        <ns0:v>2024</ns0:v>
      </ns0:c>
      <ns0:c r="K88" s="73">
        <ns0:v>3920.5128205128199</ns0:v>
      </ns0:c>
      <ns0:c r="L88" s="73">
        <ns0:v>3202.0942408376959</ns0:v>
      </ns0:c>
      <ns0:c r="M88" s="74" t="str">
        <ns0:f t="shared" si="14"/>
        <ns0:v>Histórico</ns0:v>
      </ns0:c>
      <ns0:c r="N88" s="74"/>
      <ns0:c r="O88" s="74"/>
      <ns0:c r="P88" s="77"/>
      <ns0:c r="Q88" s="74" t="str">
        <ns0:f t="shared" si="8"/>
        <ns0:v>Benchmark local</ns0:v>
      </ns0:c>
      <ns0:c r="R88" s="74" t="s">
        <ns0:v>32</ns0:v>
      </ns0:c>
      <ns0:c r="S88" s="74"/>
      <ns0:c r="T88" s="74"/>
      <ns0:c r="U88" s="74"/>
      <ns0:c r="V88" s="74"/>
      <ns0:c r="W88" s="76" t="n">
        <ns0:f t="shared" si="15"/>
        <ns0:v>0.2</ns0:v>
      </ns0:c>
      <ns0:c r="X88" s="74" t="str">
        <ns0:f t="shared" si="16"/>
        <ns0:v>C · Histórico/secundário</ns0:v>
      </ns0:c>
      <ns0:c r="Y88" s="74" t="str">
        <ns0:f t="shared" si="17"/>
        <ns0:v>Baixa</ns0:v>
      </ns0:c>
      <ns0:c r="Z88" s="74"/>
      <ns0:c r="AA88" s="74" t="str">
        <ns0:f t="shared" si="18"/>
        <ns0:v>Atualizar preço/status</ns0:v>
      </ns0:c>
      <ns0:c r="AB88" s="74" t="str">
        <ns0:f t="shared" si="19"/>
        <ns0:v>Alta</ns0:v>
      </ns0:c>
    </ns0:row>
    <ns0:row r="89">
      <ns0:c r="A89" s="71" t="s">
        <ns0:v>81</ns0:v>
      </ns0:c>
      <ns0:c r="B89" s="71" t="s">
        <ns0:v>115</ns0:v>
      </ns0:c>
      <ns0:c r="C89" s="71">
        <ns0:v>6</ns0:v>
      </ns0:c>
      <ns0:c r="D89" s="71" t="s">
        <ns0:v>31</ns0:v>
      </ns0:c>
      <ns0:c r="E89" s="71">
        <ns0:v>2</ns0:v>
      </ns0:c>
      <ns0:c r="F89" s="72">
        <ns0:v>101</ns0:v>
      </ns0:c>
      <ns0:c r="G89" s="72">
        <ns0:v>30</ns0:v>
      </ns0:c>
      <ns0:c r="H89" s="72">
        <ns0:v>131</ns0:v>
      </ns0:c>
      <ns0:c r="I89" s="73">
        <ns0:v>414700</ns0:v>
      </ns0:c>
      <ns0:c r="J89" s="71">
        <ns0:v>2024</ns0:v>
      </ns0:c>
      <ns0:c r="K89" s="73">
        <ns0:v>4105.9405940594061</ns0:v>
      </ns0:c>
      <ns0:c r="L89" s="73">
        <ns0:v>3165.6488549618321</ns0:v>
      </ns0:c>
      <ns0:c r="M89" s="74" t="str">
        <ns0:f t="shared" si="14"/>
        <ns0:v>Histórico</ns0:v>
      </ns0:c>
      <ns0:c r="N89" s="74"/>
      <ns0:c r="O89" s="74"/>
      <ns0:c r="P89" s="77"/>
      <ns0:c r="Q89" s="74" t="str">
        <ns0:f t="shared" si="8"/>
        <ns0:v>Benchmark local</ns0:v>
      </ns0:c>
      <ns0:c r="R89" s="74" t="s">
        <ns0:v>32</ns0:v>
      </ns0:c>
      <ns0:c r="S89" s="74"/>
      <ns0:c r="T89" s="74"/>
      <ns0:c r="U89" s="74"/>
      <ns0:c r="V89" s="74"/>
      <ns0:c r="W89" s="76" t="n">
        <ns0:f t="shared" si="15"/>
        <ns0:v>0.2</ns0:v>
      </ns0:c>
      <ns0:c r="X89" s="74" t="str">
        <ns0:f t="shared" si="16"/>
        <ns0:v>C · Histórico/secundário</ns0:v>
      </ns0:c>
      <ns0:c r="Y89" s="74" t="str">
        <ns0:f t="shared" si="17"/>
        <ns0:v>Baixa</ns0:v>
      </ns0:c>
      <ns0:c r="Z89" s="74"/>
      <ns0:c r="AA89" s="74" t="str">
        <ns0:f t="shared" si="18"/>
        <ns0:v>Atualizar preço/status</ns0:v>
      </ns0:c>
      <ns0:c r="AB89" s="74" t="str">
        <ns0:f t="shared" si="19"/>
        <ns0:v>Alta</ns0:v>
      </ns0:c>
    </ns0:row>
    <ns0:row r="90">
      <ns0:c r="A90" s="71" t="s">
        <ns0:v>81</ns0:v>
      </ns0:c>
      <ns0:c r="B90" s="71" t="s">
        <ns0:v>82</ns0:v>
      </ns0:c>
      <ns0:c r="C90" s="71">
        <ns0:v>1</ns0:v>
      </ns0:c>
      <ns0:c r="D90" s="71" t="s">
        <ns0:v>64</ns0:v>
      </ns0:c>
      <ns0:c r="E90" s="71">
        <ns0:v>3</ns0:v>
      </ns0:c>
      <ns0:c r="F90" s="72">
        <ns0:v>130</ns0:v>
      </ns0:c>
      <ns0:c r="G90" s="72">
        <ns0:v>87</ns0:v>
      </ns0:c>
      <ns0:c r="H90" s="72">
        <ns0:v>217</ns0:v>
      </ns0:c>
      <ns0:c r="I90" s="73">
        <ns0:v>537900</ns0:v>
      </ns0:c>
      <ns0:c r="J90" s="71">
        <ns0:v>2024</ns0:v>
      </ns0:c>
      <ns0:c r="K90" s="73">
        <ns0:v>4137.6923076923076</ns0:v>
      </ns0:c>
      <ns0:c r="L90" s="73">
        <ns0:v>2478.8018433179718</ns0:v>
      </ns0:c>
      <ns0:c r="M90" s="74" t="str">
        <ns0:f t="shared" si="14"/>
        <ns0:v>Histórico</ns0:v>
      </ns0:c>
      <ns0:c r="N90" s="74"/>
      <ns0:c r="O90" s="74"/>
      <ns0:c r="P90" s="77"/>
      <ns0:c r="Q90" s="74" t="str">
        <ns0:f t="shared" si="8"/>
        <ns0:v>Benchmark local</ns0:v>
      </ns0:c>
      <ns0:c r="R90" s="74" t="s">
        <ns0:v>32</ns0:v>
      </ns0:c>
      <ns0:c r="S90" s="74"/>
      <ns0:c r="T90" s="74"/>
      <ns0:c r="U90" s="74"/>
      <ns0:c r="V90" s="74"/>
      <ns0:c r="W90" s="76" t="n">
        <ns0:f t="shared" si="15"/>
        <ns0:v>0.2</ns0:v>
      </ns0:c>
      <ns0:c r="X90" s="74" t="str">
        <ns0:f t="shared" si="16"/>
        <ns0:v>C · Histórico/secundário</ns0:v>
      </ns0:c>
      <ns0:c r="Y90" s="74" t="str">
        <ns0:f t="shared" si="17"/>
        <ns0:v>Baixa</ns0:v>
      </ns0:c>
      <ns0:c r="Z90" s="74"/>
      <ns0:c r="AA90" s="74" t="str">
        <ns0:f t="shared" si="18"/>
        <ns0:v>Atualizar preço/status</ns0:v>
      </ns0:c>
      <ns0:c r="AB90" s="74" t="str">
        <ns0:f t="shared" si="19"/>
        <ns0:v>Alta</ns0:v>
      </ns0:c>
    </ns0:row>
    <ns0:row r="91">
      <ns0:c r="A91" s="71" t="s">
        <ns0:v>81</ns0:v>
      </ns0:c>
      <ns0:c r="B91" s="71" t="s">
        <ns0:v>83</ns0:v>
      </ns0:c>
      <ns0:c r="C91" s="71">
        <ns0:v>1</ns0:v>
      </ns0:c>
      <ns0:c r="D91" s="71" t="s">
        <ns0:v>42</ns0:v>
      </ns0:c>
      <ns0:c r="E91" s="71">
        <ns0:v>4</ns0:v>
      </ns0:c>
      <ns0:c r="F91" s="72">
        <ns0:v>58</ns0:v>
      </ns0:c>
      <ns0:c r="G91" s="72">
        <ns0:v>6</ns0:v>
      </ns0:c>
      <ns0:c r="H91" s="72">
        <ns0:v>64</ns0:v>
      </ns0:c>
      <ns0:c r="I91" s="73">
        <ns0:v>232650</ns0:v>
      </ns0:c>
      <ns0:c r="J91" s="71">
        <ns0:v>2024</ns0:v>
      </ns0:c>
      <ns0:c r="K91" s="73">
        <ns0:v>4011.2068965517242</ns0:v>
      </ns0:c>
      <ns0:c r="L91" s="73">
        <ns0:v>3635.15625</ns0:v>
      </ns0:c>
      <ns0:c r="M91" s="74" t="str">
        <ns0:f t="shared" si="14"/>
        <ns0:v>Histórico</ns0:v>
      </ns0:c>
      <ns0:c r="N91" s="74"/>
      <ns0:c r="O91" s="74"/>
      <ns0:c r="P91" s="77"/>
      <ns0:c r="Q91" s="74" t="str">
        <ns0:f t="shared" si="8"/>
        <ns0:v>Benchmark local</ns0:v>
      </ns0:c>
      <ns0:c r="R91" s="74" t="s">
        <ns0:v>32</ns0:v>
      </ns0:c>
      <ns0:c r="S91" s="74"/>
      <ns0:c r="T91" s="74"/>
      <ns0:c r="U91" s="74"/>
      <ns0:c r="V91" s="74"/>
      <ns0:c r="W91" s="76" t="n">
        <ns0:f t="shared" si="15"/>
        <ns0:v>0.2</ns0:v>
      </ns0:c>
      <ns0:c r="X91" s="74" t="str">
        <ns0:f t="shared" si="16"/>
        <ns0:v>C · Histórico/secundário</ns0:v>
      </ns0:c>
      <ns0:c r="Y91" s="74" t="str">
        <ns0:f t="shared" si="17"/>
        <ns0:v>Baixa</ns0:v>
      </ns0:c>
      <ns0:c r="Z91" s="74"/>
      <ns0:c r="AA91" s="74" t="str">
        <ns0:f t="shared" si="18"/>
        <ns0:v>Atualizar preço/status</ns0:v>
      </ns0:c>
      <ns0:c r="AB91" s="74" t="str">
        <ns0:f t="shared" si="19"/>
        <ns0:v>Alta</ns0:v>
      </ns0:c>
    </ns0:row>
    <ns0:row r="92">
      <ns0:c r="A92" s="71" t="s">
        <ns0:v>81</ns0:v>
      </ns0:c>
      <ns0:c r="B92" s="71" t="s">
        <ns0:v>90</ns0:v>
      </ns0:c>
      <ns0:c r="C92" s="71">
        <ns0:v>1</ns0:v>
      </ns0:c>
      <ns0:c r="D92" s="71" t="s">
        <ns0:v>64</ns0:v>
      </ns0:c>
      <ns0:c r="E92" s="71">
        <ns0:v>1</ns0:v>
      </ns0:c>
      <ns0:c r="F92" s="72">
        <ns0:v>126</ns0:v>
      </ns0:c>
      <ns0:c r="G92" s="72">
        <ns0:v>74</ns0:v>
      </ns0:c>
      <ns0:c r="H92" s="72">
        <ns0:v>200</ns0:v>
      </ns0:c>
      <ns0:c r="I92" s="73">
        <ns0:v>519750</ns0:v>
      </ns0:c>
      <ns0:c r="J92" s="71">
        <ns0:v>2024</ns0:v>
      </ns0:c>
      <ns0:c r="K92" s="73">
        <ns0:v>4125</ns0:v>
      </ns0:c>
      <ns0:c r="L92" s="73">
        <ns0:v>2598.75</ns0:v>
      </ns0:c>
      <ns0:c r="M92" s="74" t="str">
        <ns0:f t="shared" si="14"/>
        <ns0:v>Histórico</ns0:v>
      </ns0:c>
      <ns0:c r="N92" s="74"/>
      <ns0:c r="O92" s="74"/>
      <ns0:c r="P92" s="77"/>
      <ns0:c r="Q92" s="74" t="str">
        <ns0:f t="shared" si="8"/>
        <ns0:v>Benchmark local</ns0:v>
      </ns0:c>
      <ns0:c r="R92" s="74" t="s">
        <ns0:v>32</ns0:v>
      </ns0:c>
      <ns0:c r="S92" s="74"/>
      <ns0:c r="T92" s="74"/>
      <ns0:c r="U92" s="74"/>
      <ns0:c r="V92" s="74"/>
      <ns0:c r="W92" s="76" t="n">
        <ns0:f t="shared" si="15"/>
        <ns0:v>0.2</ns0:v>
      </ns0:c>
      <ns0:c r="X92" s="74" t="str">
        <ns0:f t="shared" si="16"/>
        <ns0:v>C · Histórico/secundário</ns0:v>
      </ns0:c>
      <ns0:c r="Y92" s="74" t="str">
        <ns0:f t="shared" si="17"/>
        <ns0:v>Baixa</ns0:v>
      </ns0:c>
      <ns0:c r="Z92" s="74"/>
      <ns0:c r="AA92" s="74" t="str">
        <ns0:f t="shared" si="18"/>
        <ns0:v>Atualizar preço/status</ns0:v>
      </ns0:c>
      <ns0:c r="AB92" s="74" t="str">
        <ns0:f t="shared" si="19"/>
        <ns0:v>Alta</ns0:v>
      </ns0:c>
    </ns0:row>
    <ns0:row r="93">
      <ns0:c r="A93" s="71" t="s">
        <ns0:v>81</ns0:v>
      </ns0:c>
      <ns0:c r="B93" s="71" t="s">
        <ns0:v>84</ns0:v>
      </ns0:c>
      <ns0:c r="C93" s="71">
        <ns0:v>2</ns0:v>
      </ns0:c>
      <ns0:c r="D93" s="71" t="s">
        <ns0:v>64</ns0:v>
      </ns0:c>
      <ns0:c r="E93" s="71">
        <ns0:v>3</ns0:v>
      </ns0:c>
      <ns0:c r="F93" s="72">
        <ns0:v>130</ns0:v>
      </ns0:c>
      <ns0:c r="G93" s="72">
        <ns0:v>28</ns0:v>
      </ns0:c>
      <ns0:c r="H93" s="72">
        <ns0:v>158</ns0:v>
      </ns0:c>
      <ns0:c r="I93" s="73">
        <ns0:v>502150</ns0:v>
      </ns0:c>
      <ns0:c r="J93" s="71">
        <ns0:v>2024</ns0:v>
      </ns0:c>
      <ns0:c r="K93" s="73">
        <ns0:v>3862.6923076923081</ns0:v>
      </ns0:c>
      <ns0:c r="L93" s="73">
        <ns0:v>3178.164556962025</ns0:v>
      </ns0:c>
      <ns0:c r="M93" s="74" t="str">
        <ns0:f t="shared" si="14"/>
        <ns0:v>Histórico</ns0:v>
      </ns0:c>
      <ns0:c r="N93" s="74"/>
      <ns0:c r="O93" s="74"/>
      <ns0:c r="P93" s="77"/>
      <ns0:c r="Q93" s="74" t="str">
        <ns0:f t="shared" si="8"/>
        <ns0:v>Benchmark local</ns0:v>
      </ns0:c>
      <ns0:c r="R93" s="74" t="s">
        <ns0:v>32</ns0:v>
      </ns0:c>
      <ns0:c r="S93" s="74"/>
      <ns0:c r="T93" s="74"/>
      <ns0:c r="U93" s="74"/>
      <ns0:c r="V93" s="74"/>
      <ns0:c r="W93" s="76" t="n">
        <ns0:f t="shared" si="15"/>
        <ns0:v>0.2</ns0:v>
      </ns0:c>
      <ns0:c r="X93" s="74" t="str">
        <ns0:f t="shared" si="16"/>
        <ns0:v>C · Histórico/secundário</ns0:v>
      </ns0:c>
      <ns0:c r="Y93" s="74" t="str">
        <ns0:f t="shared" si="17"/>
        <ns0:v>Baixa</ns0:v>
      </ns0:c>
      <ns0:c r="Z93" s="74"/>
      <ns0:c r="AA93" s="74" t="str">
        <ns0:f t="shared" si="18"/>
        <ns0:v>Atualizar preço/status</ns0:v>
      </ns0:c>
      <ns0:c r="AB93" s="74" t="str">
        <ns0:f t="shared" si="19"/>
        <ns0:v>Alta</ns0:v>
      </ns0:c>
    </ns0:row>
    <ns0:row r="94">
      <ns0:c r="A94" s="71" t="s">
        <ns0:v>81</ns0:v>
      </ns0:c>
      <ns0:c r="B94" s="71" t="s">
        <ns0:v>85</ns0:v>
      </ns0:c>
      <ns0:c r="C94" s="71">
        <ns0:v>2</ns0:v>
      </ns0:c>
      <ns0:c r="D94" s="71" t="s">
        <ns0:v>42</ns0:v>
      </ns0:c>
      <ns0:c r="E94" s="71">
        <ns0:v>4</ns0:v>
      </ns0:c>
      <ns0:c r="F94" s="72">
        <ns0:v>65</ns0:v>
      </ns0:c>
      <ns0:c r="G94" s="72">
        <ns0:v>15</ns0:v>
      </ns0:c>
      <ns0:c r="H94" s="72">
        <ns0:v>80</ns0:v>
      </ns0:c>
      <ns0:c r="I94" s="73">
        <ns0:v>272250</ns0:v>
      </ns0:c>
      <ns0:c r="J94" s="71">
        <ns0:v>2024</ns0:v>
      </ns0:c>
      <ns0:c r="K94" s="73">
        <ns0:v>4188.4615384615381</ns0:v>
      </ns0:c>
      <ns0:c r="L94" s="73">
        <ns0:v>3403.125</ns0:v>
      </ns0:c>
      <ns0:c r="M94" s="74" t="str">
        <ns0:f t="shared" si="14"/>
        <ns0:v>Histórico</ns0:v>
      </ns0:c>
      <ns0:c r="N94" s="74"/>
      <ns0:c r="O94" s="74"/>
      <ns0:c r="P94" s="77"/>
      <ns0:c r="Q94" s="74" t="str">
        <ns0:f t="shared" si="8"/>
        <ns0:v>Benchmark local</ns0:v>
      </ns0:c>
      <ns0:c r="R94" s="74" t="s">
        <ns0:v>32</ns0:v>
      </ns0:c>
      <ns0:c r="S94" s="74"/>
      <ns0:c r="T94" s="74"/>
      <ns0:c r="U94" s="74"/>
      <ns0:c r="V94" s="74"/>
      <ns0:c r="W94" s="76" t="n">
        <ns0:f t="shared" si="15"/>
        <ns0:v>0.2</ns0:v>
      </ns0:c>
      <ns0:c r="X94" s="74" t="str">
        <ns0:f t="shared" si="16"/>
        <ns0:v>C · Histórico/secundário</ns0:v>
      </ns0:c>
      <ns0:c r="Y94" s="74" t="str">
        <ns0:f t="shared" si="17"/>
        <ns0:v>Baixa</ns0:v>
      </ns0:c>
      <ns0:c r="Z94" s="74"/>
      <ns0:c r="AA94" s="74" t="str">
        <ns0:f t="shared" si="18"/>
        <ns0:v>Atualizar preço/status</ns0:v>
      </ns0:c>
      <ns0:c r="AB94" s="74" t="str">
        <ns0:f t="shared" si="19"/>
        <ns0:v>Alta</ns0:v>
      </ns0:c>
    </ns0:row>
    <ns0:row r="95">
      <ns0:c r="A95" s="71" t="s">
        <ns0:v>81</ns0:v>
      </ns0:c>
      <ns0:c r="B95" s="71" t="s">
        <ns0:v>94</ns0:v>
      </ns0:c>
      <ns0:c r="C95" s="71">
        <ns0:v>2</ns0:v>
      </ns0:c>
      <ns0:c r="D95" s="71" t="s">
        <ns0:v>64</ns0:v>
      </ns0:c>
      <ns0:c r="E95" s="71">
        <ns0:v>1</ns0:v>
      </ns0:c>
      <ns0:c r="F95" s="72">
        <ns0:v>126</ns0:v>
      </ns0:c>
      <ns0:c r="G95" s="72">
        <ns0:v>29</ns0:v>
      </ns0:c>
      <ns0:c r="H95" s="72">
        <ns0:v>155</ns0:v>
      </ns0:c>
      <ns0:c r="I95" s="73">
        <ns0:v>488950</ns0:v>
      </ns0:c>
      <ns0:c r="J95" s="71">
        <ns0:v>2024</ns0:v>
      </ns0:c>
      <ns0:c r="K95" s="73">
        <ns0:v>3880.5555555555561</ns0:v>
      </ns0:c>
      <ns0:c r="L95" s="73">
        <ns0:v>3154.516129032258</ns0:v>
      </ns0:c>
      <ns0:c r="M95" s="74" t="str">
        <ns0:f t="shared" si="14"/>
        <ns0:v>Histórico</ns0:v>
      </ns0:c>
      <ns0:c r="N95" s="74"/>
      <ns0:c r="O95" s="74"/>
      <ns0:c r="P95" s="77"/>
      <ns0:c r="Q95" s="74" t="str">
        <ns0:f t="shared" si="8"/>
        <ns0:v>Benchmark local</ns0:v>
      </ns0:c>
      <ns0:c r="R95" s="74" t="s">
        <ns0:v>32</ns0:v>
      </ns0:c>
      <ns0:c r="S95" s="74"/>
      <ns0:c r="T95" s="74"/>
      <ns0:c r="U95" s="74"/>
      <ns0:c r="V95" s="74"/>
      <ns0:c r="W95" s="76" t="n">
        <ns0:f t="shared" si="15"/>
        <ns0:v>0.2</ns0:v>
      </ns0:c>
      <ns0:c r="X95" s="74" t="str">
        <ns0:f t="shared" si="16"/>
        <ns0:v>C · Histórico/secundário</ns0:v>
      </ns0:c>
      <ns0:c r="Y95" s="74" t="str">
        <ns0:f t="shared" si="17"/>
        <ns0:v>Baixa</ns0:v>
      </ns0:c>
      <ns0:c r="Z95" s="74"/>
      <ns0:c r="AA95" s="74" t="str">
        <ns0:f t="shared" si="18"/>
        <ns0:v>Atualizar preço/status</ns0:v>
      </ns0:c>
      <ns0:c r="AB95" s="74" t="str">
        <ns0:f t="shared" si="19"/>
        <ns0:v>Alta</ns0:v>
      </ns0:c>
    </ns0:row>
    <ns0:row r="96">
      <ns0:c r="A96" s="71" t="s">
        <ns0:v>81</ns0:v>
      </ns0:c>
      <ns0:c r="B96" s="71" t="s">
        <ns0:v>86</ns0:v>
      </ns0:c>
      <ns0:c r="C96" s="71">
        <ns0:v>3</ns0:v>
      </ns0:c>
      <ns0:c r="D96" s="71" t="s">
        <ns0:v>64</ns0:v>
      </ns0:c>
      <ns0:c r="E96" s="71">
        <ns0:v>3</ns0:v>
      </ns0:c>
      <ns0:c r="F96" s="72">
        <ns0:v>130</ns0:v>
      </ns0:c>
      <ns0:c r="G96" s="72">
        <ns0:v>28</ns0:v>
      </ns0:c>
      <ns0:c r="H96" s="72">
        <ns0:v>158</ns0:v>
      </ns0:c>
      <ns0:c r="I96" s="73">
        <ns0:v>503800</ns0:v>
      </ns0:c>
      <ns0:c r="J96" s="71">
        <ns0:v>2024</ns0:v>
      </ns0:c>
      <ns0:c r="K96" s="73">
        <ns0:v>3875.3846153846148</ns0:v>
      </ns0:c>
      <ns0:c r="L96" s="73">
        <ns0:v>3188.6075949367091</ns0:v>
      </ns0:c>
      <ns0:c r="M96" s="74" t="str">
        <ns0:f t="shared" si="14"/>
        <ns0:v>Histórico</ns0:v>
      </ns0:c>
      <ns0:c r="N96" s="74"/>
      <ns0:c r="O96" s="74"/>
      <ns0:c r="P96" s="77"/>
      <ns0:c r="Q96" s="74" t="str">
        <ns0:f t="shared" si="8"/>
        <ns0:v>Benchmark local</ns0:v>
      </ns0:c>
      <ns0:c r="R96" s="74" t="s">
        <ns0:v>32</ns0:v>
      </ns0:c>
      <ns0:c r="S96" s="74"/>
      <ns0:c r="T96" s="74"/>
      <ns0:c r="U96" s="74"/>
      <ns0:c r="V96" s="74"/>
      <ns0:c r="W96" s="76" t="n">
        <ns0:f t="shared" si="15"/>
        <ns0:v>0.2</ns0:v>
      </ns0:c>
      <ns0:c r="X96" s="74" t="str">
        <ns0:f t="shared" si="16"/>
        <ns0:v>C · Histórico/secundário</ns0:v>
      </ns0:c>
      <ns0:c r="Y96" s="74" t="str">
        <ns0:f t="shared" si="17"/>
        <ns0:v>Baixa</ns0:v>
      </ns0:c>
      <ns0:c r="Z96" s="74"/>
      <ns0:c r="AA96" s="74" t="str">
        <ns0:f t="shared" si="18"/>
        <ns0:v>Atualizar preço/status</ns0:v>
      </ns0:c>
      <ns0:c r="AB96" s="74" t="str">
        <ns0:f t="shared" si="19"/>
        <ns0:v>Alta</ns0:v>
      </ns0:c>
    </ns0:row>
    <ns0:row r="97">
      <ns0:c r="A97" s="71" t="s">
        <ns0:v>81</ns0:v>
      </ns0:c>
      <ns0:c r="B97" s="71" t="s">
        <ns0:v>87</ns0:v>
      </ns0:c>
      <ns0:c r="C97" s="71">
        <ns0:v>3</ns0:v>
      </ns0:c>
      <ns0:c r="D97" s="71" t="s">
        <ns0:v>42</ns0:v>
      </ns0:c>
      <ns0:c r="E97" s="71">
        <ns0:v>4</ns0:v>
      </ns0:c>
      <ns0:c r="F97" s="72">
        <ns0:v>65</ns0:v>
      </ns0:c>
      <ns0:c r="G97" s="72">
        <ns0:v>15</ns0:v>
      </ns0:c>
      <ns0:c r="H97" s="72">
        <ns0:v>80</ns0:v>
      </ns0:c>
      <ns0:c r="I97" s="73">
        <ns0:v>273900</ns0:v>
      </ns0:c>
      <ns0:c r="J97" s="71">
        <ns0:v>2024</ns0:v>
      </ns0:c>
      <ns0:c r="K97" s="73">
        <ns0:v>4213.8461538461543</ns0:v>
      </ns0:c>
      <ns0:c r="L97" s="73">
        <ns0:v>3423.75</ns0:v>
      </ns0:c>
      <ns0:c r="M97" s="74" t="str">
        <ns0:f t="shared" si="14"/>
        <ns0:v>Histórico</ns0:v>
      </ns0:c>
      <ns0:c r="N97" s="74"/>
      <ns0:c r="O97" s="74"/>
      <ns0:c r="P97" s="77"/>
      <ns0:c r="Q97" s="74" t="str">
        <ns0:f t="shared" si="8"/>
        <ns0:v>Benchmark local</ns0:v>
      </ns0:c>
      <ns0:c r="R97" s="74" t="s">
        <ns0:v>32</ns0:v>
      </ns0:c>
      <ns0:c r="S97" s="74"/>
      <ns0:c r="T97" s="74"/>
      <ns0:c r="U97" s="74"/>
      <ns0:c r="V97" s="74"/>
      <ns0:c r="W97" s="76" t="n">
        <ns0:f t="shared" si="15"/>
        <ns0:v>0.2</ns0:v>
      </ns0:c>
      <ns0:c r="X97" s="74" t="str">
        <ns0:f t="shared" si="16"/>
        <ns0:v>C · Histórico/secundário</ns0:v>
      </ns0:c>
      <ns0:c r="Y97" s="74" t="str">
        <ns0:f t="shared" si="17"/>
        <ns0:v>Baixa</ns0:v>
      </ns0:c>
      <ns0:c r="Z97" s="74"/>
      <ns0:c r="AA97" s="74" t="str">
        <ns0:f t="shared" si="18"/>
        <ns0:v>Atualizar preço/status</ns0:v>
      </ns0:c>
      <ns0:c r="AB97" s="74" t="str">
        <ns0:f t="shared" si="19"/>
        <ns0:v>Alta</ns0:v>
      </ns0:c>
    </ns0:row>
    <ns0:row r="98">
      <ns0:c r="A98" s="71" t="s">
        <ns0:v>81</ns0:v>
      </ns0:c>
      <ns0:c r="B98" s="71" t="s">
        <ns0:v>98</ns0:v>
      </ns0:c>
      <ns0:c r="C98" s="71">
        <ns0:v>3</ns0:v>
      </ns0:c>
      <ns0:c r="D98" s="71" t="s">
        <ns0:v>64</ns0:v>
      </ns0:c>
      <ns0:c r="E98" s="71">
        <ns0:v>1</ns0:v>
      </ns0:c>
      <ns0:c r="F98" s="72">
        <ns0:v>126</ns0:v>
      </ns0:c>
      <ns0:c r="G98" s="72">
        <ns0:v>29</ns0:v>
      </ns0:c>
      <ns0:c r="H98" s="72">
        <ns0:v>155</ns0:v>
      </ns0:c>
      <ns0:c r="I98" s="73">
        <ns0:v>490600</ns0:v>
      </ns0:c>
      <ns0:c r="J98" s="71">
        <ns0:v>2024</ns0:v>
      </ns0:c>
      <ns0:c r="K98" s="73">
        <ns0:v>3893.6507936507942</ns0:v>
      </ns0:c>
      <ns0:c r="L98" s="73">
        <ns0:v>3165.16129032258</ns0:v>
      </ns0:c>
      <ns0:c r="M98" s="74" t="str">
        <ns0:f t="shared" ref="M98:M129" si="20">IF(A98="The View","Projeto",IF(J98&gt;=2026,"Ativo",IF(J98=2025,"Rever","Histórico")))</ns0:f>
        <ns0:v>Histórico</ns0:v>
      </ns0:c>
      <ns0:c r="N98" s="74"/>
      <ns0:c r="O98" s="74"/>
      <ns0:c r="P98" s="77"/>
      <ns0:c r="Q98" s="74" t="str">
        <ns0:f t="shared" ref="Q98:Q161" si="21">IF(A98="The View","Projeto",IF(A98="Le Parc","Benchmark local",IF(OR(A98="Del Mar Waterfront",A98="Aura Living"),"Premium waterfront/marina","A classificar")))</ns0:f>
        <ns0:v>Benchmark local</ns0:v>
      </ns0:c>
      <ns0:c r="R98" s="74" t="s">
        <ns0:v>32</ns0:v>
      </ns0:c>
      <ns0:c r="S98" s="74"/>
      <ns0:c r="T98" s="74"/>
      <ns0:c r="U98" s="74"/>
      <ns0:c r="V98" s="74"/>
      <ns0:c r="W98" s="76" t="n">
        <ns0:f t="shared" ref="W98:W129" si="22">IF(A98="The View",1,MAX(0.25,MIN(1,IF(J98&gt;=2026,1,IF(J98=2025,0.8,IF(J98=2024,0.45,0.3)))*IF(Q98="Premium waterfront/marina",1,IF(Q98="Benchmark local",0.7,0.6))*IF(M98="Vendido",0.65,IF(M98="Reservado",0.8,IF(M98="Histórico",0.55,1))))))</ns0:f>
        <ns0:v>0.2</ns0:v>
      </ns0:c>
      <ns0:c r="X98" s="74" t="str">
        <ns0:f t="shared" ref="X98:X129" si="23">IF(A98="The View","Projeto",IF(W98&gt;=0.85,"A · Premium ativo",IF(W98&gt;=0.55,"B · Benchmark local","C · Histórico/secundário")))</ns0:f>
        <ns0:v>C · Histórico/secundário</ns0:v>
      </ns0:c>
      <ns0:c r="Y98" s="74" t="str">
        <ns0:f t="shared" ref="Y98:Y129" si="24">IF(A98="The View","N/A",IF(AND(N98&lt;&gt;"",O98&lt;&gt;"",P98&lt;&gt;""),"Alta",IF(OR(N98&lt;&gt;"",O98&lt;&gt;"",P98&lt;&gt;""),"Média","Baixa")))</ns0:f>
        <ns0:v>Baixa</ns0:v>
      </ns0:c>
      <ns0:c r="Z98" s="74"/>
      <ns0:c r="AA98" s="74" t="str">
        <ns0:f t="shared" ref="AA98:AA129" si="25">IF(A98="The View","Manter",IF(J98&lt;2026,"Atualizar preço/status",IF(Y98="Baixa","Adicionar fonte/URL/data",IF(W98&lt;0.55,"Rever comparabilidade","OK"))))</ns0:f>
        <ns0:v>Atualizar preço/status</ns0:v>
      </ns0:c>
      <ns0:c r="AB98" s="74" t="str">
        <ns0:f t="shared" ref="AB98:AB129" si="26">IF(A98="The View","",IF(OR(J98&lt;2026,Y98="Baixa"),"Alta",IF(W98&lt;0.55,"Média","Baixa")))</ns0:f>
        <ns0:v>Alta</ns0:v>
      </ns0:c>
    </ns0:row>
    <ns0:row r="99">
      <ns0:c r="A99" s="71" t="s">
        <ns0:v>81</ns0:v>
      </ns0:c>
      <ns0:c r="B99" s="71" t="s">
        <ns0:v>88</ns0:v>
      </ns0:c>
      <ns0:c r="C99" s="71">
        <ns0:v>4</ns0:v>
      </ns0:c>
      <ns0:c r="D99" s="71" t="s">
        <ns0:v>64</ns0:v>
      </ns0:c>
      <ns0:c r="E99" s="71">
        <ns0:v>3</ns0:v>
      </ns0:c>
      <ns0:c r="F99" s="72">
        <ns0:v>130</ns0:v>
      </ns0:c>
      <ns0:c r="G99" s="72">
        <ns0:v>28</ns0:v>
      </ns0:c>
      <ns0:c r="H99" s="72">
        <ns0:v>158</ns0:v>
      </ns0:c>
      <ns0:c r="I99" s="73">
        <ns0:v>508200</ns0:v>
      </ns0:c>
      <ns0:c r="J99" s="71">
        <ns0:v>2024</ns0:v>
      </ns0:c>
      <ns0:c r="K99" s="73">
        <ns0:v>3909.2307692307691</ns0:v>
      </ns0:c>
      <ns0:c r="L99" s="73">
        <ns0:v>3216.4556962025322</ns0:v>
      </ns0:c>
      <ns0:c r="M99" s="74" t="str">
        <ns0:f t="shared" si="20"/>
        <ns0:v>Histórico</ns0:v>
      </ns0:c>
      <ns0:c r="N99" s="74"/>
      <ns0:c r="O99" s="74"/>
      <ns0:c r="P99" s="77"/>
      <ns0:c r="Q99" s="74" t="str">
        <ns0:f t="shared" si="21"/>
        <ns0:v>Benchmark local</ns0:v>
      </ns0:c>
      <ns0:c r="R99" s="74" t="s">
        <ns0:v>32</ns0:v>
      </ns0:c>
      <ns0:c r="S99" s="74"/>
      <ns0:c r="T99" s="74"/>
      <ns0:c r="U99" s="74"/>
      <ns0:c r="V99" s="74"/>
      <ns0:c r="W99" s="76" t="n">
        <ns0:f t="shared" si="22"/>
        <ns0:v>0.2</ns0:v>
      </ns0:c>
      <ns0:c r="X99" s="74" t="str">
        <ns0:f t="shared" si="23"/>
        <ns0:v>C · Histórico/secundário</ns0:v>
      </ns0:c>
      <ns0:c r="Y99" s="74" t="str">
        <ns0:f t="shared" si="24"/>
        <ns0:v>Baixa</ns0:v>
      </ns0:c>
      <ns0:c r="Z99" s="74"/>
      <ns0:c r="AA99" s="74" t="str">
        <ns0:f t="shared" si="25"/>
        <ns0:v>Atualizar preço/status</ns0:v>
      </ns0:c>
      <ns0:c r="AB99" s="74" t="str">
        <ns0:f t="shared" si="26"/>
        <ns0:v>Alta</ns0:v>
      </ns0:c>
    </ns0:row>
    <ns0:row r="100">
      <ns0:c r="A100" s="71" t="s">
        <ns0:v>81</ns0:v>
      </ns0:c>
      <ns0:c r="B100" s="71" t="s">
        <ns0:v>89</ns0:v>
      </ns0:c>
      <ns0:c r="C100" s="71">
        <ns0:v>4</ns0:v>
      </ns0:c>
      <ns0:c r="D100" s="71" t="s">
        <ns0:v>42</ns0:v>
      </ns0:c>
      <ns0:c r="E100" s="71">
        <ns0:v>4</ns0:v>
      </ns0:c>
      <ns0:c r="F100" s="72">
        <ns0:v>65</ns0:v>
      </ns0:c>
      <ns0:c r="G100" s="72">
        <ns0:v>15</ns0:v>
      </ns0:c>
      <ns0:c r="H100" s="72">
        <ns0:v>80</ns0:v>
      </ns0:c>
      <ns0:c r="I100" s="73">
        <ns0:v>275550</ns0:v>
      </ns0:c>
      <ns0:c r="J100" s="71">
        <ns0:v>2024</ns0:v>
      </ns0:c>
      <ns0:c r="K100" s="73">
        <ns0:v>4239.2307692307704</ns0:v>
      </ns0:c>
      <ns0:c r="L100" s="73">
        <ns0:v>3444.375</ns0:v>
      </ns0:c>
      <ns0:c r="M100" s="74" t="str">
        <ns0:f t="shared" si="20"/>
        <ns0:v>Histórico</ns0:v>
      </ns0:c>
      <ns0:c r="N100" s="74"/>
      <ns0:c r="O100" s="74"/>
      <ns0:c r="P100" s="77"/>
      <ns0:c r="Q100" s="74" t="str">
        <ns0:f t="shared" si="21"/>
        <ns0:v>Benchmark local</ns0:v>
      </ns0:c>
      <ns0:c r="R100" s="74" t="s">
        <ns0:v>32</ns0:v>
      </ns0:c>
      <ns0:c r="S100" s="74"/>
      <ns0:c r="T100" s="74"/>
      <ns0:c r="U100" s="74"/>
      <ns0:c r="V100" s="74"/>
      <ns0:c r="W100" s="76" t="n">
        <ns0:f t="shared" si="22"/>
        <ns0:v>0.2</ns0:v>
      </ns0:c>
      <ns0:c r="X100" s="74" t="str">
        <ns0:f t="shared" si="23"/>
        <ns0:v>C · Histórico/secundário</ns0:v>
      </ns0:c>
      <ns0:c r="Y100" s="74" t="str">
        <ns0:f t="shared" si="24"/>
        <ns0:v>Baixa</ns0:v>
      </ns0:c>
      <ns0:c r="Z100" s="74"/>
      <ns0:c r="AA100" s="74" t="str">
        <ns0:f t="shared" si="25"/>
        <ns0:v>Atualizar preço/status</ns0:v>
      </ns0:c>
      <ns0:c r="AB100" s="74" t="str">
        <ns0:f t="shared" si="26"/>
        <ns0:v>Alta</ns0:v>
      </ns0:c>
    </ns0:row>
    <ns0:row r="101">
      <ns0:c r="A101" s="71" t="s">
        <ns0:v>81</ns0:v>
      </ns0:c>
      <ns0:c r="B101" s="71" t="s">
        <ns0:v>102</ns0:v>
      </ns0:c>
      <ns0:c r="C101" s="71">
        <ns0:v>4</ns0:v>
      </ns0:c>
      <ns0:c r="D101" s="71" t="s">
        <ns0:v>64</ns0:v>
      </ns0:c>
      <ns0:c r="E101" s="71">
        <ns0:v>1</ns0:v>
      </ns0:c>
      <ns0:c r="F101" s="72">
        <ns0:v>126</ns0:v>
      </ns0:c>
      <ns0:c r="G101" s="72">
        <ns0:v>29</ns0:v>
      </ns0:c>
      <ns0:c r="H101" s="72">
        <ns0:v>155</ns0:v>
      </ns0:c>
      <ns0:c r="I101" s="73">
        <ns0:v>495000</ns0:v>
      </ns0:c>
      <ns0:c r="J101" s="71">
        <ns0:v>2024</ns0:v>
      </ns0:c>
      <ns0:c r="K101" s="73">
        <ns0:v>3928.571428571428</ns0:v>
      </ns0:c>
      <ns0:c r="L101" s="73">
        <ns0:v>3193.5483870967741</ns0:v>
      </ns0:c>
      <ns0:c r="M101" s="74" t="str">
        <ns0:f t="shared" si="20"/>
        <ns0:v>Histórico</ns0:v>
      </ns0:c>
      <ns0:c r="N101" s="74"/>
      <ns0:c r="O101" s="74"/>
      <ns0:c r="P101" s="77"/>
      <ns0:c r="Q101" s="74" t="str">
        <ns0:f t="shared" si="21"/>
        <ns0:v>Benchmark local</ns0:v>
      </ns0:c>
      <ns0:c r="R101" s="74" t="s">
        <ns0:v>32</ns0:v>
      </ns0:c>
      <ns0:c r="S101" s="74"/>
      <ns0:c r="T101" s="74"/>
      <ns0:c r="U101" s="74"/>
      <ns0:c r="V101" s="74"/>
      <ns0:c r="W101" s="76" t="n">
        <ns0:f t="shared" si="22"/>
        <ns0:v>0.2</ns0:v>
      </ns0:c>
      <ns0:c r="X101" s="74" t="str">
        <ns0:f t="shared" si="23"/>
        <ns0:v>C · Histórico/secundário</ns0:v>
      </ns0:c>
      <ns0:c r="Y101" s="74" t="str">
        <ns0:f t="shared" si="24"/>
        <ns0:v>Baixa</ns0:v>
      </ns0:c>
      <ns0:c r="Z101" s="74"/>
      <ns0:c r="AA101" s="74" t="str">
        <ns0:f t="shared" si="25"/>
        <ns0:v>Atualizar preço/status</ns0:v>
      </ns0:c>
      <ns0:c r="AB101" s="74" t="str">
        <ns0:f t="shared" si="26"/>
        <ns0:v>Alta</ns0:v>
      </ns0:c>
    </ns0:row>
    <ns0:row r="102">
      <ns0:c r="A102" s="71" t="s">
        <ns0:v>81</ns0:v>
      </ns0:c>
      <ns0:c r="B102" s="71" t="s">
        <ns0:v>106</ns0:v>
      </ns0:c>
      <ns0:c r="C102" s="71">
        <ns0:v>5</ns0:v>
      </ns0:c>
      <ns0:c r="D102" s="71" t="s">
        <ns0:v>64</ns0:v>
      </ns0:c>
      <ns0:c r="E102" s="71">
        <ns0:v>3</ns0:v>
      </ns0:c>
      <ns0:c r="F102" s="72">
        <ns0:v>130</ns0:v>
      </ns0:c>
      <ns0:c r="G102" s="72">
        <ns0:v>28</ns0:v>
      </ns0:c>
      <ns0:c r="H102" s="72">
        <ns0:v>158</ns0:v>
      </ns0:c>
      <ns0:c r="I102" s="73">
        <ns0:v>509850</ns0:v>
      </ns0:c>
      <ns0:c r="J102" s="71">
        <ns0:v>2024</ns0:v>
      </ns0:c>
      <ns0:c r="K102" s="73">
        <ns0:v>3921.9230769230771</ns0:v>
      </ns0:c>
      <ns0:c r="L102" s="73">
        <ns0:v>3226.8987341772149</ns0:v>
      </ns0:c>
      <ns0:c r="M102" s="74" t="str">
        <ns0:f t="shared" si="20"/>
        <ns0:v>Histórico</ns0:v>
      </ns0:c>
      <ns0:c r="N102" s="74"/>
      <ns0:c r="O102" s="74"/>
      <ns0:c r="P102" s="77"/>
      <ns0:c r="Q102" s="74" t="str">
        <ns0:f t="shared" si="21"/>
        <ns0:v>Benchmark local</ns0:v>
      </ns0:c>
      <ns0:c r="R102" s="74" t="s">
        <ns0:v>32</ns0:v>
      </ns0:c>
      <ns0:c r="S102" s="74"/>
      <ns0:c r="T102" s="74"/>
      <ns0:c r="U102" s="74"/>
      <ns0:c r="V102" s="74"/>
      <ns0:c r="W102" s="76" t="n">
        <ns0:f t="shared" si="22"/>
        <ns0:v>0.2</ns0:v>
      </ns0:c>
      <ns0:c r="X102" s="74" t="str">
        <ns0:f t="shared" si="23"/>
        <ns0:v>C · Histórico/secundário</ns0:v>
      </ns0:c>
      <ns0:c r="Y102" s="74" t="str">
        <ns0:f t="shared" si="24"/>
        <ns0:v>Baixa</ns0:v>
      </ns0:c>
      <ns0:c r="Z102" s="74"/>
      <ns0:c r="AA102" s="74" t="str">
        <ns0:f t="shared" si="25"/>
        <ns0:v>Atualizar preço/status</ns0:v>
      </ns0:c>
      <ns0:c r="AB102" s="74" t="str">
        <ns0:f t="shared" si="26"/>
        <ns0:v>Alta</ns0:v>
      </ns0:c>
    </ns0:row>
    <ns0:row r="103">
      <ns0:c r="A103" s="71" t="s">
        <ns0:v>81</ns0:v>
      </ns0:c>
      <ns0:c r="B103" s="71" t="s">
        <ns0:v>107</ns0:v>
      </ns0:c>
      <ns0:c r="C103" s="71">
        <ns0:v>5</ns0:v>
      </ns0:c>
      <ns0:c r="D103" s="71" t="s">
        <ns0:v>42</ns0:v>
      </ns0:c>
      <ns0:c r="E103" s="71">
        <ns0:v>4</ns0:v>
      </ns0:c>
      <ns0:c r="F103" s="72">
        <ns0:v>65</ns0:v>
      </ns0:c>
      <ns0:c r="G103" s="72">
        <ns0:v>15</ns0:v>
      </ns0:c>
      <ns0:c r="H103" s="72">
        <ns0:v>80</ns0:v>
      </ns0:c>
      <ns0:c r="I103" s="73">
        <ns0:v>277200</ns0:v>
      </ns0:c>
      <ns0:c r="J103" s="71">
        <ns0:v>2024</ns0:v>
      </ns0:c>
      <ns0:c r="K103" s="73">
        <ns0:v>4264.6153846153848</ns0:v>
      </ns0:c>
      <ns0:c r="L103" s="73">
        <ns0:v>3465</ns0:v>
      </ns0:c>
      <ns0:c r="M103" s="74" t="str">
        <ns0:f t="shared" si="20"/>
        <ns0:v>Histórico</ns0:v>
      </ns0:c>
      <ns0:c r="N103" s="74"/>
      <ns0:c r="O103" s="74"/>
      <ns0:c r="P103" s="77"/>
      <ns0:c r="Q103" s="74" t="str">
        <ns0:f t="shared" si="21"/>
        <ns0:v>Benchmark local</ns0:v>
      </ns0:c>
      <ns0:c r="R103" s="74" t="s">
        <ns0:v>32</ns0:v>
      </ns0:c>
      <ns0:c r="S103" s="74"/>
      <ns0:c r="T103" s="74"/>
      <ns0:c r="U103" s="74"/>
      <ns0:c r="V103" s="74"/>
      <ns0:c r="W103" s="76" t="n">
        <ns0:f t="shared" si="22"/>
        <ns0:v>0.2</ns0:v>
      </ns0:c>
      <ns0:c r="X103" s="74" t="str">
        <ns0:f t="shared" si="23"/>
        <ns0:v>C · Histórico/secundário</ns0:v>
      </ns0:c>
      <ns0:c r="Y103" s="74" t="str">
        <ns0:f t="shared" si="24"/>
        <ns0:v>Baixa</ns0:v>
      </ns0:c>
      <ns0:c r="Z103" s="74"/>
      <ns0:c r="AA103" s="74" t="str">
        <ns0:f t="shared" si="25"/>
        <ns0:v>Atualizar preço/status</ns0:v>
      </ns0:c>
      <ns0:c r="AB103" s="74" t="str">
        <ns0:f t="shared" si="26"/>
        <ns0:v>Alta</ns0:v>
      </ns0:c>
    </ns0:row>
    <ns0:row r="104">
      <ns0:c r="A104" s="71" t="s">
        <ns0:v>81</ns0:v>
      </ns0:c>
      <ns0:c r="B104" s="71" t="s">
        <ns0:v>108</ns0:v>
      </ns0:c>
      <ns0:c r="C104" s="71">
        <ns0:v>5</ns0:v>
      </ns0:c>
      <ns0:c r="D104" s="71" t="s">
        <ns0:v>64</ns0:v>
      </ns0:c>
      <ns0:c r="E104" s="71">
        <ns0:v>1</ns0:v>
      </ns0:c>
      <ns0:c r="F104" s="72">
        <ns0:v>126</ns0:v>
      </ns0:c>
      <ns0:c r="G104" s="72">
        <ns0:v>29</ns0:v>
      </ns0:c>
      <ns0:c r="H104" s="72">
        <ns0:v>155</ns0:v>
      </ns0:c>
      <ns0:c r="I104" s="73">
        <ns0:v>496650</ns0:v>
      </ns0:c>
      <ns0:c r="J104" s="71">
        <ns0:v>2024</ns0:v>
      </ns0:c>
      <ns0:c r="K104" s="73">
        <ns0:v>3941.666666666667</ns0:v>
      </ns0:c>
      <ns0:c r="L104" s="73">
        <ns0:v>3204.1935483870971</ns0:v>
      </ns0:c>
      <ns0:c r="M104" s="74" t="str">
        <ns0:f t="shared" si="20"/>
        <ns0:v>Histórico</ns0:v>
      </ns0:c>
      <ns0:c r="N104" s="74"/>
      <ns0:c r="O104" s="74"/>
      <ns0:c r="P104" s="77"/>
      <ns0:c r="Q104" s="74" t="str">
        <ns0:f t="shared" si="21"/>
        <ns0:v>Benchmark local</ns0:v>
      </ns0:c>
      <ns0:c r="R104" s="74" t="s">
        <ns0:v>32</ns0:v>
      </ns0:c>
      <ns0:c r="S104" s="74"/>
      <ns0:c r="T104" s="74"/>
      <ns0:c r="U104" s="74"/>
      <ns0:c r="V104" s="74"/>
      <ns0:c r="W104" s="76" t="n">
        <ns0:f t="shared" si="22"/>
        <ns0:v>0.2</ns0:v>
      </ns0:c>
      <ns0:c r="X104" s="74" t="str">
        <ns0:f t="shared" si="23"/>
        <ns0:v>C · Histórico/secundário</ns0:v>
      </ns0:c>
      <ns0:c r="Y104" s="74" t="str">
        <ns0:f t="shared" si="24"/>
        <ns0:v>Baixa</ns0:v>
      </ns0:c>
      <ns0:c r="Z104" s="74"/>
      <ns0:c r="AA104" s="74" t="str">
        <ns0:f t="shared" si="25"/>
        <ns0:v>Atualizar preço/status</ns0:v>
      </ns0:c>
      <ns0:c r="AB104" s="74" t="str">
        <ns0:f t="shared" si="26"/>
        <ns0:v>Alta</ns0:v>
      </ns0:c>
    </ns0:row>
    <ns0:row r="105">
      <ns0:c r="A105" s="71" t="s">
        <ns0:v>81</ns0:v>
      </ns0:c>
      <ns0:c r="B105" s="71" t="s">
        <ns0:v>111</ns0:v>
      </ns0:c>
      <ns0:c r="C105" s="71">
        <ns0:v>6</ns0:v>
      </ns0:c>
      <ns0:c r="D105" s="71" t="s">
        <ns0:v>64</ns0:v>
      </ns0:c>
      <ns0:c r="E105" s="71">
        <ns0:v>3</ns0:v>
      </ns0:c>
      <ns0:c r="F105" s="72">
        <ns0:v>130</ns0:v>
      </ns0:c>
      <ns0:c r="G105" s="72">
        <ns0:v>28</ns0:v>
      </ns0:c>
      <ns0:c r="H105" s="72">
        <ns0:v>158</ns0:v>
      </ns0:c>
      <ns0:c r="I105" s="73">
        <ns0:v>520850</ns0:v>
      </ns0:c>
      <ns0:c r="J105" s="71">
        <ns0:v>2024</ns0:v>
      </ns0:c>
      <ns0:c r="K105" s="73">
        <ns0:v>4006.538461538461</ns0:v>
      </ns0:c>
      <ns0:c r="L105" s="73">
        <ns0:v>3296.5189873417721</ns0:v>
      </ns0:c>
      <ns0:c r="M105" s="74" t="str">
        <ns0:f t="shared" si="20"/>
        <ns0:v>Histórico</ns0:v>
      </ns0:c>
      <ns0:c r="N105" s="74"/>
      <ns0:c r="O105" s="74"/>
      <ns0:c r="P105" s="77"/>
      <ns0:c r="Q105" s="74" t="str">
        <ns0:f t="shared" si="21"/>
        <ns0:v>Benchmark local</ns0:v>
      </ns0:c>
      <ns0:c r="R105" s="74" t="s">
        <ns0:v>32</ns0:v>
      </ns0:c>
      <ns0:c r="S105" s="74"/>
      <ns0:c r="T105" s="74"/>
      <ns0:c r="U105" s="74"/>
      <ns0:c r="V105" s="74"/>
      <ns0:c r="W105" s="76" t="n">
        <ns0:f t="shared" si="22"/>
        <ns0:v>0.2</ns0:v>
      </ns0:c>
      <ns0:c r="X105" s="74" t="str">
        <ns0:f t="shared" si="23"/>
        <ns0:v>C · Histórico/secundário</ns0:v>
      </ns0:c>
      <ns0:c r="Y105" s="74" t="str">
        <ns0:f t="shared" si="24"/>
        <ns0:v>Baixa</ns0:v>
      </ns0:c>
      <ns0:c r="Z105" s="74"/>
      <ns0:c r="AA105" s="74" t="str">
        <ns0:f t="shared" si="25"/>
        <ns0:v>Atualizar preço/status</ns0:v>
      </ns0:c>
      <ns0:c r="AB105" s="74" t="str">
        <ns0:f t="shared" si="26"/>
        <ns0:v>Alta</ns0:v>
      </ns0:c>
    </ns0:row>
    <ns0:row r="106">
      <ns0:c r="A106" s="71" t="s">
        <ns0:v>81</ns0:v>
      </ns0:c>
      <ns0:c r="B106" s="71" t="s">
        <ns0:v>112</ns0:v>
      </ns0:c>
      <ns0:c r="C106" s="71">
        <ns0:v>6</ns0:v>
      </ns0:c>
      <ns0:c r="D106" s="71" t="s">
        <ns0:v>42</ns0:v>
      </ns0:c>
      <ns0:c r="E106" s="71">
        <ns0:v>4</ns0:v>
      </ns0:c>
      <ns0:c r="F106" s="72">
        <ns0:v>65</ns0:v>
      </ns0:c>
      <ns0:c r="G106" s="72">
        <ns0:v>15</ns0:v>
      </ns0:c>
      <ns0:c r="H106" s="72">
        <ns0:v>80</ns0:v>
      </ns0:c>
      <ns0:c r="I106" s="73">
        <ns0:v>288200</ns0:v>
      </ns0:c>
      <ns0:c r="J106" s="71">
        <ns0:v>2024</ns0:v>
      </ns0:c>
      <ns0:c r="K106" s="73">
        <ns0:v>4433.8461538461543</ns0:v>
      </ns0:c>
      <ns0:c r="L106" s="73">
        <ns0:v>3602.5</ns0:v>
      </ns0:c>
      <ns0:c r="M106" s="74" t="str">
        <ns0:f t="shared" si="20"/>
        <ns0:v>Histórico</ns0:v>
      </ns0:c>
      <ns0:c r="N106" s="74"/>
      <ns0:c r="O106" s="74"/>
      <ns0:c r="P106" s="77"/>
      <ns0:c r="Q106" s="74" t="str">
        <ns0:f t="shared" si="21"/>
        <ns0:v>Benchmark local</ns0:v>
      </ns0:c>
      <ns0:c r="R106" s="74" t="s">
        <ns0:v>32</ns0:v>
      </ns0:c>
      <ns0:c r="S106" s="74"/>
      <ns0:c r="T106" s="74"/>
      <ns0:c r="U106" s="74"/>
      <ns0:c r="V106" s="74"/>
      <ns0:c r="W106" s="76" t="n">
        <ns0:f t="shared" si="22"/>
        <ns0:v>0.2</ns0:v>
      </ns0:c>
      <ns0:c r="X106" s="74" t="str">
        <ns0:f t="shared" si="23"/>
        <ns0:v>C · Histórico/secundário</ns0:v>
      </ns0:c>
      <ns0:c r="Y106" s="74" t="str">
        <ns0:f t="shared" si="24"/>
        <ns0:v>Baixa</ns0:v>
      </ns0:c>
      <ns0:c r="Z106" s="74"/>
      <ns0:c r="AA106" s="74" t="str">
        <ns0:f t="shared" si="25"/>
        <ns0:v>Atualizar preço/status</ns0:v>
      </ns0:c>
      <ns0:c r="AB106" s="74" t="str">
        <ns0:f t="shared" si="26"/>
        <ns0:v>Alta</ns0:v>
      </ns0:c>
    </ns0:row>
    <ns0:row r="107">
      <ns0:c r="A107" s="71" t="s">
        <ns0:v>81</ns0:v>
      </ns0:c>
      <ns0:c r="B107" s="71" t="s">
        <ns0:v>113</ns0:v>
      </ns0:c>
      <ns0:c r="C107" s="71">
        <ns0:v>6</ns0:v>
      </ns0:c>
      <ns0:c r="D107" s="71" t="s">
        <ns0:v>64</ns0:v>
      </ns0:c>
      <ns0:c r="E107" s="71">
        <ns0:v>1</ns0:v>
      </ns0:c>
      <ns0:c r="F107" s="72">
        <ns0:v>126</ns0:v>
      </ns0:c>
      <ns0:c r="G107" s="72">
        <ns0:v>29</ns0:v>
      </ns0:c>
      <ns0:c r="H107" s="72">
        <ns0:v>155</ns0:v>
      </ns0:c>
      <ns0:c r="I107" s="73">
        <ns0:v>507650</ns0:v>
      </ns0:c>
      <ns0:c r="J107" s="71">
        <ns0:v>2024</ns0:v>
      </ns0:c>
      <ns0:c r="K107" s="73">
        <ns0:v>4028.968253968254</ns0:v>
      </ns0:c>
      <ns0:c r="L107" s="73">
        <ns0:v>3275.16129032258</ns0:v>
      </ns0:c>
      <ns0:c r="M107" s="74" t="str">
        <ns0:f t="shared" si="20"/>
        <ns0:v>Histórico</ns0:v>
      </ns0:c>
      <ns0:c r="N107" s="74"/>
      <ns0:c r="O107" s="74"/>
      <ns0:c r="P107" s="77"/>
      <ns0:c r="Q107" s="74" t="str">
        <ns0:f t="shared" si="21"/>
        <ns0:v>Benchmark local</ns0:v>
      </ns0:c>
      <ns0:c r="R107" s="74" t="s">
        <ns0:v>32</ns0:v>
      </ns0:c>
      <ns0:c r="S107" s="74"/>
      <ns0:c r="T107" s="74"/>
      <ns0:c r="U107" s="74"/>
      <ns0:c r="V107" s="74"/>
      <ns0:c r="W107" s="76" t="n">
        <ns0:f t="shared" si="22"/>
        <ns0:v>0.2</ns0:v>
      </ns0:c>
      <ns0:c r="X107" s="74" t="str">
        <ns0:f t="shared" si="23"/>
        <ns0:v>C · Histórico/secundário</ns0:v>
      </ns0:c>
      <ns0:c r="Y107" s="74" t="str">
        <ns0:f t="shared" si="24"/>
        <ns0:v>Baixa</ns0:v>
      </ns0:c>
      <ns0:c r="Z107" s="74"/>
      <ns0:c r="AA107" s="74" t="str">
        <ns0:f t="shared" si="25"/>
        <ns0:v>Atualizar preço/status</ns0:v>
      </ns0:c>
      <ns0:c r="AB107" s="74" t="str">
        <ns0:f t="shared" si="26"/>
        <ns0:v>Alta</ns0:v>
      </ns0:c>
    </ns0:row>
    <ns0:row r="108">
      <ns0:c r="A108" s="71" t="s">
        <ns0:v>116</ns0:v>
      </ns0:c>
      <ns0:c r="B108" s="71" t="s">
        <ns0:v>117</ns0:v>
      </ns0:c>
      <ns0:c r="C108" s="71">
        <ns0:v>1</ns0:v>
      </ns0:c>
      <ns0:c r="D108" s="71" t="s">
        <ns0:v>42</ns0:v>
      </ns0:c>
      <ns0:c r="E108" s="71">
        <ns0:v>1</ns0:v>
      </ns0:c>
      <ns0:c r="F108" s="72">
        <ns0:v>99.74</ns0:v>
      </ns0:c>
      <ns0:c r="G108" s="72">
        <ns0:v>43.37</ns0:v>
      </ns0:c>
      <ns0:c r="H108" s="72">
        <ns0:v>143.11000000000001</ns0:v>
      </ns0:c>
      <ns0:c r="I108" s="73" t="n">
        <ns0:v>545000</ns0:v>
      </ns0:c>
      <ns0:c r="J108" s="71">
        <ns0:v>2026</ns0:v>
      </ns0:c>
      <ns0:c r="K108" s="73" t="n">
        <ns0:v>5464.206938038901</ns0:v>
      </ns0:c>
      <ns0:c r="L108" s="73" t="n">
        <ns0:v>3808.259380895814</ns0:v>
      </ns0:c>
      <ns0:c r="M108" s="74" t="str">
        <ns0:f t="shared" si="20"/>
        <ns0:v>Projeto</ns0:v>
      </ns0:c>
      <ns0:c r="N108" s="74"/>
      <ns0:c r="O108" s="74"/>
      <ns0:c r="P108" s="77"/>
      <ns0:c r="Q108" s="74" t="str">
        <ns0:f t="shared" si="21"/>
        <ns0:v>Projeto</ns0:v>
      </ns0:c>
      <ns0:c r="R108" s="74" t="s">
        <ns0:v>32</ns0:v>
      </ns0:c>
      <ns0:c r="S108" s="74"/>
      <ns0:c r="T108" s="74"/>
      <ns0:c r="U108" s="74"/>
      <ns0:c r="V108" s="74"/>
      <ns0:c r="W108" s="76">
        <ns0:f t="shared" si="22"/>
        <ns0:v>1</ns0:v>
      </ns0:c>
      <ns0:c r="X108" s="74" t="str">
        <ns0:f t="shared" si="23"/>
        <ns0:v>Projeto</ns0:v>
      </ns0:c>
      <ns0:c r="Y108" s="74" t="str">
        <ns0:f t="shared" si="24"/>
        <ns0:v>N/A</ns0:v>
      </ns0:c>
      <ns0:c r="Z108" s="74"/>
      <ns0:c r="AA108" s="74" t="str">
        <ns0:f t="shared" si="25"/>
        <ns0:v>Manter</ns0:v>
      </ns0:c>
      <ns0:c r="AB108" s="74" t="str">
        <ns0:f t="shared" si="26"/>
      </ns0:c>
      <ns0:c r="AC108" s="73" t="n">
        <ns0:v>545000</ns0:v>
      </ns0:c>
      <ns0:c r="AD108" s="74" t="inlineStr">
        <ns0:is>
          <ns0:t>2026-09</ns0:t>
        </ns0:is>
      </ns0:c>
      <ns0:c r="AE108" s="74" t="inlineStr">
        <ns0:is>
          <ns0:t>Média</ns0:t>
        </ns0:is>
      </ns0:c>
      <ns0:c r="AF108" s="74" t="inlineStr">
        <ns0:is>
          <ns0:t>Preço base tecnicamente alinhado com a concorrência interna e o posicionamento da fração.</ns0:t>
        </ns0:is>
      </ns0:c>
      <ns0:c r="AG108" s="74" t="inlineStr">
        <ns0:is>
          <ns0:t>Premium</ns0:t>
        </ns0:is>
      </ns0:c>
    </ns0:row>
    <ns0:row r="109">
      <ns0:c r="A109" s="71" t="s">
        <ns0:v>116</ns0:v>
      </ns0:c>
      <ns0:c r="B109" s="71" t="s">
        <ns0:v>118</ns0:v>
      </ns0:c>
      <ns0:c r="C109" s="71">
        <ns0:v>1</ns0:v>
      </ns0:c>
      <ns0:c r="D109" s="71" t="s">
        <ns0:v>31</ns0:v>
      </ns0:c>
      <ns0:c r="E109" s="71">
        <ns0:v>2</ns0:v>
      </ns0:c>
      <ns0:c r="F109" s="72">
        <ns0:v>123.72</ns0:v>
      </ns0:c>
      <ns0:c r="G109" s="72">
        <ns0:v>41.1</ns0:v>
      </ns0:c>
      <ns0:c r="H109" s="72">
        <ns0:v>164.82</ns0:v>
      </ns0:c>
      <ns0:c r="I109" s="73" t="n">
        <ns0:v>600000</ns0:v>
      </ns0:c>
      <ns0:c r="J109" s="71">
        <ns0:v>2026</ns0:v>
      </ns0:c>
      <ns0:c r="K109" s="73" t="n">
        <ns0:v>4849.660523763337</ns0:v>
      </ns0:c>
      <ns0:c r="L109" s="73" t="n">
        <ns0:v>3640.334910811795</ns0:v>
      </ns0:c>
      <ns0:c r="M109" s="74" t="str">
        <ns0:f t="shared" si="20"/>
        <ns0:v>Projeto</ns0:v>
      </ns0:c>
      <ns0:c r="N109" s="74"/>
      <ns0:c r="O109" s="74"/>
      <ns0:c r="P109" s="77"/>
      <ns0:c r="Q109" s="74" t="str">
        <ns0:f t="shared" si="21"/>
        <ns0:v>Projeto</ns0:v>
      </ns0:c>
      <ns0:c r="R109" s="74" t="s">
        <ns0:v>32</ns0:v>
      </ns0:c>
      <ns0:c r="S109" s="74"/>
      <ns0:c r="T109" s="74"/>
      <ns0:c r="U109" s="74"/>
      <ns0:c r="V109" s="74"/>
      <ns0:c r="W109" s="76">
        <ns0:f t="shared" si="22"/>
        <ns0:v>1</ns0:v>
      </ns0:c>
      <ns0:c r="X109" s="74" t="str">
        <ns0:f t="shared" si="23"/>
        <ns0:v>Projeto</ns0:v>
      </ns0:c>
      <ns0:c r="Y109" s="74" t="str">
        <ns0:f t="shared" si="24"/>
        <ns0:v>N/A</ns0:v>
      </ns0:c>
      <ns0:c r="Z109" s="74"/>
      <ns0:c r="AA109" s="74" t="str">
        <ns0:f t="shared" si="25"/>
        <ns0:v>Manter</ns0:v>
      </ns0:c>
      <ns0:c r="AB109" s="74" t="str">
        <ns0:f t="shared" si="26"/>
      </ns0:c>
      <ns0:c r="AC109" s="73" t="n">
        <ns0:v>615000</ns0:v>
      </ns0:c>
      <ns0:c r="AD109" s="74" t="inlineStr">
        <ns0:is>
          <ns0:t>2026-09</ns0:t>
        </ns0:is>
      </ns0:c>
      <ns0:c r="AE109" s="74" t="inlineStr">
        <ns0:is>
          <ns0:t>Alta</ns0:t>
        </ns0:is>
      </ns0:c>
      <ns0:c r="AF109" s="74" t="inlineStr">
        <ns0:is>
          <ns0:t>Correção moderada para reforçar a progressão da coluna T2 Sul/Oeste entre pisos.</ns0:t>
        </ns0:is>
      </ns0:c>
      <ns0:c r="AG109" s="74" t="inlineStr">
        <ns0:is>
          <ns0:t>Standard</ns0:t>
        </ns0:is>
      </ns0:c>
    </ns0:row>
    <ns0:row r="110">
      <ns0:c r="A110" s="71" t="s">
        <ns0:v>116</ns0:v>
      </ns0:c>
      <ns0:c r="B110" s="71" t="s">
        <ns0:v>119</ns0:v>
      </ns0:c>
      <ns0:c r="C110" s="71">
        <ns0:v>1</ns0:v>
      </ns0:c>
      <ns0:c r="D110" s="71" t="s">
        <ns0:v>42</ns0:v>
      </ns0:c>
      <ns0:c r="E110" s="71">
        <ns0:v>4</ns0:v>
      </ns0:c>
      <ns0:c r="F110" s="72">
        <ns0:v>77.56</ns0:v>
      </ns0:c>
      <ns0:c r="G110" s="72">
        <ns0:v>16</ns0:v>
      </ns0:c>
      <ns0:c r="H110" s="72">
        <ns0:v>93.56</ns0:v>
      </ns0:c>
      <ns0:c r="I110" s="73" t="n">
        <ns0:v>390000</ns0:v>
      </ns0:c>
      <ns0:c r="J110" s="71">
        <ns0:v>2026</ns0:v>
      </ns0:c>
      <ns0:c r="K110" s="73" t="n">
        <ns0:v>5028.365136668385</ns0:v>
      </ns0:c>
      <ns0:c r="L110" s="73" t="n">
        <ns0:v>4168.448054724241</ns0:v>
      </ns0:c>
      <ns0:c r="M110" s="74" t="str">
        <ns0:f t="shared" si="20"/>
        <ns0:v>Projeto</ns0:v>
      </ns0:c>
      <ns0:c r="N110" s="74"/>
      <ns0:c r="O110" s="74"/>
      <ns0:c r="P110" s="77"/>
      <ns0:c r="Q110" s="74" t="str">
        <ns0:f t="shared" si="21"/>
        <ns0:v>Projeto</ns0:v>
      </ns0:c>
      <ns0:c r="R110" s="74" t="s">
        <ns0:v>32</ns0:v>
      </ns0:c>
      <ns0:c r="S110" s="74"/>
      <ns0:c r="T110" s="74"/>
      <ns0:c r="U110" s="74"/>
      <ns0:c r="V110" s="74"/>
      <ns0:c r="W110" s="76">
        <ns0:f t="shared" si="22"/>
        <ns0:v>1</ns0:v>
      </ns0:c>
      <ns0:c r="X110" s="74" t="str">
        <ns0:f t="shared" si="23"/>
        <ns0:v>Projeto</ns0:v>
      </ns0:c>
      <ns0:c r="Y110" s="74" t="str">
        <ns0:f t="shared" si="24"/>
        <ns0:v>N/A</ns0:v>
      </ns0:c>
      <ns0:c r="Z110" s="74"/>
      <ns0:c r="AA110" s="74" t="str">
        <ns0:f t="shared" si="25"/>
        <ns0:v>Manter</ns0:v>
      </ns0:c>
      <ns0:c r="AB110" s="74" t="str">
        <ns0:f t="shared" si="26"/>
      </ns0:c>
      <ns0:c r="AC110" s="73" t="n">
        <ns0:v>390000</ns0:v>
      </ns0:c>
      <ns0:c r="AD110" s="74" t="inlineStr">
        <ns0:is>
          <ns0:t>2026-09</ns0:t>
        </ns0:is>
      </ns0:c>
      <ns0:c r="AE110" s="74" t="inlineStr">
        <ns0:is>
          <ns0:t>Alta</ns0:t>
        </ns0:is>
      </ns0:c>
      <ns0:c r="AF110" s="74" t="inlineStr">
        <ns0:is>
          <ns0:t>Preço base tecnicamente alinhado com a concorrência interna e o posicionamento da fração.</ns0:t>
        </ns0:is>
      </ns0:c>
      <ns0:c r="AG110" s="74" t="inlineStr">
        <ns0:is>
          <ns0:t>Standard</ns0:t>
        </ns0:is>
      </ns0:c>
    </ns0:row>
    <ns0:row r="111">
      <ns0:c r="A111" s="71" t="s">
        <ns0:v>116</ns0:v>
      </ns0:c>
      <ns0:c r="B111" s="71" t="s">
        <ns0:v>120</ns0:v>
      </ns0:c>
      <ns0:c r="C111" s="71">
        <ns0:v>1</ns0:v>
      </ns0:c>
      <ns0:c r="D111" s="71" t="s">
        <ns0:v>121</ns0:v>
      </ns0:c>
      <ns0:c r="E111" s="71">
        <ns0:v>4</ns0:v>
      </ns0:c>
      <ns0:c r="F111" s="72">
        <ns0:v>102.52</ns0:v>
      </ns0:c>
      <ns0:c r="G111" s="72">
        <ns0:v>15.48</ns0:v>
      </ns0:c>
      <ns0:c r="H111" s="72">
        <ns0:v>118</ns0:v>
      </ns0:c>
      <ns0:c r="I111" s="73" t="n">
        <ns0:v>475000</ns0:v>
      </ns0:c>
      <ns0:c r="J111" s="71">
        <ns0:v>2026</ns0:v>
      </ns0:c>
      <ns0:c r="K111" s="73" t="n">
        <ns0:v>4633.242294186501</ns0:v>
      </ns0:c>
      <ns0:c r="L111" s="73" t="n">
        <ns0:v>4025.423728813559</ns0:v>
      </ns0:c>
      <ns0:c r="M111" s="74" t="str">
        <ns0:f t="shared" si="20"/>
        <ns0:v>Projeto</ns0:v>
      </ns0:c>
      <ns0:c r="N111" s="74"/>
      <ns0:c r="O111" s="74"/>
      <ns0:c r="P111" s="77"/>
      <ns0:c r="Q111" s="74" t="str">
        <ns0:f t="shared" si="21"/>
        <ns0:v>Projeto</ns0:v>
      </ns0:c>
      <ns0:c r="R111" s="74" t="s">
        <ns0:v>32</ns0:v>
      </ns0:c>
      <ns0:c r="S111" s="74"/>
      <ns0:c r="T111" s="74"/>
      <ns0:c r="U111" s="74"/>
      <ns0:c r="V111" s="74"/>
      <ns0:c r="W111" s="76">
        <ns0:f t="shared" si="22"/>
        <ns0:v>1</ns0:v>
      </ns0:c>
      <ns0:c r="X111" s="74" t="str">
        <ns0:f t="shared" si="23"/>
        <ns0:v>Projeto</ns0:v>
      </ns0:c>
      <ns0:c r="Y111" s="74" t="str">
        <ns0:f t="shared" si="24"/>
        <ns0:v>N/A</ns0:v>
      </ns0:c>
      <ns0:c r="Z111" s="74"/>
      <ns0:c r="AA111" s="74" t="str">
        <ns0:f t="shared" si="25"/>
        <ns0:v>Manter</ns0:v>
      </ns0:c>
      <ns0:c r="AB111" s="74" t="str">
        <ns0:f t="shared" si="26"/>
      </ns0:c>
      <ns0:c r="AC111" s="73" t="n">
        <ns0:v>475000</ns0:v>
      </ns0:c>
      <ns0:c r="AD111" s="74" t="inlineStr">
        <ns0:is>
          <ns0:t>2026-09</ns0:t>
        </ns0:is>
      </ns0:c>
      <ns0:c r="AE111" s="74" t="inlineStr">
        <ns0:is>
          <ns0:t>Alta</ns0:t>
        </ns0:is>
      </ns0:c>
      <ns0:c r="AF111" s="74" t="inlineStr">
        <ns0:is>
          <ns0:t>Preço base tecnicamente alinhado com a concorrência interna e o posicionamento da fração.</ns0:t>
        </ns0:is>
      </ns0:c>
      <ns0:c r="AG111" s="74" t="inlineStr">
        <ns0:is>
          <ns0:t>Standard</ns0:t>
        </ns0:is>
      </ns0:c>
    </ns0:row>
    <ns0:row r="112">
      <ns0:c r="A112" s="71" t="s">
        <ns0:v>116</ns0:v>
      </ns0:c>
      <ns0:c r="B112" s="71" t="s">
        <ns0:v>122</ns0:v>
      </ns0:c>
      <ns0:c r="C112" s="71">
        <ns0:v>1</ns0:v>
      </ns0:c>
      <ns0:c r="D112" s="71" t="s">
        <ns0:v>121</ns0:v>
      </ns0:c>
      <ns0:c r="E112" s="71">
        <ns0:v>4</ns0:v>
      </ns0:c>
      <ns0:c r="F112" s="72">
        <ns0:v>97.5</ns0:v>
      </ns0:c>
      <ns0:c r="G112" s="72">
        <ns0:v>15.7</ns0:v>
      </ns0:c>
      <ns0:c r="H112" s="72">
        <ns0:v>113.2</ns0:v>
      </ns0:c>
      <ns0:c r="I112" s="73" t="n">
        <ns0:v>450000</ns0:v>
      </ns0:c>
      <ns0:c r="J112" s="71">
        <ns0:v>2026</ns0:v>
      </ns0:c>
      <ns0:c r="K112" s="73" t="n">
        <ns0:v>4615.384615384615</ns0:v>
      </ns0:c>
      <ns0:c r="L112" s="73" t="n">
        <ns0:v>3975.2650176678444</ns0:v>
      </ns0:c>
      <ns0:c r="M112" s="74" t="str">
        <ns0:f t="shared" si="20"/>
        <ns0:v>Projeto</ns0:v>
      </ns0:c>
      <ns0:c r="N112" s="74"/>
      <ns0:c r="O112" s="74"/>
      <ns0:c r="P112" s="77"/>
      <ns0:c r="Q112" s="74" t="str">
        <ns0:f t="shared" si="21"/>
        <ns0:v>Projeto</ns0:v>
      </ns0:c>
      <ns0:c r="R112" s="74" t="s">
        <ns0:v>32</ns0:v>
      </ns0:c>
      <ns0:c r="S112" s="74"/>
      <ns0:c r="T112" s="74"/>
      <ns0:c r="U112" s="74"/>
      <ns0:c r="V112" s="74"/>
      <ns0:c r="W112" s="76">
        <ns0:f t="shared" si="22"/>
        <ns0:v>1</ns0:v>
      </ns0:c>
      <ns0:c r="X112" s="74" t="str">
        <ns0:f t="shared" si="23"/>
        <ns0:v>Projeto</ns0:v>
      </ns0:c>
      <ns0:c r="Y112" s="74" t="str">
        <ns0:f t="shared" si="24"/>
        <ns0:v>N/A</ns0:v>
      </ns0:c>
      <ns0:c r="Z112" s="74"/>
      <ns0:c r="AA112" s="74" t="str">
        <ns0:f t="shared" si="25"/>
        <ns0:v>Manter</ns0:v>
      </ns0:c>
      <ns0:c r="AB112" s="74" t="str">
        <ns0:f t="shared" si="26"/>
      </ns0:c>
      <ns0:c r="AC112" s="73" t="n">
        <ns0:v>450000</ns0:v>
      </ns0:c>
      <ns0:c r="AD112" s="74" t="inlineStr">
        <ns0:is>
          <ns0:t>2026-09</ns0:t>
        </ns0:is>
      </ns0:c>
      <ns0:c r="AE112" s="74" t="inlineStr">
        <ns0:is>
          <ns0:t>Alta</ns0:t>
        </ns0:is>
      </ns0:c>
      <ns0:c r="AF112" s="74" t="inlineStr">
        <ns0:is>
          <ns0:t>Preço base tecnicamente alinhado com a concorrência interna e o posicionamento da fração.</ns0:t>
        </ns0:is>
      </ns0:c>
      <ns0:c r="AG112" s="74" t="inlineStr">
        <ns0:is>
          <ns0:t>Standard</ns0:t>
        </ns0:is>
      </ns0:c>
    </ns0:row>
    <ns0:row r="113">
      <ns0:c r="A113" s="71" t="s">
        <ns0:v>116</ns0:v>
      </ns0:c>
      <ns0:c r="B113" s="71" t="s">
        <ns0:v>123</ns0:v>
      </ns0:c>
      <ns0:c r="C113" s="71">
        <ns0:v>1</ns0:v>
      </ns0:c>
      <ns0:c r="D113" s="71" t="s">
        <ns0:v>124</ns0:v>
      </ns0:c>
      <ns0:c r="E113" s="71">
        <ns0:v>3</ns0:v>
      </ns0:c>
      <ns0:c r="F113" s="72">
        <ns0:v>131.19999999999999</ns0:v>
      </ns0:c>
      <ns0:c r="G113" s="72">
        <ns0:v>31.68</ns0:v>
      </ns0:c>
      <ns0:c r="H113" s="72">
        <ns0:v>162.88</ns0:v>
      </ns0:c>
      <ns0:c r="I113" s="73" t="n">
        <ns0:v>615000</ns0:v>
      </ns0:c>
      <ns0:c r="J113" s="71">
        <ns0:v>2026</ns0:v>
      </ns0:c>
      <ns0:c r="K113" s="73" t="n">
        <ns0:v>4687.5</ns0:v>
      </ns0:c>
      <ns0:c r="L113" s="73" t="n">
        <ns0:v>3775.785854616896</ns0:v>
      </ns0:c>
      <ns0:c r="M113" s="74" t="str">
        <ns0:f t="shared" si="20"/>
        <ns0:v>Projeto</ns0:v>
      </ns0:c>
      <ns0:c r="N113" s="74"/>
      <ns0:c r="O113" s="74"/>
      <ns0:c r="P113" s="77"/>
      <ns0:c r="Q113" s="74" t="str">
        <ns0:f t="shared" si="21"/>
        <ns0:v>Projeto</ns0:v>
      </ns0:c>
      <ns0:c r="R113" s="74" t="s">
        <ns0:v>32</ns0:v>
      </ns0:c>
      <ns0:c r="S113" s="74"/>
      <ns0:c r="T113" s="74"/>
      <ns0:c r="U113" s="74"/>
      <ns0:c r="V113" s="74"/>
      <ns0:c r="W113" s="76">
        <ns0:f t="shared" si="22"/>
        <ns0:v>1</ns0:v>
      </ns0:c>
      <ns0:c r="X113" s="74" t="str">
        <ns0:f t="shared" si="23"/>
        <ns0:v>Projeto</ns0:v>
      </ns0:c>
      <ns0:c r="Y113" s="74" t="str">
        <ns0:f t="shared" si="24"/>
        <ns0:v>N/A</ns0:v>
      </ns0:c>
      <ns0:c r="Z113" s="74"/>
      <ns0:c r="AA113" s="74" t="str">
        <ns0:f t="shared" si="25"/>
        <ns0:v>Manter</ns0:v>
      </ns0:c>
      <ns0:c r="AB113" s="74" t="str">
        <ns0:f t="shared" si="26"/>
      </ns0:c>
      <ns0:c r="AC113" s="73" t="n">
        <ns0:v>625000</ns0:v>
      </ns0:c>
      <ns0:c r="AD113" s="74" t="inlineStr">
        <ns0:is>
          <ns0:t>2026-09</ns0:t>
        </ns0:is>
      </ns0:c>
      <ns0:c r="AE113" s="74" t="inlineStr">
        <ns0:is>
          <ns0:t>Alta</ns0:t>
        </ns0:is>
      </ns0:c>
      <ns0:c r="AF113" s="74" t="inlineStr">
        <ns0:is>
          <ns0:t>T2+1 de área ampla; ajuste contido face aos T2 próximos.</ns0:t>
        </ns0:is>
      </ns0:c>
      <ns0:c r="AG113" s="74" t="inlineStr">
        <ns0:is>
          <ns0:t>Standard</ns0:t>
        </ns0:is>
      </ns0:c>
    </ns0:row>
    <ns0:row r="114">
      <ns0:c r="A114" s="71" t="s">
        <ns0:v>116</ns0:v>
      </ns0:c>
      <ns0:c r="B114" s="71" t="s">
        <ns0:v>125</ns0:v>
      </ns0:c>
      <ns0:c r="C114" s="71">
        <ns0:v>1</ns0:v>
      </ns0:c>
      <ns0:c r="D114" s="71" t="s">
        <ns0:v>31</ns0:v>
      </ns0:c>
      <ns0:c r="E114" s="71">
        <ns0:v>3</ns0:v>
      </ns0:c>
      <ns0:c r="F114" s="72">
        <ns0:v>105.04</ns0:v>
      </ns0:c>
      <ns0:c r="G114" s="72">
        <ns0:v>39.29</ns0:v>
      </ns0:c>
      <ns0:c r="H114" s="72">
        <ns0:v>144.33000000000001</ns0:v>
      </ns0:c>
      <ns0:c r="I114" s="73" t="n">
        <ns0:v>535000</ns0:v>
      </ns0:c>
      <ns0:c r="J114" s="71">
        <ns0:v>2026</ns0:v>
      </ns0:c>
      <ns0:c r="K114" s="73" t="n">
        <ns0:v>5093.297791317593</ns0:v>
      </ns0:c>
      <ns0:c r="L114" s="73" t="n">
        <ns0:v>3706.7830665835236</ns0:v>
      </ns0:c>
      <ns0:c r="M114" s="74" t="str">
        <ns0:f t="shared" si="20"/>
        <ns0:v>Projeto</ns0:v>
      </ns0:c>
      <ns0:c r="N114" s="74"/>
      <ns0:c r="O114" s="74"/>
      <ns0:c r="P114" s="77"/>
      <ns0:c r="Q114" s="74" t="str">
        <ns0:f t="shared" si="21"/>
        <ns0:v>Projeto</ns0:v>
      </ns0:c>
      <ns0:c r="R114" s="74" t="s">
        <ns0:v>32</ns0:v>
      </ns0:c>
      <ns0:c r="S114" s="74"/>
      <ns0:c r="T114" s="74"/>
      <ns0:c r="U114" s="74"/>
      <ns0:c r="V114" s="74"/>
      <ns0:c r="W114" s="76">
        <ns0:f t="shared" si="22"/>
        <ns0:v>1</ns0:v>
      </ns0:c>
      <ns0:c r="X114" s="74" t="str">
        <ns0:f t="shared" si="23"/>
        <ns0:v>Projeto</ns0:v>
      </ns0:c>
      <ns0:c r="Y114" s="74" t="str">
        <ns0:f t="shared" si="24"/>
        <ns0:v>N/A</ns0:v>
      </ns0:c>
      <ns0:c r="Z114" s="74"/>
      <ns0:c r="AA114" s="74" t="str">
        <ns0:f t="shared" si="25"/>
        <ns0:v>Manter</ns0:v>
      </ns0:c>
      <ns0:c r="AB114" s="74" t="str">
        <ns0:f t="shared" si="26"/>
      </ns0:c>
      <ns0:c r="AC114" s="73" t="n">
        <ns0:v>535000</ns0:v>
      </ns0:c>
      <ns0:c r="AD114" s="74" t="inlineStr">
        <ns0:is>
          <ns0:t>2026-09</ns0:t>
        </ns0:is>
      </ns0:c>
      <ns0:c r="AE114" s="74" t="inlineStr">
        <ns0:is>
          <ns0:t>Alta</ns0:t>
        </ns0:is>
      </ns0:c>
      <ns0:c r="AF114" s="74" t="inlineStr">
        <ns0:is>
          <ns0:t>Preço base tecnicamente alinhado com a concorrência interna e o posicionamento da fração.</ns0:t>
        </ns0:is>
      </ns0:c>
      <ns0:c r="AG114" s="74" t="inlineStr">
        <ns0:is>
          <ns0:t>Standard</ns0:t>
        </ns0:is>
      </ns0:c>
    </ns0:row>
    <ns0:row r="115">
      <ns0:c r="A115" s="71" t="s">
        <ns0:v>116</ns0:v>
      </ns0:c>
      <ns0:c r="B115" s="71" t="s">
        <ns0:v>126</ns0:v>
      </ns0:c>
      <ns0:c r="C115" s="71">
        <ns0:v>1</ns0:v>
      </ns0:c>
      <ns0:c r="D115" s="71" t="s">
        <ns0:v>42</ns0:v>
      </ns0:c>
      <ns0:c r="E115" s="71">
        <ns0:v>3</ns0:v>
      </ns0:c>
      <ns0:c r="F115" s="72">
        <ns0:v>53.33</ns0:v>
      </ns0:c>
      <ns0:c r="G115" s="72">
        <ns0:v>20.67</ns0:v>
      </ns0:c>
      <ns0:c r="H115" s="72">
        <ns0:v>74</ns0:v>
      </ns0:c>
      <ns0:c r="I115" s="73" t="n">
        <ns0:v>390000</ns0:v>
      </ns0:c>
      <ns0:c r="J115" s="71">
        <ns0:v>2026</ns0:v>
      </ns0:c>
      <ns0:c r="K115" s="73" t="n">
        <ns0:v>7312.957059816239</ns0:v>
      </ns0:c>
      <ns0:c r="L115" s="73" t="n">
        <ns0:v>5270.27027027027</ns0:v>
      </ns0:c>
      <ns0:c r="M115" s="74" t="str">
        <ns0:f t="shared" si="20"/>
        <ns0:v>Projeto</ns0:v>
      </ns0:c>
      <ns0:c r="N115" s="74"/>
      <ns0:c r="O115" s="74"/>
      <ns0:c r="P115" s="77"/>
      <ns0:c r="Q115" s="74" t="str">
        <ns0:f t="shared" si="21"/>
        <ns0:v>Projeto</ns0:v>
      </ns0:c>
      <ns0:c r="R115" s="74" t="s">
        <ns0:v>32</ns0:v>
      </ns0:c>
      <ns0:c r="S115" s="74"/>
      <ns0:c r="T115" s="74"/>
      <ns0:c r="U115" s="74"/>
      <ns0:c r="V115" s="74"/>
      <ns0:c r="W115" s="76">
        <ns0:f t="shared" si="22"/>
        <ns0:v>1</ns0:v>
      </ns0:c>
      <ns0:c r="X115" s="74" t="str">
        <ns0:f t="shared" si="23"/>
        <ns0:v>Projeto</ns0:v>
      </ns0:c>
      <ns0:c r="Y115" s="74" t="str">
        <ns0:f t="shared" si="24"/>
        <ns0:v>N/A</ns0:v>
      </ns0:c>
      <ns0:c r="Z115" s="74"/>
      <ns0:c r="AA115" s="74" t="str">
        <ns0:f t="shared" si="25"/>
        <ns0:v>Manter</ns0:v>
      </ns0:c>
      <ns0:c r="AB115" s="74" t="str">
        <ns0:f t="shared" si="26"/>
      </ns0:c>
      <ns0:c r="AC115" s="73" t="n">
        <ns0:v>390000</ns0:v>
      </ns0:c>
      <ns0:c r="AD115" s="74" t="inlineStr">
        <ns0:is>
          <ns0:t>2026-09</ns0:t>
        </ns0:is>
      </ns0:c>
      <ns0:c r="AE115" s="74" t="inlineStr">
        <ns0:is>
          <ns0:t>Alta</ns0:t>
        </ns0:is>
      </ns0:c>
      <ns0:c r="AF115" s="74" t="inlineStr">
        <ns0:is>
          <ns0:t>Preço base tecnicamente alinhado com a concorrência interna e o posicionamento da fração.</ns0:t>
        </ns0:is>
      </ns0:c>
      <ns0:c r="AG115" s="74" t="inlineStr">
        <ns0:is>
          <ns0:t>Standard</ns0:t>
        </ns0:is>
      </ns0:c>
    </ns0:row>
    <ns0:row r="116">
      <ns0:c r="A116" s="71" t="s">
        <ns0:v>116</ns0:v>
      </ns0:c>
      <ns0:c r="B116" s="71" t="s">
        <ns0:v>127</ns0:v>
      </ns0:c>
      <ns0:c r="C116" s="71">
        <ns0:v>2</ns0:v>
      </ns0:c>
      <ns0:c r="D116" s="71" t="s">
        <ns0:v>64</ns0:v>
      </ns0:c>
      <ns0:c r="E116" s="71">
        <ns0:v>1</ns0:v>
      </ns0:c>
      <ns0:c r="F116" s="72">
        <ns0:v>157.13999999999999</ns0:v>
      </ns0:c>
      <ns0:c r="G116" s="72">
        <ns0:v>64.62</ns0:v>
      </ns0:c>
      <ns0:c r="H116" s="72">
        <ns0:v>221.76</ns0:v>
      </ns0:c>
      <ns0:c r="I116" s="73" t="n">
        <ns0:v>800000</ns0:v>
      </ns0:c>
      <ns0:c r="J116" s="71">
        <ns0:v>2026</ns0:v>
      </ns0:c>
      <ns0:c r="K116" s="73" t="n">
        <ns0:v>5091.001654575538</ns0:v>
      </ns0:c>
      <ns0:c r="L116" s="73" t="n">
        <ns0:v>3607.503607503608</ns0:v>
      </ns0:c>
      <ns0:c r="M116" s="74" t="str">
        <ns0:f t="shared" si="20"/>
        <ns0:v>Projeto</ns0:v>
      </ns0:c>
      <ns0:c r="N116" s="74"/>
      <ns0:c r="O116" s="74"/>
      <ns0:c r="P116" s="77"/>
      <ns0:c r="Q116" s="74" t="str">
        <ns0:f t="shared" si="21"/>
        <ns0:v>Projeto</ns0:v>
      </ns0:c>
      <ns0:c r="R116" s="74" t="s">
        <ns0:v>32</ns0:v>
      </ns0:c>
      <ns0:c r="S116" s="74"/>
      <ns0:c r="T116" s="74"/>
      <ns0:c r="U116" s="74"/>
      <ns0:c r="V116" s="74"/>
      <ns0:c r="W116" s="76">
        <ns0:f t="shared" si="22"/>
        <ns0:v>1</ns0:v>
      </ns0:c>
      <ns0:c r="X116" s="74" t="str">
        <ns0:f t="shared" si="23"/>
        <ns0:v>Projeto</ns0:v>
      </ns0:c>
      <ns0:c r="Y116" s="74" t="str">
        <ns0:f t="shared" si="24"/>
        <ns0:v>N/A</ns0:v>
      </ns0:c>
      <ns0:c r="Z116" s="74"/>
      <ns0:c r="AA116" s="74" t="str">
        <ns0:f t="shared" si="25"/>
        <ns0:v>Manter</ns0:v>
      </ns0:c>
      <ns0:c r="AB116" s="74" t="str">
        <ns0:f t="shared" si="26"/>
      </ns0:c>
      <ns0:c r="AC116" s="73" t="n">
        <ns0:v>825000</ns0:v>
      </ns0:c>
      <ns0:c r="AD116" s="74" t="inlineStr">
        <ns0:is>
          <ns0:t>2026-09</ns0:t>
        </ns0:is>
      </ns0:c>
      <ns0:c r="AE116" s="74" t="inlineStr">
        <ns0:is>
          <ns0:t>Média</ns0:t>
        </ns0:is>
      </ns0:c>
      <ns0:c r="AF116" s="74" t="inlineStr">
        <ns0:is>
          <ns0:t>T3 Sul/Este de grande área e exterior relevante; posicionamento abaixo do Apt. 16 preservado.</ns0:t>
        </ns0:is>
      </ns0:c>
      <ns0:c r="AG116" s="74" t="inlineStr">
        <ns0:is>
          <ns0:t>Premium</ns0:t>
        </ns0:is>
      </ns0:c>
    </ns0:row>
    <ns0:row r="117">
      <ns0:c r="A117" s="71" t="s">
        <ns0:v>116</ns0:v>
      </ns0:c>
      <ns0:c r="B117" s="71" t="s">
        <ns0:v>128</ns0:v>
      </ns0:c>
      <ns0:c r="C117" s="71">
        <ns0:v>2</ns0:v>
      </ns0:c>
      <ns0:c r="D117" s="71" t="s">
        <ns0:v>31</ns0:v>
      </ns0:c>
      <ns0:c r="E117" s="71">
        <ns0:v>2</ns0:v>
      </ns0:c>
      <ns0:c r="F117" s="72">
        <ns0:v>124.52</ns0:v>
      </ns0:c>
      <ns0:c r="G117" s="72">
        <ns0:v>40.97</ns0:v>
      </ns0:c>
      <ns0:c r="H117" s="72">
        <ns0:v>165.49</ns0:v>
      </ns0:c>
      <ns0:c r="I117" s="73" t="n">
        <ns0:v>620000</ns0:v>
      </ns0:c>
      <ns0:c r="J117" s="71">
        <ns0:v>2026</ns0:v>
      </ns0:c>
      <ns0:c r="K117" s="73" t="n">
        <ns0:v>4979.119820109219</ns0:v>
      </ns0:c>
      <ns0:c r="L117" s="73" t="n">
        <ns0:v>3746.4499365520574</ns0:v>
      </ns0:c>
      <ns0:c r="M117" s="74" t="str">
        <ns0:f t="shared" si="20"/>
        <ns0:v>Projeto</ns0:v>
      </ns0:c>
      <ns0:c r="N117" s="74"/>
      <ns0:c r="O117" s="74"/>
      <ns0:c r="P117" s="77"/>
      <ns0:c r="Q117" s="74" t="str">
        <ns0:f t="shared" si="21"/>
        <ns0:v>Projeto</ns0:v>
      </ns0:c>
      <ns0:c r="R117" s="74" t="s">
        <ns0:v>32</ns0:v>
      </ns0:c>
      <ns0:c r="S117" s="74"/>
      <ns0:c r="T117" s="74"/>
      <ns0:c r="U117" s="74"/>
      <ns0:c r="V117" s="74"/>
      <ns0:c r="W117" s="76">
        <ns0:f t="shared" si="22"/>
        <ns0:v>1</ns0:v>
      </ns0:c>
      <ns0:c r="X117" s="74" t="str">
        <ns0:f t="shared" si="23"/>
        <ns0:v>Projeto</ns0:v>
      </ns0:c>
      <ns0:c r="Y117" s="74" t="str">
        <ns0:f t="shared" si="24"/>
        <ns0:v>N/A</ns0:v>
      </ns0:c>
      <ns0:c r="Z117" s="74"/>
      <ns0:c r="AA117" s="74" t="str">
        <ns0:f t="shared" si="25"/>
        <ns0:v>Manter</ns0:v>
      </ns0:c>
      <ns0:c r="AB117" s="74" t="str">
        <ns0:f t="shared" si="26"/>
      </ns0:c>
      <ns0:c r="AC117" s="73" t="n">
        <ns0:v>635000</ns0:v>
      </ns0:c>
      <ns0:c r="AD117" s="74" t="inlineStr">
        <ns0:is>
          <ns0:t>2026-09</ns0:t>
        </ns0:is>
      </ns0:c>
      <ns0:c r="AE117" s="74" t="inlineStr">
        <ns0:is>
          <ns0:t>Alta</ns0:t>
        </ns0:is>
      </ns0:c>
      <ns0:c r="AF117" s="74" t="inlineStr">
        <ns0:is>
          <ns0:t>Progressão moderada da coluna T2 Sul/Oeste face ao Apt. 2.</ns0:t>
        </ns0:is>
      </ns0:c>
      <ns0:c r="AG117" s="74" t="inlineStr">
        <ns0:is>
          <ns0:t>Standard</ns0:t>
        </ns0:is>
      </ns0:c>
    </ns0:row>
    <ns0:row r="118">
      <ns0:c r="A118" s="71" t="s">
        <ns0:v>116</ns0:v>
      </ns0:c>
      <ns0:c r="B118" s="71" t="s">
        <ns0:v>129</ns0:v>
      </ns0:c>
      <ns0:c r="C118" s="71">
        <ns0:v>2</ns0:v>
      </ns0:c>
      <ns0:c r="D118" s="71" t="s">
        <ns0:v>42</ns0:v>
      </ns0:c>
      <ns0:c r="E118" s="71">
        <ns0:v>4</ns0:v>
      </ns0:c>
      <ns0:c r="F118" s="72">
        <ns0:v>76.7</ns0:v>
      </ns0:c>
      <ns0:c r="G118" s="72">
        <ns0:v>16.96</ns0:v>
      </ns0:c>
      <ns0:c r="H118" s="72">
        <ns0:v>93.66</ns0:v>
      </ns0:c>
      <ns0:c r="I118" s="73" t="n">
        <ns0:v>400000</ns0:v>
      </ns0:c>
      <ns0:c r="J118" s="71">
        <ns0:v>2026</ns0:v>
      </ns0:c>
      <ns0:c r="K118" s="73" t="n">
        <ns0:v>5215.123859191655</ns0:v>
      </ns0:c>
      <ns0:c r="L118" s="73" t="n">
        <ns0:v>4270.7666026051675</ns0:v>
      </ns0:c>
      <ns0:c r="M118" s="74" t="str">
        <ns0:f t="shared" si="20"/>
        <ns0:v>Projeto</ns0:v>
      </ns0:c>
      <ns0:c r="N118" s="74"/>
      <ns0:c r="O118" s="74"/>
      <ns0:c r="P118" s="77"/>
      <ns0:c r="Q118" s="74" t="str">
        <ns0:f t="shared" si="21"/>
        <ns0:v>Projeto</ns0:v>
      </ns0:c>
      <ns0:c r="R118" s="74" t="s">
        <ns0:v>32</ns0:v>
      </ns0:c>
      <ns0:c r="S118" s="74"/>
      <ns0:c r="T118" s="74"/>
      <ns0:c r="U118" s="74"/>
      <ns0:c r="V118" s="74"/>
      <ns0:c r="W118" s="76">
        <ns0:f t="shared" si="22"/>
        <ns0:v>1</ns0:v>
      </ns0:c>
      <ns0:c r="X118" s="74" t="str">
        <ns0:f t="shared" si="23"/>
        <ns0:v>Projeto</ns0:v>
      </ns0:c>
      <ns0:c r="Y118" s="74" t="str">
        <ns0:f t="shared" si="24"/>
        <ns0:v>N/A</ns0:v>
      </ns0:c>
      <ns0:c r="Z118" s="74"/>
      <ns0:c r="AA118" s="74" t="str">
        <ns0:f t="shared" si="25"/>
        <ns0:v>Manter</ns0:v>
      </ns0:c>
      <ns0:c r="AB118" s="74" t="str">
        <ns0:f t="shared" si="26"/>
      </ns0:c>
      <ns0:c r="AC118" s="73" t="n">
        <ns0:v>400000</ns0:v>
      </ns0:c>
      <ns0:c r="AD118" s="74" t="inlineStr">
        <ns0:is>
          <ns0:t>2026-09</ns0:t>
        </ns0:is>
      </ns0:c>
      <ns0:c r="AE118" s="74" t="inlineStr">
        <ns0:is>
          <ns0:t>Alta</ns0:t>
        </ns0:is>
      </ns0:c>
      <ns0:c r="AF118" s="74" t="inlineStr">
        <ns0:is>
          <ns0:t>Preço base tecnicamente alinhado com a concorrência interna e o posicionamento da fração.</ns0:t>
        </ns0:is>
      </ns0:c>
      <ns0:c r="AG118" s="74" t="inlineStr">
        <ns0:is>
          <ns0:t>Standard</ns0:t>
        </ns0:is>
      </ns0:c>
    </ns0:row>
    <ns0:row r="119">
      <ns0:c r="A119" s="71" t="s">
        <ns0:v>116</ns0:v>
      </ns0:c>
      <ns0:c r="B119" s="71" t="s">
        <ns0:v>130</ns0:v>
      </ns0:c>
      <ns0:c r="C119" s="71">
        <ns0:v>2</ns0:v>
      </ns0:c>
      <ns0:c r="D119" s="71" t="s">
        <ns0:v>121</ns0:v>
      </ns0:c>
      <ns0:c r="E119" s="71">
        <ns0:v>4</ns0:v>
      </ns0:c>
      <ns0:c r="F119" s="72">
        <ns0:v>90.43</ns0:v>
      </ns0:c>
      <ns0:c r="G119" s="72">
        <ns0:v>27.07</ns0:v>
      </ns0:c>
      <ns0:c r="H119" s="72">
        <ns0:v>117.5</ns0:v>
      </ns0:c>
      <ns0:c r="I119" s="73" t="n">
        <ns0:v>440000</ns0:v>
      </ns0:c>
      <ns0:c r="J119" s="71">
        <ns0:v>2026</ns0:v>
      </ns0:c>
      <ns0:c r="K119" s="73" t="n">
        <ns0:v>4865.64193298684</ns0:v>
      </ns0:c>
      <ns0:c r="L119" s="73" t="n">
        <ns0:v>3744.68085106383</ns0:v>
      </ns0:c>
      <ns0:c r="M119" s="74" t="str">
        <ns0:f t="shared" si="20"/>
        <ns0:v>Projeto</ns0:v>
      </ns0:c>
      <ns0:c r="N119" s="74"/>
      <ns0:c r="O119" s="74"/>
      <ns0:c r="P119" s="77"/>
      <ns0:c r="Q119" s="74" t="str">
        <ns0:f t="shared" si="21"/>
        <ns0:v>Projeto</ns0:v>
      </ns0:c>
      <ns0:c r="R119" s="74" t="s">
        <ns0:v>32</ns0:v>
      </ns0:c>
      <ns0:c r="S119" s="74"/>
      <ns0:c r="T119" s="74"/>
      <ns0:c r="U119" s="74"/>
      <ns0:c r="V119" s="74"/>
      <ns0:c r="W119" s="76">
        <ns0:f t="shared" si="22"/>
        <ns0:v>1</ns0:v>
      </ns0:c>
      <ns0:c r="X119" s="74" t="str">
        <ns0:f t="shared" si="23"/>
        <ns0:v>Projeto</ns0:v>
      </ns0:c>
      <ns0:c r="Y119" s="74" t="str">
        <ns0:f t="shared" si="24"/>
        <ns0:v>N/A</ns0:v>
      </ns0:c>
      <ns0:c r="Z119" s="74"/>
      <ns0:c r="AA119" s="74" t="str">
        <ns0:f t="shared" si="25"/>
        <ns0:v>Manter</ns0:v>
      </ns0:c>
      <ns0:c r="AB119" s="74" t="str">
        <ns0:f t="shared" si="26"/>
      </ns0:c>
      <ns0:c r="AC119" s="73" t="n">
        <ns0:v>440000</ns0:v>
      </ns0:c>
      <ns0:c r="AD119" s="74" t="inlineStr">
        <ns0:is>
          <ns0:t>2026-09</ns0:t>
        </ns0:is>
      </ns0:c>
      <ns0:c r="AE119" s="74" t="inlineStr">
        <ns0:is>
          <ns0:t>Alta</ns0:t>
        </ns0:is>
      </ns0:c>
      <ns0:c r="AF119" s="74" t="inlineStr">
        <ns0:is>
          <ns0:t>Preço base tecnicamente alinhado com a concorrência interna e o posicionamento da fração.</ns0:t>
        </ns0:is>
      </ns0:c>
      <ns0:c r="AG119" s="74" t="inlineStr">
        <ns0:is>
          <ns0:t>Standard</ns0:t>
        </ns0:is>
      </ns0:c>
    </ns0:row>
    <ns0:row r="120">
      <ns0:c r="A120" s="71" t="s">
        <ns0:v>116</ns0:v>
      </ns0:c>
      <ns0:c r="B120" s="71" t="s">
        <ns0:v>131</ns0:v>
      </ns0:c>
      <ns0:c r="C120" s="71">
        <ns0:v>2</ns0:v>
      </ns0:c>
      <ns0:c r="D120" s="71" t="s">
        <ns0:v>121</ns0:v>
      </ns0:c>
      <ns0:c r="E120" s="71">
        <ns0:v>4</ns0:v>
      </ns0:c>
      <ns0:c r="F120" s="72">
        <ns0:v>87</ns0:v>
      </ns0:c>
      <ns0:c r="G120" s="72">
        <ns0:v>22.5</ns0:v>
      </ns0:c>
      <ns0:c r="H120" s="72">
        <ns0:v>109.5</ns0:v>
      </ns0:c>
      <ns0:c r="I120" s="73" t="n">
        <ns0:v>420000</ns0:v>
      </ns0:c>
      <ns0:c r="J120" s="71">
        <ns0:v>2026</ns0:v>
      </ns0:c>
      <ns0:c r="K120" s="73" t="n">
        <ns0:v>4827.586206896552</ns0:v>
      </ns0:c>
      <ns0:c r="L120" s="73" t="n">
        <ns0:v>3835.6164383561645</ns0:v>
      </ns0:c>
      <ns0:c r="M120" s="74" t="str">
        <ns0:f t="shared" si="20"/>
        <ns0:v>Projeto</ns0:v>
      </ns0:c>
      <ns0:c r="N120" s="74"/>
      <ns0:c r="O120" s="74"/>
      <ns0:c r="P120" s="77"/>
      <ns0:c r="Q120" s="74" t="str">
        <ns0:f t="shared" si="21"/>
        <ns0:v>Projeto</ns0:v>
      </ns0:c>
      <ns0:c r="R120" s="74" t="s">
        <ns0:v>32</ns0:v>
      </ns0:c>
      <ns0:c r="S120" s="74"/>
      <ns0:c r="T120" s="74"/>
      <ns0:c r="U120" s="74"/>
      <ns0:c r="V120" s="74"/>
      <ns0:c r="W120" s="76">
        <ns0:f t="shared" si="22"/>
        <ns0:v>1</ns0:v>
      </ns0:c>
      <ns0:c r="X120" s="74" t="str">
        <ns0:f t="shared" si="23"/>
        <ns0:v>Projeto</ns0:v>
      </ns0:c>
      <ns0:c r="Y120" s="74" t="str">
        <ns0:f t="shared" si="24"/>
        <ns0:v>N/A</ns0:v>
      </ns0:c>
      <ns0:c r="Z120" s="74"/>
      <ns0:c r="AA120" s="74" t="str">
        <ns0:f t="shared" si="25"/>
        <ns0:v>Manter</ns0:v>
      </ns0:c>
      <ns0:c r="AB120" s="74" t="str">
        <ns0:f t="shared" si="26"/>
      </ns0:c>
      <ns0:c r="AC120" s="73" t="n">
        <ns0:v>440000</ns0:v>
      </ns0:c>
      <ns0:c r="AD120" s="74" t="inlineStr">
        <ns0:is>
          <ns0:t>2026-09</ns0:t>
        </ns0:is>
      </ns0:c>
      <ns0:c r="AE120" s="74" t="inlineStr">
        <ns0:is>
          <ns0:t>Média</ns0:t>
        </ns0:is>
      </ns0:c>
      <ns0:c r="AF120" s="74" t="inlineStr">
        <ns0:is>
          <ns0:t>Recomendação condicionada à validação das áreas/características da fração face ao Apt. 12.</ns0:t>
        </ns0:is>
      </ns0:c>
      <ns0:c r="AG120" s="74" t="inlineStr">
        <ns0:is>
          <ns0:t>Standard</ns0:t>
        </ns0:is>
      </ns0:c>
    </ns0:row>
    <ns0:row r="121">
      <ns0:c r="A121" s="71" t="s">
        <ns0:v>116</ns0:v>
      </ns0:c>
      <ns0:c r="B121" s="71" t="s">
        <ns0:v>132</ns0:v>
      </ns0:c>
      <ns0:c r="C121" s="71">
        <ns0:v>2</ns0:v>
      </ns0:c>
      <ns0:c r="D121" s="71" t="s">
        <ns0:v>31</ns0:v>
      </ns0:c>
      <ns0:c r="E121" s="71">
        <ns0:v>3</ns0:v>
      </ns0:c>
      <ns0:c r="F121" s="72">
        <ns0:v>119.59</ns0:v>
      </ns0:c>
      <ns0:c r="G121" s="72">
        <ns0:v>43.18</ns0:v>
      </ns0:c>
      <ns0:c r="H121" s="72">
        <ns0:v>162.77000000000001</ns0:v>
      </ns0:c>
      <ns0:c r="I121" s="73" t="n">
        <ns0:v>600000</ns0:v>
      </ns0:c>
      <ns0:c r="J121" s="71">
        <ns0:v>2026</ns0:v>
      </ns0:c>
      <ns0:c r="K121" s="73" t="n">
        <ns0:v>5017.1419014967805</ns0:v>
      </ns0:c>
      <ns0:c r="L121" s="73" t="n">
        <ns0:v>3686.1829575474594</ns0:v>
      </ns0:c>
      <ns0:c r="M121" s="74" t="str">
        <ns0:f t="shared" si="20"/>
        <ns0:v>Projeto</ns0:v>
      </ns0:c>
      <ns0:c r="N121" s="74"/>
      <ns0:c r="O121" s="74"/>
      <ns0:c r="P121" s="77"/>
      <ns0:c r="Q121" s="74" t="str">
        <ns0:f t="shared" si="21"/>
        <ns0:v>Projeto</ns0:v>
      </ns0:c>
      <ns0:c r="R121" s="74" t="s">
        <ns0:v>32</ns0:v>
      </ns0:c>
      <ns0:c r="S121" s="74"/>
      <ns0:c r="T121" s="74"/>
      <ns0:c r="U121" s="74"/>
      <ns0:c r="V121" s="74"/>
      <ns0:c r="W121" s="76">
        <ns0:f t="shared" si="22"/>
        <ns0:v>1</ns0:v>
      </ns0:c>
      <ns0:c r="X121" s="74" t="str">
        <ns0:f t="shared" si="23"/>
        <ns0:v>Projeto</ns0:v>
      </ns0:c>
      <ns0:c r="Y121" s="74" t="str">
        <ns0:f t="shared" si="24"/>
        <ns0:v>N/A</ns0:v>
      </ns0:c>
      <ns0:c r="Z121" s="74"/>
      <ns0:c r="AA121" s="74" t="str">
        <ns0:f t="shared" si="25"/>
        <ns0:v>Manter</ns0:v>
      </ns0:c>
      <ns0:c r="AB121" s="74" t="str">
        <ns0:f t="shared" si="26"/>
      </ns0:c>
      <ns0:c r="AC121" s="73" t="n">
        <ns0:v>600000</ns0:v>
      </ns0:c>
      <ns0:c r="AD121" s="74" t="inlineStr">
        <ns0:is>
          <ns0:t>2026-09</ns0:t>
        </ns0:is>
      </ns0:c>
      <ns0:c r="AE121" s="74" t="inlineStr">
        <ns0:is>
          <ns0:t>Alta</ns0:t>
        </ns0:is>
      </ns0:c>
      <ns0:c r="AF121" s="74" t="inlineStr">
        <ns0:is>
          <ns0:t>Preço base tecnicamente alinhado com a concorrência interna e o posicionamento da fração.</ns0:t>
        </ns0:is>
      </ns0:c>
      <ns0:c r="AG121" s="74" t="inlineStr">
        <ns0:is>
          <ns0:t>Standard</ns0:t>
        </ns0:is>
      </ns0:c>
    </ns0:row>
    <ns0:row r="122">
      <ns0:c r="A122" s="71" t="s">
        <ns0:v>116</ns0:v>
      </ns0:c>
      <ns0:c r="B122" s="71" t="s">
        <ns0:v>133</ns0:v>
      </ns0:c>
      <ns0:c r="C122" s="71">
        <ns0:v>2</ns0:v>
      </ns0:c>
      <ns0:c r="D122" s="71" t="s">
        <ns0:v>31</ns0:v>
      </ns0:c>
      <ns0:c r="E122" s="71">
        <ns0:v>3</ns0:v>
      </ns0:c>
      <ns0:c r="F122" s="72">
        <ns0:v>104.88</ns0:v>
      </ns0:c>
      <ns0:c r="G122" s="72">
        <ns0:v>39.35</ns0:v>
      </ns0:c>
      <ns0:c r="H122" s="72">
        <ns0:v>144.22999999999999</ns0:v>
      </ns0:c>
      <ns0:c r="I122" s="73" t="n">
        <ns0:v>580000</ns0:v>
      </ns0:c>
      <ns0:c r="J122" s="71">
        <ns0:v>2026</ns0:v>
      </ns0:c>
      <ns0:c r="K122" s="73" t="n">
        <ns0:v>5530.129672006103</ns0:v>
      </ns0:c>
      <ns0:c r="L122" s="73" t="n">
        <ns0:v>4021.35478055883</ns0:v>
      </ns0:c>
      <ns0:c r="M122" s="74" t="str">
        <ns0:f t="shared" si="20"/>
        <ns0:v>Projeto</ns0:v>
      </ns0:c>
      <ns0:c r="N122" s="74"/>
      <ns0:c r="O122" s="74"/>
      <ns0:c r="P122" s="77"/>
      <ns0:c r="Q122" s="74" t="str">
        <ns0:f t="shared" si="21"/>
        <ns0:v>Projeto</ns0:v>
      </ns0:c>
      <ns0:c r="R122" s="74" t="s">
        <ns0:v>32</ns0:v>
      </ns0:c>
      <ns0:c r="S122" s="74"/>
      <ns0:c r="T122" s="74"/>
      <ns0:c r="U122" s="74"/>
      <ns0:c r="V122" s="74"/>
      <ns0:c r="W122" s="76">
        <ns0:f t="shared" si="22"/>
        <ns0:v>1</ns0:v>
      </ns0:c>
      <ns0:c r="X122" s="74" t="str">
        <ns0:f t="shared" si="23"/>
        <ns0:v>Projeto</ns0:v>
      </ns0:c>
      <ns0:c r="Y122" s="74" t="str">
        <ns0:f t="shared" si="24"/>
        <ns0:v>N/A</ns0:v>
      </ns0:c>
      <ns0:c r="Z122" s="74"/>
      <ns0:c r="AA122" s="74" t="str">
        <ns0:f t="shared" si="25"/>
        <ns0:v>Manter</ns0:v>
      </ns0:c>
      <ns0:c r="AB122" s="74" t="str">
        <ns0:f t="shared" si="26"/>
      </ns0:c>
      <ns0:c r="AC122" s="73" t="n">
        <ns0:v>580000</ns0:v>
      </ns0:c>
      <ns0:c r="AD122" s="74" t="inlineStr">
        <ns0:is>
          <ns0:t>2026-09</ns0:t>
        </ns0:is>
      </ns0:c>
      <ns0:c r="AE122" s="74" t="inlineStr">
        <ns0:is>
          <ns0:t>Alta</ns0:t>
        </ns0:is>
      </ns0:c>
      <ns0:c r="AF122" s="74" t="inlineStr">
        <ns0:is>
          <ns0:t>Preço base tecnicamente alinhado com a concorrência interna e o posicionamento da fração.</ns0:t>
        </ns0:is>
      </ns0:c>
      <ns0:c r="AG122" s="74" t="inlineStr">
        <ns0:is>
          <ns0:t>Standard</ns0:t>
        </ns0:is>
      </ns0:c>
    </ns0:row>
    <ns0:row r="123">
      <ns0:c r="A123" s="71" t="s">
        <ns0:v>116</ns0:v>
      </ns0:c>
      <ns0:c r="B123" s="71" t="s">
        <ns0:v>134</ns0:v>
      </ns0:c>
      <ns0:c r="C123" s="71">
        <ns0:v>3</ns0:v>
      </ns0:c>
      <ns0:c r="D123" s="71" t="s">
        <ns0:v>64</ns0:v>
      </ns0:c>
      <ns0:c r="E123" s="71">
        <ns0:v>1</ns0:v>
      </ns0:c>
      <ns0:c r="F123" s="72">
        <ns0:v>158</ns0:v>
      </ns0:c>
      <ns0:c r="G123" s="72">
        <ns0:v>65.349999999999994</ns0:v>
      </ns0:c>
      <ns0:c r="H123" s="72">
        <ns0:v>223.35</ns0:v>
      </ns0:c>
      <ns0:c r="I123" s="73" t="n">
        <ns0:v>900000</ns0:v>
      </ns0:c>
      <ns0:c r="J123" s="71">
        <ns0:v>2026</ns0:v>
      </ns0:c>
      <ns0:c r="K123" s="73" t="n">
        <ns0:v>5696.202531645569</ns0:v>
      </ns0:c>
      <ns0:c r="L123" s="73" t="n">
        <ns0:v>4029.5500335795837</ns0:v>
      </ns0:c>
      <ns0:c r="M123" s="74" t="str">
        <ns0:f t="shared" si="20"/>
        <ns0:v>Projeto</ns0:v>
      </ns0:c>
      <ns0:c r="N123" s="74"/>
      <ns0:c r="O123" s="74"/>
      <ns0:c r="P123" s="77"/>
      <ns0:c r="Q123" s="74" t="str">
        <ns0:f t="shared" si="21"/>
        <ns0:v>Projeto</ns0:v>
      </ns0:c>
      <ns0:c r="R123" s="74" t="s">
        <ns0:v>32</ns0:v>
      </ns0:c>
      <ns0:c r="S123" s="74"/>
      <ns0:c r="T123" s="74"/>
      <ns0:c r="U123" s="74"/>
      <ns0:c r="V123" s="74"/>
      <ns0:c r="W123" s="76">
        <ns0:f t="shared" si="22"/>
        <ns0:v>1</ns0:v>
      </ns0:c>
      <ns0:c r="X123" s="74" t="str">
        <ns0:f t="shared" si="23"/>
        <ns0:v>Projeto</ns0:v>
      </ns0:c>
      <ns0:c r="Y123" s="74" t="str">
        <ns0:f t="shared" si="24"/>
        <ns0:v>N/A</ns0:v>
      </ns0:c>
      <ns0:c r="Z123" s="74"/>
      <ns0:c r="AA123" s="74" t="str">
        <ns0:f t="shared" si="25"/>
        <ns0:v>Manter</ns0:v>
      </ns0:c>
      <ns0:c r="AB123" s="74" t="str">
        <ns0:f t="shared" si="26"/>
      </ns0:c>
      <ns0:c r="AC123" s="73" t="n">
        <ns0:v>900000</ns0:v>
      </ns0:c>
      <ns0:c r="AD123" s="74" t="inlineStr">
        <ns0:is>
          <ns0:t>2026-09</ns0:t>
        </ns0:is>
      </ns0:c>
      <ns0:c r="AE123" s="74" t="inlineStr">
        <ns0:is>
          <ns0:t>Alta</ns0:t>
        </ns0:is>
      </ns0:c>
      <ns0:c r="AF123" s="74" t="inlineStr">
        <ns0:is>
          <ns0:t>Preço base tecnicamente alinhado com a concorrência interna e o posicionamento da fração.</ns0:t>
        </ns0:is>
      </ns0:c>
      <ns0:c r="AG123" s="74" t="inlineStr">
        <ns0:is>
          <ns0:t>Premium</ns0:t>
        </ns0:is>
      </ns0:c>
    </ns0:row>
    <ns0:row r="124">
      <ns0:c r="A124" s="71" t="s">
        <ns0:v>116</ns0:v>
      </ns0:c>
      <ns0:c r="B124" s="71" t="s">
        <ns0:v>135</ns0:v>
      </ns0:c>
      <ns0:c r="C124" s="71">
        <ns0:v>3</ns0:v>
      </ns0:c>
      <ns0:c r="D124" s="71" t="s">
        <ns0:v>31</ns0:v>
      </ns0:c>
      <ns0:c r="E124" s="71">
        <ns0:v>2</ns0:v>
      </ns0:c>
      <ns0:c r="F124" s="72">
        <ns0:v>126.7</ns0:v>
      </ns0:c>
      <ns0:c r="G124" s="72">
        <ns0:v>41.5</ns0:v>
      </ns0:c>
      <ns0:c r="H124" s="72">
        <ns0:v>168.2</ns0:v>
      </ns0:c>
      <ns0:c r="I124" s="73" t="n">
        <ns0:v>640000</ns0:v>
      </ns0:c>
      <ns0:c r="J124" s="71">
        <ns0:v>2026</ns0:v>
      </ns0:c>
      <ns0:c r="K124" s="73" t="n">
        <ns0:v>5051.302288871349</ns0:v>
      </ns0:c>
      <ns0:c r="L124" s="73" t="n">
        <ns0:v>3804.9940546967896</ns0:v>
      </ns0:c>
      <ns0:c r="M124" s="74" t="str">
        <ns0:f t="shared" si="20"/>
        <ns0:v>Projeto</ns0:v>
      </ns0:c>
      <ns0:c r="N124" s="74"/>
      <ns0:c r="O124" s="74"/>
      <ns0:c r="P124" s="77"/>
      <ns0:c r="Q124" s="74" t="str">
        <ns0:f t="shared" si="21"/>
        <ns0:v>Projeto</ns0:v>
      </ns0:c>
      <ns0:c r="R124" s="74" t="s">
        <ns0:v>32</ns0:v>
      </ns0:c>
      <ns0:c r="S124" s="74"/>
      <ns0:c r="T124" s="74"/>
      <ns0:c r="U124" s="74"/>
      <ns0:c r="V124" s="74"/>
      <ns0:c r="W124" s="76">
        <ns0:f t="shared" si="22"/>
        <ns0:v>1</ns0:v>
      </ns0:c>
      <ns0:c r="X124" s="74" t="str">
        <ns0:f t="shared" si="23"/>
        <ns0:v>Projeto</ns0:v>
      </ns0:c>
      <ns0:c r="Y124" s="74" t="str">
        <ns0:f t="shared" si="24"/>
        <ns0:v>N/A</ns0:v>
      </ns0:c>
      <ns0:c r="Z124" s="74"/>
      <ns0:c r="AA124" s="74" t="str">
        <ns0:f t="shared" si="25"/>
        <ns0:v>Manter</ns0:v>
      </ns0:c>
      <ns0:c r="AB124" s="74" t="str">
        <ns0:f t="shared" si="26"/>
      </ns0:c>
      <ns0:c r="AC124" s="73" t="n">
        <ns0:v>660000</ns0:v>
      </ns0:c>
      <ns0:c r="AD124" s="74" t="inlineStr">
        <ns0:is>
          <ns0:t>2026-09</ns0:t>
        </ns0:is>
      </ns0:c>
      <ns0:c r="AE124" s="74" t="inlineStr">
        <ns0:is>
          <ns0:t>Alta</ns0:t>
        </ns0:is>
      </ns0:c>
      <ns0:c r="AF124" s="74" t="inlineStr">
        <ns0:is>
          <ns0:t>Reforço da progressão interna da coluna T2 Sul/Oeste entre os pisos 2, 3 e 4.</ns0:t>
        </ns0:is>
      </ns0:c>
      <ns0:c r="AG124" s="74" t="inlineStr">
        <ns0:is>
          <ns0:t>Standard</ns0:t>
        </ns0:is>
      </ns0:c>
    </ns0:row>
    <ns0:row r="125">
      <ns0:c r="A125" s="71" t="s">
        <ns0:v>116</ns0:v>
      </ns0:c>
      <ns0:c r="B125" s="71" t="s">
        <ns0:v>136</ns0:v>
      </ns0:c>
      <ns0:c r="C125" s="71">
        <ns0:v>3</ns0:v>
      </ns0:c>
      <ns0:c r="D125" s="71" t="s">
        <ns0:v>42</ns0:v>
      </ns0:c>
      <ns0:c r="E125" s="71">
        <ns0:v>4</ns0:v>
      </ns0:c>
      <ns0:c r="F125" s="72">
        <ns0:v>77.81</ns0:v>
      </ns0:c>
      <ns0:c r="G125" s="72">
        <ns0:v>16.41</ns0:v>
      </ns0:c>
      <ns0:c r="H125" s="72">
        <ns0:v>94.22</ns0:v>
      </ns0:c>
      <ns0:c r="I125" s="73" t="n">
        <ns0:v>425000</ns0:v>
      </ns0:c>
      <ns0:c r="J125" s="71">
        <ns0:v>2026</ns0:v>
      </ns0:c>
      <ns0:c r="K125" s="73" t="n">
        <ns0:v>5462.022876236987</ns0:v>
      </ns0:c>
      <ns0:c r="L125" s="73" t="n">
        <ns0:v>4510.719592443218</ns0:v>
      </ns0:c>
      <ns0:c r="M125" s="74" t="str">
        <ns0:f t="shared" si="20"/>
        <ns0:v>Projeto</ns0:v>
      </ns0:c>
      <ns0:c r="N125" s="74"/>
      <ns0:c r="O125" s="74"/>
      <ns0:c r="P125" s="77"/>
      <ns0:c r="Q125" s="74" t="str">
        <ns0:f t="shared" si="21"/>
        <ns0:v>Projeto</ns0:v>
      </ns0:c>
      <ns0:c r="R125" s="74" t="s">
        <ns0:v>32</ns0:v>
      </ns0:c>
      <ns0:c r="S125" s="74"/>
      <ns0:c r="T125" s="74"/>
      <ns0:c r="U125" s="74"/>
      <ns0:c r="V125" s="74"/>
      <ns0:c r="W125" s="76">
        <ns0:f t="shared" si="22"/>
        <ns0:v>1</ns0:v>
      </ns0:c>
      <ns0:c r="X125" s="74" t="str">
        <ns0:f t="shared" si="23"/>
        <ns0:v>Projeto</ns0:v>
      </ns0:c>
      <ns0:c r="Y125" s="74" t="str">
        <ns0:f t="shared" si="24"/>
        <ns0:v>N/A</ns0:v>
      </ns0:c>
      <ns0:c r="Z125" s="74"/>
      <ns0:c r="AA125" s="74" t="str">
        <ns0:f t="shared" si="25"/>
        <ns0:v>Manter</ns0:v>
      </ns0:c>
      <ns0:c r="AB125" s="74" t="str">
        <ns0:f t="shared" si="26"/>
      </ns0:c>
      <ns0:c r="AC125" s="73" t="n">
        <ns0:v>425000</ns0:v>
      </ns0:c>
      <ns0:c r="AD125" s="74" t="inlineStr">
        <ns0:is>
          <ns0:t>2026-09</ns0:t>
        </ns0:is>
      </ns0:c>
      <ns0:c r="AE125" s="74" t="inlineStr">
        <ns0:is>
          <ns0:t>Alta</ns0:t>
        </ns0:is>
      </ns0:c>
      <ns0:c r="AF125" s="74" t="inlineStr">
        <ns0:is>
          <ns0:t>Preço base tecnicamente alinhado com a concorrência interna e o posicionamento da fração.</ns0:t>
        </ns0:is>
      </ns0:c>
      <ns0:c r="AG125" s="74" t="inlineStr">
        <ns0:is>
          <ns0:t>Standard</ns0:t>
        </ns0:is>
      </ns0:c>
    </ns0:row>
    <ns0:row r="126">
      <ns0:c r="A126" s="71" t="s">
        <ns0:v>116</ns0:v>
      </ns0:c>
      <ns0:c r="B126" s="71" t="s">
        <ns0:v>137</ns0:v>
      </ns0:c>
      <ns0:c r="C126" s="71">
        <ns0:v>3</ns0:v>
      </ns0:c>
      <ns0:c r="D126" s="71" t="s">
        <ns0:v>42</ns0:v>
      </ns0:c>
      <ns0:c r="E126" s="71">
        <ns0:v>4</ns0:v>
      </ns0:c>
      <ns0:c r="F126" s="72">
        <ns0:v>70.180000000000007</ns0:v>
      </ns0:c>
      <ns0:c r="G126" s="72">
        <ns0:v>24.21</ns0:v>
      </ns0:c>
      <ns0:c r="H126" s="72">
        <ns0:v>94.390000000000015</ns0:v>
      </ns0:c>
      <ns0:c r="I126" s="73" t="n">
        <ns0:v>360000</ns0:v>
      </ns0:c>
      <ns0:c r="J126" s="71">
        <ns0:v>2026</ns0:v>
      </ns0:c>
      <ns0:c r="K126" s="73" t="n">
        <ns0:v>5129.666571672841</ns0:v>
      </ns0:c>
      <ns0:c r="L126" s="73" t="n">
        <ns0:v>3813.9633435745304</ns0:v>
      </ns0:c>
      <ns0:c r="M126" s="74" t="str">
        <ns0:f t="shared" si="20"/>
        <ns0:v>Projeto</ns0:v>
      </ns0:c>
      <ns0:c r="N126" s="74"/>
      <ns0:c r="O126" s="74"/>
      <ns0:c r="P126" s="77"/>
      <ns0:c r="Q126" s="74" t="str">
        <ns0:f t="shared" si="21"/>
        <ns0:v>Projeto</ns0:v>
      </ns0:c>
      <ns0:c r="R126" s="74" t="s">
        <ns0:v>32</ns0:v>
      </ns0:c>
      <ns0:c r="S126" s="74"/>
      <ns0:c r="T126" s="74"/>
      <ns0:c r="U126" s="74"/>
      <ns0:c r="V126" s="74"/>
      <ns0:c r="W126" s="76">
        <ns0:f t="shared" si="22"/>
        <ns0:v>1</ns0:v>
      </ns0:c>
      <ns0:c r="X126" s="74" t="str">
        <ns0:f t="shared" si="23"/>
        <ns0:v>Projeto</ns0:v>
      </ns0:c>
      <ns0:c r="Y126" s="74" t="str">
        <ns0:f t="shared" si="24"/>
        <ns0:v>N/A</ns0:v>
      </ns0:c>
      <ns0:c r="Z126" s="74"/>
      <ns0:c r="AA126" s="74" t="str">
        <ns0:f t="shared" si="25"/>
        <ns0:v>Manter</ns0:v>
      </ns0:c>
      <ns0:c r="AB126" s="74" t="str">
        <ns0:f t="shared" si="26"/>
      </ns0:c>
      <ns0:c r="AC126" s="73" t="n">
        <ns0:v>360000</ns0:v>
      </ns0:c>
      <ns0:c r="AD126" s="74" t="inlineStr">
        <ns0:is>
          <ns0:t>2026-09</ns0:t>
        </ns0:is>
      </ns0:c>
      <ns0:c r="AE126" s="74" t="inlineStr">
        <ns0:is>
          <ns0:t>Alta</ns0:t>
        </ns0:is>
      </ns0:c>
      <ns0:c r="AF126" s="74" t="inlineStr">
        <ns0:is>
          <ns0:t>Preço base tecnicamente alinhado com a concorrência interna e o posicionamento da fração.</ns0:t>
        </ns0:is>
      </ns0:c>
      <ns0:c r="AG126" s="74" t="inlineStr">
        <ns0:is>
          <ns0:t>Standard</ns0:t>
        </ns0:is>
      </ns0:c>
    </ns0:row>
    <ns0:row r="127">
      <ns0:c r="A127" s="71" t="s">
        <ns0:v>116</ns0:v>
      </ns0:c>
      <ns0:c r="B127" s="71" t="s">
        <ns0:v>138</ns0:v>
      </ns0:c>
      <ns0:c r="C127" s="71">
        <ns0:v>3</ns0:v>
      </ns0:c>
      <ns0:c r="D127" s="71" t="s">
        <ns0:v>42</ns0:v>
      </ns0:c>
      <ns0:c r="E127" s="71">
        <ns0:v>4</ns0:v>
      </ns0:c>
      <ns0:c r="F127" s="72">
        <ns0:v>66.5</ns0:v>
      </ns0:c>
      <ns0:c r="G127" s="72">
        <ns0:v>24.04</ns0:v>
      </ns0:c>
      <ns0:c r="H127" s="72">
        <ns0:v>90.539999999999992</ns0:v>
      </ns0:c>
      <ns0:c r="I127" s="73" t="n">
        <ns0:v>410000</ns0:v>
      </ns0:c>
      <ns0:c r="J127" s="71">
        <ns0:v>2026</ns0:v>
      </ns0:c>
      <ns0:c r="K127" s="73" t="n">
        <ns0:v>6165.413533834587</ns0:v>
      </ns0:c>
      <ns0:c r="L127" s="73" t="n">
        <ns0:v>4528.38524409101</ns0:v>
      </ns0:c>
      <ns0:c r="M127" s="74" t="str">
        <ns0:f t="shared" si="20"/>
        <ns0:v>Projeto</ns0:v>
      </ns0:c>
      <ns0:c r="N127" s="74"/>
      <ns0:c r="O127" s="74"/>
      <ns0:c r="P127" s="77"/>
      <ns0:c r="Q127" s="74" t="str">
        <ns0:f t="shared" si="21"/>
        <ns0:v>Projeto</ns0:v>
      </ns0:c>
      <ns0:c r="R127" s="74" t="s">
        <ns0:v>32</ns0:v>
      </ns0:c>
      <ns0:c r="S127" s="74"/>
      <ns0:c r="T127" s="74"/>
      <ns0:c r="U127" s="74"/>
      <ns0:c r="V127" s="74"/>
      <ns0:c r="W127" s="76">
        <ns0:f t="shared" si="22"/>
        <ns0:v>1</ns0:v>
      </ns0:c>
      <ns0:c r="X127" s="74" t="str">
        <ns0:f t="shared" si="23"/>
        <ns0:v>Projeto</ns0:v>
      </ns0:c>
      <ns0:c r="Y127" s="74" t="str">
        <ns0:f t="shared" si="24"/>
        <ns0:v>N/A</ns0:v>
      </ns0:c>
      <ns0:c r="Z127" s="74"/>
      <ns0:c r="AA127" s="74" t="str">
        <ns0:f t="shared" si="25"/>
        <ns0:v>Manter</ns0:v>
      </ns0:c>
      <ns0:c r="AB127" s="74" t="str">
        <ns0:f t="shared" si="26"/>
      </ns0:c>
      <ns0:c r="AC127" s="73" t="n">
        <ns0:v>410000</ns0:v>
      </ns0:c>
      <ns0:c r="AD127" s="74" t="inlineStr">
        <ns0:is>
          <ns0:t>2026-09</ns0:t>
        </ns0:is>
      </ns0:c>
      <ns0:c r="AE127" s="74" t="inlineStr">
        <ns0:is>
          <ns0:t>Alta</ns0:t>
        </ns0:is>
      </ns0:c>
      <ns0:c r="AF127" s="74" t="inlineStr">
        <ns0:is>
          <ns0:t>Preço base tecnicamente alinhado com a concorrência interna e o posicionamento da fração.</ns0:t>
        </ns0:is>
      </ns0:c>
      <ns0:c r="AG127" s="74" t="inlineStr">
        <ns0:is>
          <ns0:t>Standard</ns0:t>
        </ns0:is>
      </ns0:c>
    </ns0:row>
    <ns0:row r="128">
      <ns0:c r="A128" s="71" t="s">
        <ns0:v>116</ns0:v>
      </ns0:c>
      <ns0:c r="B128" s="71" t="s">
        <ns0:v>139</ns0:v>
      </ns0:c>
      <ns0:c r="C128" s="71">
        <ns0:v>3</ns0:v>
      </ns0:c>
      <ns0:c r="D128" s="71" t="s">
        <ns0:v>31</ns0:v>
      </ns0:c>
      <ns0:c r="E128" s="71">
        <ns0:v>3</ns0:v>
      </ns0:c>
      <ns0:c r="F128" s="72">
        <ns0:v>99.63</ns0:v>
      </ns0:c>
      <ns0:c r="G128" s="72">
        <ns0:v>39.96</ns0:v>
      </ns0:c>
      <ns0:c r="H128" s="72">
        <ns0:v>139.59</ns0:v>
      </ns0:c>
      <ns0:c r="I128" s="73" t="n">
        <ns0:v>560000</ns0:v>
      </ns0:c>
      <ns0:c r="J128" s="71">
        <ns0:v>2026</ns0:v>
      </ns0:c>
      <ns0:c r="K128" s="73" t="n">
        <ns0:v>5620.796948710228</ns0:v>
      </ns0:c>
      <ns0:c r="L128" s="73" t="n">
        <ns0:v>4011.7486925997564</ns0:v>
      </ns0:c>
      <ns0:c r="M128" s="74" t="str">
        <ns0:f t="shared" si="20"/>
        <ns0:v>Projeto</ns0:v>
      </ns0:c>
      <ns0:c r="N128" s="74"/>
      <ns0:c r="O128" s="74"/>
      <ns0:c r="P128" s="77"/>
      <ns0:c r="Q128" s="74" t="str">
        <ns0:f t="shared" si="21"/>
        <ns0:v>Projeto</ns0:v>
      </ns0:c>
      <ns0:c r="R128" s="74" t="s">
        <ns0:v>32</ns0:v>
      </ns0:c>
      <ns0:c r="S128" s="74"/>
      <ns0:c r="T128" s="74"/>
      <ns0:c r="U128" s="74"/>
      <ns0:c r="V128" s="74"/>
      <ns0:c r="W128" s="76">
        <ns0:f t="shared" si="22"/>
        <ns0:v>1</ns0:v>
      </ns0:c>
      <ns0:c r="X128" s="74" t="str">
        <ns0:f t="shared" si="23"/>
        <ns0:v>Projeto</ns0:v>
      </ns0:c>
      <ns0:c r="Y128" s="74" t="str">
        <ns0:f t="shared" si="24"/>
        <ns0:v>N/A</ns0:v>
      </ns0:c>
      <ns0:c r="Z128" s="74"/>
      <ns0:c r="AA128" s="74" t="str">
        <ns0:f t="shared" si="25"/>
        <ns0:v>Manter</ns0:v>
      </ns0:c>
      <ns0:c r="AB128" s="74" t="str">
        <ns0:f t="shared" si="26"/>
      </ns0:c>
      <ns0:c r="AC128" s="73" t="n">
        <ns0:v>575000</ns0:v>
      </ns0:c>
      <ns0:c r="AD128" s="74" t="inlineStr">
        <ns0:is>
          <ns0:t>2026-09</ns0:t>
        </ns0:is>
      </ns0:c>
      <ns0:c r="AE128" s="74" t="inlineStr">
        <ns0:is>
          <ns0:t>Alta</ns0:t>
        </ns0:is>
      </ns0:c>
      <ns0:c r="AF128" s="74" t="inlineStr">
        <ns0:is>
          <ns0:t>T2 Este/Oeste no piso 3; ajuste moderado face aos Apt. 14 e 26.</ns0:t>
        </ns0:is>
      </ns0:c>
      <ns0:c r="AG128" s="74" t="inlineStr">
        <ns0:is>
          <ns0:t>Standard</ns0:t>
        </ns0:is>
      </ns0:c>
    </ns0:row>
    <ns0:row r="129">
      <ns0:c r="A129" s="71" t="s">
        <ns0:v>116</ns0:v>
      </ns0:c>
      <ns0:c r="B129" s="71" t="s">
        <ns0:v>140</ns0:v>
      </ns0:c>
      <ns0:c r="C129" s="71">
        <ns0:v>3</ns0:v>
      </ns0:c>
      <ns0:c r="D129" s="71" t="s">
        <ns0:v>31</ns0:v>
      </ns0:c>
      <ns0:c r="E129" s="71">
        <ns0:v>3</ns0:v>
      </ns0:c>
      <ns0:c r="F129" s="72">
        <ns0:v>106.74</ns0:v>
      </ns0:c>
      <ns0:c r="G129" s="72">
        <ns0:v>40</ns0:v>
      </ns0:c>
      <ns0:c r="H129" s="72">
        <ns0:v>146.74</ns0:v>
      </ns0:c>
      <ns0:c r="I129" s="73" t="n">
        <ns0:v>600000</ns0:v>
      </ns0:c>
      <ns0:c r="J129" s="71">
        <ns0:v>2026</ns0:v>
      </ns0:c>
      <ns0:c r="K129" s="73" t="n">
        <ns0:v>5621.135469364812</ns0:v>
      </ns0:c>
      <ns0:c r="L129" s="73" t="n">
        <ns0:v>4088.8646585798006</ns0:v>
      </ns0:c>
      <ns0:c r="M129" s="74" t="str">
        <ns0:f t="shared" si="20"/>
        <ns0:v>Projeto</ns0:v>
      </ns0:c>
      <ns0:c r="N129" s="74"/>
      <ns0:c r="O129" s="74"/>
      <ns0:c r="P129" s="77"/>
      <ns0:c r="Q129" s="74" t="str">
        <ns0:f t="shared" si="21"/>
        <ns0:v>Projeto</ns0:v>
      </ns0:c>
      <ns0:c r="R129" s="74" t="s">
        <ns0:v>32</ns0:v>
      </ns0:c>
      <ns0:c r="S129" s="74"/>
      <ns0:c r="T129" s="74"/>
      <ns0:c r="U129" s="74"/>
      <ns0:c r="V129" s="74"/>
      <ns0:c r="W129" s="76">
        <ns0:f t="shared" si="22"/>
        <ns0:v>1</ns0:v>
      </ns0:c>
      <ns0:c r="X129" s="74" t="str">
        <ns0:f t="shared" si="23"/>
        <ns0:v>Projeto</ns0:v>
      </ns0:c>
      <ns0:c r="Y129" s="74" t="str">
        <ns0:f t="shared" si="24"/>
        <ns0:v>N/A</ns0:v>
      </ns0:c>
      <ns0:c r="Z129" s="74"/>
      <ns0:c r="AA129" s="74" t="str">
        <ns0:f t="shared" si="25"/>
        <ns0:v>Manter</ns0:v>
      </ns0:c>
      <ns0:c r="AB129" s="74" t="str">
        <ns0:f t="shared" si="26"/>
      </ns0:c>
      <ns0:c r="AC129" s="73" t="n">
        <ns0:v>600000</ns0:v>
      </ns0:c>
      <ns0:c r="AD129" s="74" t="inlineStr">
        <ns0:is>
          <ns0:t>2026-09</ns0:t>
        </ns0:is>
      </ns0:c>
      <ns0:c r="AE129" s="74" t="inlineStr">
        <ns0:is>
          <ns0:t>Alta</ns0:t>
        </ns0:is>
      </ns0:c>
      <ns0:c r="AF129" s="74" t="inlineStr">
        <ns0:is>
          <ns0:t>Preço base tecnicamente alinhado com a concorrência interna e o posicionamento da fração.</ns0:t>
        </ns0:is>
      </ns0:c>
      <ns0:c r="AG129" s="74" t="inlineStr">
        <ns0:is>
          <ns0:t>Standard</ns0:t>
        </ns0:is>
      </ns0:c>
    </ns0:row>
    <ns0:row r="130">
      <ns0:c r="A130" s="71" t="s">
        <ns0:v>116</ns0:v>
      </ns0:c>
      <ns0:c r="B130" s="71" t="s">
        <ns0:v>141</ns0:v>
      </ns0:c>
      <ns0:c r="C130" s="71">
        <ns0:v>4</ns0:v>
      </ns0:c>
      <ns0:c r="D130" s="71" t="s">
        <ns0:v>31</ns0:v>
      </ns0:c>
      <ns0:c r="E130" s="71">
        <ns0:v>1</ns0:v>
      </ns0:c>
      <ns0:c r="F130" s="72">
        <ns0:v>108.2</ns0:v>
      </ns0:c>
      <ns0:c r="G130" s="72">
        <ns0:v>46.71</ns0:v>
      </ns0:c>
      <ns0:c r="H130" s="72">
        <ns0:v>154.91</ns0:v>
      </ns0:c>
      <ns0:c r="I130" s="73" t="n">
        <ns0:v>850000</ns0:v>
      </ns0:c>
      <ns0:c r="J130" s="71">
        <ns0:v>2026</ns0:v>
      </ns0:c>
      <ns0:c r="K130" s="73" t="n">
        <ns0:v>7855.822550831793</ns0:v>
      </ns0:c>
      <ns0:c r="L130" s="73" t="n">
        <ns0:v>5487.057000839197</ns0:v>
      </ns0:c>
      <ns0:c r="M130" s="74" t="str">
        <ns0:f t="shared" ref="M130:M161" si="27">IF(A130="The View","Projeto",IF(J130&gt;=2026,"Ativo",IF(J130=2025,"Rever","Histórico")))</ns0:f>
        <ns0:v>Projeto</ns0:v>
      </ns0:c>
      <ns0:c r="N130" s="74"/>
      <ns0:c r="O130" s="74"/>
      <ns0:c r="P130" s="77"/>
      <ns0:c r="Q130" s="74" t="str">
        <ns0:f t="shared" si="21"/>
        <ns0:v>Projeto</ns0:v>
      </ns0:c>
      <ns0:c r="R130" s="74" t="s">
        <ns0:v>32</ns0:v>
      </ns0:c>
      <ns0:c r="S130" s="74"/>
      <ns0:c r="T130" s="74"/>
      <ns0:c r="U130" s="74"/>
      <ns0:c r="V130" s="74"/>
      <ns0:c r="W130" s="76" t="n">
        <ns0:f t="shared" ref="W130:W161" si="28">IF(A130="The View",1,MAX(0.25,MIN(1,IF(J130&gt;=2026,1,IF(J130=2025,0.8,IF(J130=2024,0.45,0.3)))*IF(Q130="Premium waterfront/marina",1,IF(Q130="Benchmark local",0.7,0.6))*IF(M130="Vendido",0.65,IF(M130="Reservado",0.8,IF(M130="Histórico",0.55,1))))))</ns0:f>
        <ns0:v>1</ns0:v>
      </ns0:c>
      <ns0:c r="X130" s="74" t="str">
        <ns0:f t="shared" ref="X130:X161" si="29">IF(A130="The View","Projeto",IF(W130&gt;=0.85,"A · Premium ativo",IF(W130&gt;=0.55,"B · Benchmark local","C · Histórico/secundário")))</ns0:f>
        <ns0:v>Projeto</ns0:v>
      </ns0:c>
      <ns0:c r="Y130" s="74" t="str">
        <ns0:f t="shared" ref="Y130:Y161" si="30">IF(A130="The View","N/A",IF(AND(N130&lt;&gt;"",O130&lt;&gt;"",P130&lt;&gt;""),"Alta",IF(OR(N130&lt;&gt;"",O130&lt;&gt;"",P130&lt;&gt;""),"Média","Baixa")))</ns0:f>
        <ns0:v>N/A</ns0:v>
      </ns0:c>
      <ns0:c r="Z130" s="74"/>
      <ns0:c r="AA130" s="74" t="str">
        <ns0:f t="shared" ref="AA130:AA161" si="31">IF(A130="The View","Manter",IF(J130&lt;2026,"Atualizar preço/status",IF(Y130="Baixa","Adicionar fonte/URL/data",IF(W130&lt;0.55,"Rever comparabilidade","OK"))))</ns0:f>
        <ns0:v>Manter</ns0:v>
      </ns0:c>
      <ns0:c r="AB130" s="74" t="str">
        <ns0:f t="shared" ref="AB130:AB161" si="32">IF(A130="The View","",IF(OR(J130&lt;2026,Y130="Baixa"),"Alta",IF(W130&lt;0.55,"Média","Baixa")))</ns0:f>
      </ns0:c>
      <ns0:c r="AC130" s="73" t="n">
        <ns0:v>850000</ns0:v>
      </ns0:c>
      <ns0:c r="AD130" s="74" t="inlineStr">
        <ns0:is>
          <ns0:t>2026-09</ns0:t>
        </ns0:is>
      </ns0:c>
      <ns0:c r="AE130" s="74" t="inlineStr">
        <ns0:is>
          <ns0:t>Alta</ns0:t>
        </ns0:is>
      </ns0:c>
      <ns0:c r="AF130" s="74" t="inlineStr">
        <ns0:is>
          <ns0:t>Preço base tecnicamente alinhado com a concorrência interna e o posicionamento da fração.</ns0:t>
        </ns0:is>
      </ns0:c>
      <ns0:c r="AG130" s="74" t="inlineStr">
        <ns0:is>
          <ns0:t>Premium</ns0:t>
        </ns0:is>
      </ns0:c>
    </ns0:row>
    <ns0:row r="131">
      <ns0:c r="A131" s="71" t="s">
        <ns0:v>116</ns0:v>
      </ns0:c>
      <ns0:c r="B131" s="71" t="s">
        <ns0:v>142</ns0:v>
      </ns0:c>
      <ns0:c r="C131" s="71">
        <ns0:v>4</ns0:v>
      </ns0:c>
      <ns0:c r="D131" s="71" t="s">
        <ns0:v>31</ns0:v>
      </ns0:c>
      <ns0:c r="E131" s="71">
        <ns0:v>2</ns0:v>
      </ns0:c>
      <ns0:c r="F131" s="72">
        <ns0:v>122.1</ns0:v>
      </ns0:c>
      <ns0:c r="G131" s="72">
        <ns0:v>40.82</ns0:v>
      </ns0:c>
      <ns0:c r="H131" s="72">
        <ns0:v>162.91999999999999</ns0:v>
      </ns0:c>
      <ns0:c r="I131" s="73" t="n">
        <ns0:v>700000</ns0:v>
      </ns0:c>
      <ns0:c r="J131" s="71">
        <ns0:v>2026</ns0:v>
      </ns0:c>
      <ns0:c r="K131" s="73" t="n">
        <ns0:v>5733.005733005733</ns0:v>
      </ns0:c>
      <ns0:c r="L131" s="73" t="n">
        <ns0:v>4296.5872821016455</ns0:v>
      </ns0:c>
      <ns0:c r="M131" s="74" t="str">
        <ns0:f t="shared" si="27"/>
        <ns0:v>Projeto</ns0:v>
      </ns0:c>
      <ns0:c r="N131" s="74"/>
      <ns0:c r="O131" s="74"/>
      <ns0:c r="P131" s="77"/>
      <ns0:c r="Q131" s="74" t="str">
        <ns0:f t="shared" si="21"/>
        <ns0:v>Projeto</ns0:v>
      </ns0:c>
      <ns0:c r="R131" s="74" t="s">
        <ns0:v>32</ns0:v>
      </ns0:c>
      <ns0:c r="S131" s="74"/>
      <ns0:c r="T131" s="74"/>
      <ns0:c r="U131" s="74"/>
      <ns0:c r="V131" s="74"/>
      <ns0:c r="W131" s="76">
        <ns0:f t="shared" si="28"/>
        <ns0:v>1</ns0:v>
      </ns0:c>
      <ns0:c r="X131" s="74" t="str">
        <ns0:f t="shared" si="29"/>
        <ns0:v>Projeto</ns0:v>
      </ns0:c>
      <ns0:c r="Y131" s="74" t="str">
        <ns0:f t="shared" si="30"/>
        <ns0:v>N/A</ns0:v>
      </ns0:c>
      <ns0:c r="Z131" s="74"/>
      <ns0:c r="AA131" s="74" t="str">
        <ns0:f t="shared" si="31"/>
        <ns0:v>Manter</ns0:v>
      </ns0:c>
      <ns0:c r="AB131" s="74" t="str">
        <ns0:f t="shared" si="32"/>
      </ns0:c>
      <ns0:c r="AC131" s="73" t="n">
        <ns0:v>775000</ns0:v>
      </ns0:c>
      <ns0:c r="AD131" s="74" t="inlineStr">
        <ns0:is>
          <ns0:t>2026-09</ns0:t>
        </ns0:is>
      </ns0:c>
      <ns0:c r="AE131" s="74" t="inlineStr">
        <ns0:is>
          <ns0:t>Média</ns0:t>
        </ns0:is>
      </ns0:c>
      <ns0:c r="AF131" s="74" t="inlineStr">
        <ns0:is>
          <ns0:t>Piso 4, orientação Sul/Oeste e posição premium; reduz diferença excessiva face ao Apt. 23 mantendo Sul/Este valorizado.</ns0:t>
        </ns0:is>
      </ns0:c>
      <ns0:c r="AG131" s="74" t="inlineStr">
        <ns0:is>
          <ns0:t>Premium</ns0:t>
        </ns0:is>
      </ns0:c>
    </ns0:row>
    <ns0:row r="132">
      <ns0:c r="A132" s="71" t="s">
        <ns0:v>116</ns0:v>
      </ns0:c>
      <ns0:c r="B132" s="71" t="s">
        <ns0:v>143</ns0:v>
      </ns0:c>
      <ns0:c r="C132" s="71">
        <ns0:v>4</ns0:v>
      </ns0:c>
      <ns0:c r="D132" s="71" t="s">
        <ns0:v>42</ns0:v>
      </ns0:c>
      <ns0:c r="E132" s="71">
        <ns0:v>4</ns0:v>
      </ns0:c>
      <ns0:c r="F132" s="72">
        <ns0:v>76.48</ns0:v>
      </ns0:c>
      <ns0:c r="G132" s="72">
        <ns0:v>16.22</ns0:v>
      </ns0:c>
      <ns0:c r="H132" s="72">
        <ns0:v>92.7</ns0:v>
      </ns0:c>
      <ns0:c r="I132" s="73" t="n">
        <ns0:v>440000</ns0:v>
      </ns0:c>
      <ns0:c r="J132" s="71">
        <ns0:v>2026</ns0:v>
      </ns0:c>
      <ns0:c r="K132" s="73" t="n">
        <ns0:v>5753.138075313807</ns0:v>
      </ns0:c>
      <ns0:c r="L132" s="73" t="n">
        <ns0:v>4746.4940668824165</ns0:v>
      </ns0:c>
      <ns0:c r="M132" s="74" t="str">
        <ns0:f t="shared" si="27"/>
        <ns0:v>Projeto</ns0:v>
      </ns0:c>
      <ns0:c r="N132" s="74"/>
      <ns0:c r="O132" s="74"/>
      <ns0:c r="P132" s="77"/>
      <ns0:c r="Q132" s="74" t="str">
        <ns0:f t="shared" si="21"/>
        <ns0:v>Projeto</ns0:v>
      </ns0:c>
      <ns0:c r="R132" s="74" t="s">
        <ns0:v>32</ns0:v>
      </ns0:c>
      <ns0:c r="S132" s="74"/>
      <ns0:c r="T132" s="74"/>
      <ns0:c r="U132" s="74"/>
      <ns0:c r="V132" s="74"/>
      <ns0:c r="W132" s="76">
        <ns0:f t="shared" si="28"/>
        <ns0:v>1</ns0:v>
      </ns0:c>
      <ns0:c r="X132" s="74" t="str">
        <ns0:f t="shared" si="29"/>
        <ns0:v>Projeto</ns0:v>
      </ns0:c>
      <ns0:c r="Y132" s="74" t="str">
        <ns0:f t="shared" si="30"/>
        <ns0:v>N/A</ns0:v>
      </ns0:c>
      <ns0:c r="Z132" s="74"/>
      <ns0:c r="AA132" s="74" t="str">
        <ns0:f t="shared" si="31"/>
        <ns0:v>Manter</ns0:v>
      </ns0:c>
      <ns0:c r="AB132" s="74" t="str">
        <ns0:f t="shared" si="32"/>
      </ns0:c>
      <ns0:c r="AC132" s="73" t="n">
        <ns0:v>440000</ns0:v>
      </ns0:c>
      <ns0:c r="AD132" s="74" t="inlineStr">
        <ns0:is>
          <ns0:t>2026-09</ns0:t>
        </ns0:is>
      </ns0:c>
      <ns0:c r="AE132" s="74" t="inlineStr">
        <ns0:is>
          <ns0:t>Alta</ns0:t>
        </ns0:is>
      </ns0:c>
      <ns0:c r="AF132" s="74" t="inlineStr">
        <ns0:is>
          <ns0:t>Preço base tecnicamente alinhado com a concorrência interna e o posicionamento da fração.</ns0:t>
        </ns0:is>
      </ns0:c>
      <ns0:c r="AG132" s="74" t="inlineStr">
        <ns0:is>
          <ns0:t>Standard</ns0:t>
        </ns0:is>
      </ns0:c>
    </ns0:row>
    <ns0:row r="133">
      <ns0:c r="A133" s="71" t="s">
        <ns0:v>116</ns0:v>
      </ns0:c>
      <ns0:c r="B133" s="71" t="s">
        <ns0:v>144</ns0:v>
      </ns0:c>
      <ns0:c r="C133" s="71">
        <ns0:v>4</ns0:v>
      </ns0:c>
      <ns0:c r="D133" s="71" t="s">
        <ns0:v>31</ns0:v>
      </ns0:c>
      <ns0:c r="E133" s="71">
        <ns0:v>3</ns0:v>
      </ns0:c>
      <ns0:c r="F133" s="72">
        <ns0:v>96.66</ns0:v>
      </ns0:c>
      <ns0:c r="G133" s="72">
        <ns0:v>40.67</ns0:v>
      </ns0:c>
      <ns0:c r="H133" s="72">
        <ns0:v>137.33000000000001</ns0:v>
      </ns0:c>
      <ns0:c r="I133" s="73" t="n">
        <ns0:v>630000</ns0:v>
      </ns0:c>
      <ns0:c r="J133" s="71">
        <ns0:v>2026</ns0:v>
      </ns0:c>
      <ns0:c r="K133" s="73" t="n">
        <ns0:v>6517.6908752327745</ns0:v>
      </ns0:c>
      <ns0:c r="L133" s="73" t="n">
        <ns0:v>4587.489987621058</ns0:v>
      </ns0:c>
      <ns0:c r="M133" s="74" t="str">
        <ns0:f t="shared" si="27"/>
        <ns0:v>Projeto</ns0:v>
      </ns0:c>
      <ns0:c r="N133" s="74"/>
      <ns0:c r="O133" s="74"/>
      <ns0:c r="P133" s="77"/>
      <ns0:c r="Q133" s="74" t="str">
        <ns0:f t="shared" si="21"/>
        <ns0:v>Projeto</ns0:v>
      </ns0:c>
      <ns0:c r="R133" s="74" t="s">
        <ns0:v>32</ns0:v>
      </ns0:c>
      <ns0:c r="S133" s="74"/>
      <ns0:c r="T133" s="74"/>
      <ns0:c r="U133" s="74"/>
      <ns0:c r="V133" s="74"/>
      <ns0:c r="W133" s="76">
        <ns0:f t="shared" si="28"/>
        <ns0:v>1</ns0:v>
      </ns0:c>
      <ns0:c r="X133" s="74" t="str">
        <ns0:f t="shared" si="29"/>
        <ns0:v>Projeto</ns0:v>
      </ns0:c>
      <ns0:c r="Y133" s="74" t="str">
        <ns0:f t="shared" si="30"/>
        <ns0:v>N/A</ns0:v>
      </ns0:c>
      <ns0:c r="Z133" s="74"/>
      <ns0:c r="AA133" s="74" t="str">
        <ns0:f t="shared" si="31"/>
        <ns0:v>Manter</ns0:v>
      </ns0:c>
      <ns0:c r="AB133" s="74" t="str">
        <ns0:f t="shared" si="32"/>
      </ns0:c>
      <ns0:c r="AC133" s="73" t="n">
        <ns0:v>630000</ns0:v>
      </ns0:c>
      <ns0:c r="AD133" s="74" t="inlineStr">
        <ns0:is>
          <ns0:t>2026-09</ns0:t>
        </ns0:is>
      </ns0:c>
      <ns0:c r="AE133" s="74" t="inlineStr">
        <ns0:is>
          <ns0:t>Alta</ns0:t>
        </ns0:is>
      </ns0:c>
      <ns0:c r="AF133" s="74" t="inlineStr">
        <ns0:is>
          <ns0:t>Preço base tecnicamente alinhado com a concorrência interna e o posicionamento da fração.</ns0:t>
        </ns0:is>
      </ns0:c>
      <ns0:c r="AG133" s="74" t="inlineStr">
        <ns0:is>
          <ns0:t>Standard</ns0:t>
        </ns0:is>
      </ns0:c>
    </ns0:row>
    <ns0:row r="134">
      <ns0:c r="A134" s="71" t="s">
        <ns0:v>116</ns0:v>
      </ns0:c>
      <ns0:c r="B134" s="71" t="s">
        <ns0:v>145</ns0:v>
      </ns0:c>
      <ns0:c r="C134" s="71">
        <ns0:v>4</ns0:v>
      </ns0:c>
      <ns0:c r="D134" s="71" t="s">
        <ns0:v>42</ns0:v>
      </ns0:c>
      <ns0:c r="E134" s="71">
        <ns0:v>4</ns0:v>
      </ns0:c>
      <ns0:c r="F134" s="72">
        <ns0:v>69.790000000000006</ns0:v>
      </ns0:c>
      <ns0:c r="G134" s="72">
        <ns0:v>39.35</ns0:v>
      </ns0:c>
      <ns0:c r="H134" s="72">
        <ns0:v>109.14</ns0:v>
      </ns0:c>
      <ns0:c r="I134" s="73" t="n">
        <ns0:v>440000</ns0:v>
      </ns0:c>
      <ns0:c r="J134" s="71">
        <ns0:v>2026</ns0:v>
      </ns0:c>
      <ns0:c r="K134" s="73" t="n">
        <ns0:v>6304.62817022496</ns0:v>
      </ns0:c>
      <ns0:c r="L134" s="73" t="n">
        <ns0:v>4031.5191497159612</ns0:v>
      </ns0:c>
      <ns0:c r="M134" s="74" t="str">
        <ns0:f t="shared" si="27"/>
        <ns0:v>Projeto</ns0:v>
      </ns0:c>
      <ns0:c r="N134" s="74"/>
      <ns0:c r="O134" s="74"/>
      <ns0:c r="P134" s="77"/>
      <ns0:c r="Q134" s="74" t="str">
        <ns0:f t="shared" si="21"/>
        <ns0:v>Projeto</ns0:v>
      </ns0:c>
      <ns0:c r="R134" s="74" t="s">
        <ns0:v>32</ns0:v>
      </ns0:c>
      <ns0:c r="S134" s="74"/>
      <ns0:c r="T134" s="74"/>
      <ns0:c r="U134" s="74"/>
      <ns0:c r="V134" s="74"/>
      <ns0:c r="W134" s="76">
        <ns0:f t="shared" si="28"/>
        <ns0:v>1</ns0:v>
      </ns0:c>
      <ns0:c r="X134" s="74" t="str">
        <ns0:f t="shared" si="29"/>
        <ns0:v>Projeto</ns0:v>
      </ns0:c>
      <ns0:c r="Y134" s="74" t="str">
        <ns0:f t="shared" si="30"/>
        <ns0:v>N/A</ns0:v>
      </ns0:c>
      <ns0:c r="Z134" s="74"/>
      <ns0:c r="AA134" s="74" t="str">
        <ns0:f t="shared" si="31"/>
        <ns0:v>Manter</ns0:v>
      </ns0:c>
      <ns0:c r="AB134" s="74" t="str">
        <ns0:f t="shared" si="32"/>
      </ns0:c>
      <ns0:c r="AC134" s="73" t="n">
        <ns0:v>440000</ns0:v>
      </ns0:c>
      <ns0:c r="AD134" s="74" t="inlineStr">
        <ns0:is>
          <ns0:t>2026-09</ns0:t>
        </ns0:is>
      </ns0:c>
      <ns0:c r="AE134" s="74" t="inlineStr">
        <ns0:is>
          <ns0:t>Alta</ns0:t>
        </ns0:is>
      </ns0:c>
      <ns0:c r="AF134" s="74" t="inlineStr">
        <ns0:is>
          <ns0:t>Preço base tecnicamente alinhado com a concorrência interna e o posicionamento da fração.</ns0:t>
        </ns0:is>
      </ns0:c>
      <ns0:c r="AG134" s="74" t="inlineStr">
        <ns0:is>
          <ns0:t>Standard</ns0:t>
        </ns0:is>
      </ns0:c>
    </ns0:row>
    <ns0:row r="135">
      <ns0:c r="A135" s="71" t="s">
        <ns0:v>116</ns0:v>
      </ns0:c>
      <ns0:c r="B135" s="71" t="s">
        <ns0:v>146</ns0:v>
      </ns0:c>
      <ns0:c r="C135" s="71">
        <ns0:v>4</ns0:v>
      </ns0:c>
      <ns0:c r="D135" s="71" t="s">
        <ns0:v>42</ns0:v>
      </ns0:c>
      <ns0:c r="E135" s="71">
        <ns0:v>3</ns0:v>
      </ns0:c>
      <ns0:c r="F135" s="72">
        <ns0:v>70.86</ns0:v>
      </ns0:c>
      <ns0:c r="G135" s="72">
        <ns0:v>41.86</ns0:v>
      </ns0:c>
      <ns0:c r="H135" s="72">
        <ns0:v>112.72</ns0:v>
      </ns0:c>
      <ns0:c r="I135" s="73" t="n">
        <ns0:v>500000</ns0:v>
      </ns0:c>
      <ns0:c r="J135" s="71">
        <ns0:v>2026</ns0:v>
      </ns0:c>
      <ns0:c r="K135" s="73" t="n">
        <ns0:v>7056.167090036693</ns0:v>
      </ns0:c>
      <ns0:c r="L135" s="73" t="n">
        <ns0:v>4435.770049680625</ns0:v>
      </ns0:c>
      <ns0:c r="M135" s="74" t="str">
        <ns0:f t="shared" si="27"/>
        <ns0:v>Projeto</ns0:v>
      </ns0:c>
      <ns0:c r="N135" s="74"/>
      <ns0:c r="O135" s="74"/>
      <ns0:c r="P135" s="77"/>
      <ns0:c r="Q135" s="74" t="str">
        <ns0:f t="shared" si="21"/>
        <ns0:v>Projeto</ns0:v>
      </ns0:c>
      <ns0:c r="R135" s="74" t="s">
        <ns0:v>32</ns0:v>
      </ns0:c>
      <ns0:c r="S135" s="74"/>
      <ns0:c r="T135" s="74"/>
      <ns0:c r="U135" s="74"/>
      <ns0:c r="V135" s="74"/>
      <ns0:c r="W135" s="76">
        <ns0:f t="shared" si="28"/>
        <ns0:v>1</ns0:v>
      </ns0:c>
      <ns0:c r="X135" s="74" t="str">
        <ns0:f t="shared" si="29"/>
        <ns0:v>Projeto</ns0:v>
      </ns0:c>
      <ns0:c r="Y135" s="74" t="str">
        <ns0:f t="shared" si="30"/>
        <ns0:v>N/A</ns0:v>
      </ns0:c>
      <ns0:c r="Z135" s="74"/>
      <ns0:c r="AA135" s="74" t="str">
        <ns0:f t="shared" si="31"/>
        <ns0:v>Manter</ns0:v>
      </ns0:c>
      <ns0:c r="AB135" s="74" t="str">
        <ns0:f t="shared" si="32"/>
      </ns0:c>
      <ns0:c r="AC135" s="73" t="n">
        <ns0:v>500000</ns0:v>
      </ns0:c>
      <ns0:c r="AD135" s="74" t="inlineStr">
        <ns0:is>
          <ns0:t>2026-09</ns0:t>
        </ns0:is>
      </ns0:c>
      <ns0:c r="AE135" s="74" t="inlineStr">
        <ns0:is>
          <ns0:t>Alta</ns0:t>
        </ns0:is>
      </ns0:c>
      <ns0:c r="AF135" s="74" t="inlineStr">
        <ns0:is>
          <ns0:t>Preço base tecnicamente alinhado com a concorrência interna e o posicionamento da fração.</ns0:t>
        </ns0:is>
      </ns0:c>
      <ns0:c r="AG135" s="74" t="inlineStr">
        <ns0:is>
          <ns0:t>Standard</ns0:t>
        </ns0:is>
      </ns0:c>
    </ns0:row>
    <ns0:row r="136">
      <ns0:c r="A136" s="71" t="s">
        <ns0:v>116</ns0:v>
      </ns0:c>
      <ns0:c r="B136" s="71" t="s">
        <ns0:v>147</ns0:v>
      </ns0:c>
      <ns0:c r="C136" s="71">
        <ns0:v>4</ns0:v>
      </ns0:c>
      <ns0:c r="D136" s="71" t="s">
        <ns0:v>42</ns0:v>
      </ns0:c>
      <ns0:c r="E136" s="71">
        <ns0:v>3</ns0:v>
      </ns0:c>
      <ns0:c r="F136" s="72">
        <ns0:v>72.45</ns0:v>
      </ns0:c>
      <ns0:c r="G136" s="72">
        <ns0:v>29.56</ns0:v>
      </ns0:c>
      <ns0:c r="H136" s="72">
        <ns0:v>102.01</ns0:v>
      </ns0:c>
      <ns0:c r="I136" s="73" t="n">
        <ns0:v>485000</ns0:v>
      </ns0:c>
      <ns0:c r="J136" s="71">
        <ns0:v>2026</ns0:v>
      </ns0:c>
      <ns0:c r="K136" s="73" t="n">
        <ns0:v>6694.271911663216</ns0:v>
      </ns0:c>
      <ns0:c r="L136" s="73" t="n">
        <ns0:v>4754.435839623566</ns0:v>
      </ns0:c>
      <ns0:c r="M136" s="74" t="str">
        <ns0:f t="shared" si="27"/>
        <ns0:v>Projeto</ns0:v>
      </ns0:c>
      <ns0:c r="N136" s="74"/>
      <ns0:c r="O136" s="74"/>
      <ns0:c r="P136" s="77"/>
      <ns0:c r="Q136" s="74" t="str">
        <ns0:f t="shared" si="21"/>
        <ns0:v>Projeto</ns0:v>
      </ns0:c>
      <ns0:c r="R136" s="74" t="s">
        <ns0:v>32</ns0:v>
      </ns0:c>
      <ns0:c r="S136" s="74"/>
      <ns0:c r="T136" s="74"/>
      <ns0:c r="U136" s="74"/>
      <ns0:c r="V136" s="74"/>
      <ns0:c r="W136" s="76">
        <ns0:f t="shared" si="28"/>
        <ns0:v>1</ns0:v>
      </ns0:c>
      <ns0:c r="X136" s="74" t="str">
        <ns0:f t="shared" si="29"/>
        <ns0:v>Projeto</ns0:v>
      </ns0:c>
      <ns0:c r="Y136" s="74" t="str">
        <ns0:f t="shared" si="30"/>
        <ns0:v>N/A</ns0:v>
      </ns0:c>
      <ns0:c r="Z136" s="74"/>
      <ns0:c r="AA136" s="74" t="str">
        <ns0:f t="shared" si="31"/>
        <ns0:v>Manter</ns0:v>
      </ns0:c>
      <ns0:c r="AB136" s="74" t="str">
        <ns0:f t="shared" si="32"/>
      </ns0:c>
      <ns0:c r="AC136" s="73" t="n">
        <ns0:v>485000</ns0:v>
      </ns0:c>
      <ns0:c r="AD136" s="74" t="inlineStr">
        <ns0:is>
          <ns0:t>2026-09</ns0:t>
        </ns0:is>
      </ns0:c>
      <ns0:c r="AE136" s="74" t="inlineStr">
        <ns0:is>
          <ns0:t>Alta</ns0:t>
        </ns0:is>
      </ns0:c>
      <ns0:c r="AF136" s="74" t="inlineStr">
        <ns0:is>
          <ns0:t>Preço base tecnicamente alinhado com a concorrência interna e o posicionamento da fração.</ns0:t>
        </ns0:is>
      </ns0:c>
      <ns0:c r="AG136" s="74" t="inlineStr">
        <ns0:is>
          <ns0:t>Standard</ns0:t>
        </ns0:is>
      </ns0:c>
    </ns0:row>
    <ns0:row r="137">
      <ns0:c r="A137" s="71" t="s">
        <ns0:v>116</ns0:v>
      </ns0:c>
      <ns0:c r="B137" s="71" t="s">
        <ns0:v>148</ns0:v>
      </ns0:c>
      <ns0:c r="C137" s="71">
        <ns0:v>5</ns0:v>
      </ns0:c>
      <ns0:c r="D137" s="71" t="s">
        <ns0:v>31</ns0:v>
      </ns0:c>
      <ns0:c r="E137" s="71">
        <ns0:v>1</ns0:v>
      </ns0:c>
      <ns0:c r="F137" s="72">
        <ns0:v>108.04</ns0:v>
      </ns0:c>
      <ns0:c r="G137" s="72">
        <ns0:v>46.81</ns0:v>
      </ns0:c>
      <ns0:c r="H137" s="72">
        <ns0:v>154.85</ns0:v>
      </ns0:c>
      <ns0:c r="I137" s="73" t="n">
        <ns0:v>950000</ns0:v>
      </ns0:c>
      <ns0:c r="J137" s="71">
        <ns0:v>2026</ns0:v>
      </ns0:c>
      <ns0:c r="K137" s="73" t="n">
        <ns0:v>8793.039614957423</ns0:v>
      </ns0:c>
      <ns0:c r="L137" s="73" t="n">
        <ns0:v>6134.9693251533745</ns0:v>
      </ns0:c>
      <ns0:c r="M137" s="74" t="str">
        <ns0:f t="shared" si="27"/>
        <ns0:v>Projeto</ns0:v>
      </ns0:c>
      <ns0:c r="N137" s="74"/>
      <ns0:c r="O137" s="74"/>
      <ns0:c r="P137" s="77"/>
      <ns0:c r="Q137" s="74" t="str">
        <ns0:f t="shared" si="21"/>
        <ns0:v>Projeto</ns0:v>
      </ns0:c>
      <ns0:c r="R137" s="74" t="s">
        <ns0:v>32</ns0:v>
      </ns0:c>
      <ns0:c r="S137" s="74"/>
      <ns0:c r="T137" s="74"/>
      <ns0:c r="U137" s="74"/>
      <ns0:c r="V137" s="74"/>
      <ns0:c r="W137" s="76">
        <ns0:f t="shared" si="28"/>
        <ns0:v>1</ns0:v>
      </ns0:c>
      <ns0:c r="X137" s="74" t="str">
        <ns0:f t="shared" si="29"/>
        <ns0:v>Projeto</ns0:v>
      </ns0:c>
      <ns0:c r="Y137" s="74" t="str">
        <ns0:f t="shared" si="30"/>
        <ns0:v>N/A</ns0:v>
      </ns0:c>
      <ns0:c r="Z137" s="74"/>
      <ns0:c r="AA137" s="74" t="str">
        <ns0:f t="shared" si="31"/>
        <ns0:v>Manter</ns0:v>
      </ns0:c>
      <ns0:c r="AB137" s="74" t="str">
        <ns0:f t="shared" si="32"/>
      </ns0:c>
      <ns0:c r="AC137" s="73" t="n">
        <ns0:v>950000</ns0:v>
      </ns0:c>
      <ns0:c r="AD137" s="74" t="inlineStr">
        <ns0:is>
          <ns0:t>2026-09</ns0:t>
        </ns0:is>
      </ns0:c>
      <ns0:c r="AE137" s="74" t="inlineStr">
        <ns0:is>
          <ns0:t>Média</ns0:t>
        </ns0:is>
      </ns0:c>
      <ns0:c r="AF137" s="74" t="inlineStr">
        <ns0:is>
          <ns0:t>T2 Sul/Este do piso 5; referência técnica premium fora de comercialização.</ns0:t>
        </ns0:is>
      </ns0:c>
      <ns0:c r="AG137" s="74" t="inlineStr">
        <ns0:is>
          <ns0:t>Premium</ns0:t>
        </ns0:is>
      </ns0:c>
      <ns0:c r="AH137" s="74" t="inlineStr">
        <ns0:is>
          <ns0:t>Fora de comercialização</ns0:t>
        </ns0:is>
      </ns0:c>
    </ns0:row>
    <ns0:row r="138">
      <ns0:c r="A138" s="71" t="s">
        <ns0:v>116</ns0:v>
      </ns0:c>
      <ns0:c r="B138" s="71" t="s">
        <ns0:v>149</ns0:v>
      </ns0:c>
      <ns0:c r="C138" s="71">
        <ns0:v>5</ns0:v>
      </ns0:c>
      <ns0:c r="D138" s="71" t="s">
        <ns0:v>31</ns0:v>
      </ns0:c>
      <ns0:c r="E138" s="71">
        <ns0:v>2</ns0:v>
      </ns0:c>
      <ns0:c r="F138" s="72">
        <ns0:v>121.8</ns0:v>
      </ns0:c>
      <ns0:c r="G138" s="72">
        <ns0:v>40.799999999999997</ns0:v>
      </ns0:c>
      <ns0:c r="H138" s="72">
        <ns0:v>162.6</ns0:v>
      </ns0:c>
      <ns0:c r="I138" s="73" t="n">
        <ns0:v>720000</ns0:v>
      </ns0:c>
      <ns0:c r="J138" s="71">
        <ns0:v>2026</ns0:v>
      </ns0:c>
      <ns0:c r="K138" s="73" t="n">
        <ns0:v>5911.330049261084</ns0:v>
      </ns0:c>
      <ns0:c r="L138" s="73" t="n">
        <ns0:v>4428.044280442805</ns0:v>
      </ns0:c>
      <ns0:c r="M138" s="74" t="str">
        <ns0:f t="shared" si="27"/>
        <ns0:v>Projeto</ns0:v>
      </ns0:c>
      <ns0:c r="N138" s="74"/>
      <ns0:c r="O138" s="74"/>
      <ns0:c r="P138" s="77"/>
      <ns0:c r="Q138" s="74" t="str">
        <ns0:f t="shared" si="21"/>
        <ns0:v>Projeto</ns0:v>
      </ns0:c>
      <ns0:c r="R138" s="74" t="s">
        <ns0:v>32</ns0:v>
      </ns0:c>
      <ns0:c r="S138" s="74"/>
      <ns0:c r="T138" s="74"/>
      <ns0:c r="U138" s="74"/>
      <ns0:c r="V138" s="74"/>
      <ns0:c r="W138" s="76">
        <ns0:f t="shared" si="28"/>
        <ns0:v>1</ns0:v>
      </ns0:c>
      <ns0:c r="X138" s="74" t="str">
        <ns0:f t="shared" si="29"/>
        <ns0:v>Projeto</ns0:v>
      </ns0:c>
      <ns0:c r="Y138" s="74" t="str">
        <ns0:f t="shared" si="30"/>
        <ns0:v>N/A</ns0:v>
      </ns0:c>
      <ns0:c r="Z138" s="74"/>
      <ns0:c r="AA138" s="74" t="str">
        <ns0:f t="shared" si="31"/>
        <ns0:v>Manter</ns0:v>
      </ns0:c>
      <ns0:c r="AB138" s="74" t="str">
        <ns0:f t="shared" si="32"/>
      </ns0:c>
      <ns0:c r="AC138" s="73" t="n">
        <ns0:v>850000</ns0:v>
      </ns0:c>
      <ns0:c r="AD138" s="74" t="inlineStr">
        <ns0:is>
          <ns0:t>2026-09</ns0:t>
        </ns0:is>
      </ns0:c>
      <ns0:c r="AE138" s="74" t="inlineStr">
        <ns0:is>
          <ns0:t>Média</ns0:t>
        </ns0:is>
      </ns0:c>
      <ns0:c r="AF138" s="74" t="inlineStr">
        <ns0:is>
          <ns0:t>Preço técnico de referência. Fração atualmente fora de comercialização.</ns0:t>
        </ns0:is>
      </ns0:c>
      <ns0:c r="AG138" s="74" t="inlineStr">
        <ns0:is>
          <ns0:t>Premium</ns0:t>
        </ns0:is>
      </ns0:c>
      <ns0:c r="AH138" s="74" t="inlineStr">
        <ns0:is>
          <ns0:t>Fora de comercialização</ns0:t>
        </ns0:is>
      </ns0:c>
    </ns0:row>
    <ns0:row r="139">
      <ns0:c r="A139" s="71" t="s">
        <ns0:v>116</ns0:v>
      </ns0:c>
      <ns0:c r="B139" s="71" t="s">
        <ns0:v>150</ns0:v>
      </ns0:c>
      <ns0:c r="C139" s="71">
        <ns0:v>5</ns0:v>
      </ns0:c>
      <ns0:c r="D139" s="71" t="s">
        <ns0:v>42</ns0:v>
      </ns0:c>
      <ns0:c r="E139" s="71">
        <ns0:v>4</ns0:v>
      </ns0:c>
      <ns0:c r="F139" s="72">
        <ns0:v>76.2</ns0:v>
      </ns0:c>
      <ns0:c r="G139" s="72">
        <ns0:v>16.260000000000002</ns0:v>
      </ns0:c>
      <ns0:c r="H139" s="72">
        <ns0:v>92.460000000000008</ns0:v>
      </ns0:c>
      <ns0:c r="I139" s="73" t="n">
        <ns0:v>455000</ns0:v>
      </ns0:c>
      <ns0:c r="J139" s="71">
        <ns0:v>2026</ns0:v>
      </ns0:c>
      <ns0:c r="K139" s="73" t="n">
        <ns0:v>5971.128608923885</ns0:v>
      </ns0:c>
      <ns0:c r="L139" s="73" t="n">
        <ns0:v>4921.046939216958</ns0:v>
      </ns0:c>
      <ns0:c r="M139" s="74" t="str">
        <ns0:f t="shared" si="27"/>
        <ns0:v>Projeto</ns0:v>
      </ns0:c>
      <ns0:c r="N139" s="74"/>
      <ns0:c r="O139" s="74"/>
      <ns0:c r="P139" s="77"/>
      <ns0:c r="Q139" s="74" t="str">
        <ns0:f t="shared" si="21"/>
        <ns0:v>Projeto</ns0:v>
      </ns0:c>
      <ns0:c r="R139" s="74" t="s">
        <ns0:v>32</ns0:v>
      </ns0:c>
      <ns0:c r="S139" s="74"/>
      <ns0:c r="T139" s="74"/>
      <ns0:c r="U139" s="74"/>
      <ns0:c r="V139" s="74"/>
      <ns0:c r="W139" s="76">
        <ns0:f t="shared" si="28"/>
        <ns0:v>1</ns0:v>
      </ns0:c>
      <ns0:c r="X139" s="74" t="str">
        <ns0:f t="shared" si="29"/>
        <ns0:v>Projeto</ns0:v>
      </ns0:c>
      <ns0:c r="Y139" s="74" t="str">
        <ns0:f t="shared" si="30"/>
        <ns0:v>N/A</ns0:v>
      </ns0:c>
      <ns0:c r="Z139" s="74"/>
      <ns0:c r="AA139" s="74" t="str">
        <ns0:f t="shared" si="31"/>
        <ns0:v>Manter</ns0:v>
      </ns0:c>
      <ns0:c r="AB139" s="74" t="str">
        <ns0:f t="shared" si="32"/>
      </ns0:c>
      <ns0:c r="AC139" s="73" t="n">
        <ns0:v>455000</ns0:v>
      </ns0:c>
      <ns0:c r="AD139" s="74" t="inlineStr">
        <ns0:is>
          <ns0:t>2026-09</ns0:t>
        </ns0:is>
      </ns0:c>
      <ns0:c r="AE139" s="74" t="inlineStr">
        <ns0:is>
          <ns0:t>Média</ns0:t>
        </ns0:is>
      </ns0:c>
      <ns0:c r="AF139" s="74" t="inlineStr">
        <ns0:is>
          <ns0:t>T1 do piso 5; referência técnica fora de comercialização.</ns0:t>
        </ns0:is>
      </ns0:c>
      <ns0:c r="AG139" s="74" t="inlineStr">
        <ns0:is>
          <ns0:t>Standard</ns0:t>
        </ns0:is>
      </ns0:c>
      <ns0:c r="AH139" s="74" t="inlineStr">
        <ns0:is>
          <ns0:t>Fora de comercialização</ns0:t>
        </ns0:is>
      </ns0:c>
    </ns0:row>
    <ns0:row r="140">
      <ns0:c r="A140" s="71" t="s">
        <ns0:v>116</ns0:v>
      </ns0:c>
      <ns0:c r="B140" s="71" t="s">
        <ns0:v>151</ns0:v>
      </ns0:c>
      <ns0:c r="C140" s="71">
        <ns0:v>5</ns0:v>
      </ns0:c>
      <ns0:c r="D140" s="71" t="s">
        <ns0:v>31</ns0:v>
      </ns0:c>
      <ns0:c r="E140" s="71">
        <ns0:v>3</ns0:v>
      </ns0:c>
      <ns0:c r="F140" s="72">
        <ns0:v>84.63</ns0:v>
      </ns0:c>
      <ns0:c r="G140" s="72">
        <ns0:v>41.85</ns0:v>
      </ns0:c>
      <ns0:c r="H140" s="72">
        <ns0:v>126.48</ns0:v>
      </ns0:c>
      <ns0:c r="I140" s="73" t="n">
        <ns0:v>570000</ns0:v>
      </ns0:c>
      <ns0:c r="J140" s="71">
        <ns0:v>2026</ns0:v>
      </ns0:c>
      <ns0:c r="K140" s="73" t="n">
        <ns0:v>6735.200283587381</ns0:v>
      </ns0:c>
      <ns0:c r="L140" s="73" t="n">
        <ns0:v>4506.641366223908</ns0:v>
      </ns0:c>
      <ns0:c r="M140" s="74" t="str">
        <ns0:f t="shared" si="27"/>
        <ns0:v>Projeto</ns0:v>
      </ns0:c>
      <ns0:c r="N140" s="74"/>
      <ns0:c r="O140" s="74"/>
      <ns0:c r="P140" s="77"/>
      <ns0:c r="Q140" s="74" t="str">
        <ns0:f t="shared" si="21"/>
        <ns0:v>Projeto</ns0:v>
      </ns0:c>
      <ns0:c r="R140" s="74" t="s">
        <ns0:v>32</ns0:v>
      </ns0:c>
      <ns0:c r="S140" s="74"/>
      <ns0:c r="T140" s="74"/>
      <ns0:c r="U140" s="74"/>
      <ns0:c r="V140" s="74"/>
      <ns0:c r="W140" s="76">
        <ns0:f t="shared" si="28"/>
        <ns0:v>1</ns0:v>
      </ns0:c>
      <ns0:c r="X140" s="74" t="str">
        <ns0:f t="shared" si="29"/>
        <ns0:v>Projeto</ns0:v>
      </ns0:c>
      <ns0:c r="Y140" s="74" t="str">
        <ns0:f t="shared" si="30"/>
        <ns0:v>N/A</ns0:v>
      </ns0:c>
      <ns0:c r="Z140" s="74"/>
      <ns0:c r="AA140" s="74" t="str">
        <ns0:f t="shared" si="31"/>
        <ns0:v>Manter</ns0:v>
      </ns0:c>
      <ns0:c r="AB140" s="74" t="str">
        <ns0:f t="shared" si="32"/>
      </ns0:c>
      <ns0:c r="AC140" s="73" t="n">
        <ns0:v>600000</ns0:v>
      </ns0:c>
      <ns0:c r="AD140" s="74" t="inlineStr">
        <ns0:is>
          <ns0:t>2026-09</ns0:t>
        </ns0:is>
      </ns0:c>
      <ns0:c r="AE140" s="74" t="inlineStr">
        <ns0:is>
          <ns0:t>Média</ns0:t>
        </ns0:is>
      </ns0:c>
      <ns0:c r="AF140" s="74" t="inlineStr">
        <ns0:is>
          <ns0:t>T2 Este/Oeste do piso 5; preço técnico para leitura da coluna, fora de comercialização.</ns0:t>
        </ns0:is>
      </ns0:c>
      <ns0:c r="AG140" s="74" t="inlineStr">
        <ns0:is>
          <ns0:t>Standard</ns0:t>
        </ns0:is>
      </ns0:c>
      <ns0:c r="AH140" s="74" t="inlineStr">
        <ns0:is>
          <ns0:t>Fora de comercialização</ns0:t>
        </ns0:is>
      </ns0:c>
    </ns0:row>
    <ns0:row r="141">
      <ns0:c r="A141" s="71" t="s">
        <ns0:v>116</ns0:v>
      </ns0:c>
      <ns0:c r="B141" s="71" t="s">
        <ns0:v>152</ns0:v>
      </ns0:c>
      <ns0:c r="C141" s="71">
        <ns0:v>5</ns0:v>
      </ns0:c>
      <ns0:c r="D141" s="71" t="s">
        <ns0:v>31</ns0:v>
      </ns0:c>
      <ns0:c r="E141" s="71">
        <ns0:v>3</ns0:v>
      </ns0:c>
      <ns0:c r="F141" s="72">
        <ns0:v>102.95</ns0:v>
      </ns0:c>
      <ns0:c r="G141" s="72">
        <ns0:v>70.23</ns0:v>
      </ns0:c>
      <ns0:c r="H141" s="72">
        <ns0:v>173.18</ns0:v>
      </ns0:c>
      <ns0:c r="I141" s="73" t="n">
        <ns0:v>645000</ns0:v>
      </ns0:c>
      <ns0:c r="J141" s="71">
        <ns0:v>2026</ns0:v>
      </ns0:c>
      <ns0:c r="K141" s="73" t="n">
        <ns0:v>6265.17727051967</ns0:v>
      </ns0:c>
      <ns0:c r="L141" s="73" t="n">
        <ns0:v>3724.4485506409515</ns0:v>
      </ns0:c>
      <ns0:c r="M141" s="74" t="str">
        <ns0:f t="shared" si="27"/>
        <ns0:v>Projeto</ns0:v>
      </ns0:c>
      <ns0:c r="N141" s="74"/>
      <ns0:c r="O141" s="74"/>
      <ns0:c r="P141" s="77"/>
      <ns0:c r="Q141" s="74" t="str">
        <ns0:f t="shared" si="21"/>
        <ns0:v>Projeto</ns0:v>
      </ns0:c>
      <ns0:c r="R141" s="74" t="s">
        <ns0:v>32</ns0:v>
      </ns0:c>
      <ns0:c r="S141" s="74"/>
      <ns0:c r="T141" s="74"/>
      <ns0:c r="U141" s="74"/>
      <ns0:c r="V141" s="74"/>
      <ns0:c r="W141" s="76">
        <ns0:f t="shared" si="28"/>
        <ns0:v>1</ns0:v>
      </ns0:c>
      <ns0:c r="X141" s="74" t="str">
        <ns0:f t="shared" si="29"/>
        <ns0:v>Projeto</ns0:v>
      </ns0:c>
      <ns0:c r="Y141" s="74" t="str">
        <ns0:f t="shared" si="30"/>
        <ns0:v>N/A</ns0:v>
      </ns0:c>
      <ns0:c r="Z141" s="74"/>
      <ns0:c r="AA141" s="74" t="str">
        <ns0:f t="shared" si="31"/>
        <ns0:v>Manter</ns0:v>
      </ns0:c>
      <ns0:c r="AB141" s="74" t="str">
        <ns0:f t="shared" si="32"/>
      </ns0:c>
      <ns0:c r="AC141" s="73" t="n">
        <ns0:v>690000</ns0:v>
      </ns0:c>
      <ns0:c r="AD141" s="74" t="inlineStr">
        <ns0:is>
          <ns0:t>2026-09</ns0:t>
        </ns0:is>
      </ns0:c>
      <ns0:c r="AE141" s="74" t="inlineStr">
        <ns0:is>
          <ns0:t>Média</ns0:t>
        </ns0:is>
      </ns0:c>
      <ns0:c r="AF141" s="74" t="inlineStr">
        <ns0:is>
          <ns0:t>T2 de área ampla no piso 5; referência técnica fora de comercialização.</ns0:t>
        </ns0:is>
      </ns0:c>
      <ns0:c r="AG141" s="74" t="inlineStr">
        <ns0:is>
          <ns0:t>Standard</ns0:t>
        </ns0:is>
      </ns0:c>
      <ns0:c r="AH141" s="74" t="inlineStr">
        <ns0:is>
          <ns0:t>Fora de comercialização</ns0:t>
        </ns0:is>
      </ns0:c>
    </ns0:row>
    <ns0:row r="142">
      <ns0:c r="A142" s="71" t="s">
        <ns0:v>116</ns0:v>
      </ns0:c>
      <ns0:c r="B142" s="71" t="s">
        <ns0:v>153</ns0:v>
      </ns0:c>
      <ns0:c r="C142" s="71">
        <ns0:v>5</ns0:v>
      </ns0:c>
      <ns0:c r="D142" s="71" t="s">
        <ns0:v>154</ns0:v>
      </ns0:c>
      <ns0:c r="E142" s="71">
        <ns0:v>3</ns0:v>
      </ns0:c>
      <ns0:c r="F142" s="72">
        <ns0:v>82.42</ns0:v>
      </ns0:c>
      <ns0:c r="G142" s="72">
        <ns0:v>71.8</ns0:v>
      </ns0:c>
      <ns0:c r="H142" s="72">
        <ns0:v>154.22</ns0:v>
      </ns0:c>
      <ns0:c r="I142" s="73" t="n">
        <ns0:v>555000</ns0:v>
      </ns0:c>
      <ns0:c r="J142" s="71">
        <ns0:v>2026</ns0:v>
      </ns0:c>
      <ns0:c r="K142" s="73" t="n">
        <ns0:v>6733.802475127396</ns0:v>
      </ns0:c>
      <ns0:c r="L142" s="73" t="n">
        <ns0:v>3598.755025288549</ns0:v>
      </ns0:c>
      <ns0:c r="M142" s="74" t="str">
        <ns0:f t="shared" si="27"/>
        <ns0:v>Projeto</ns0:v>
      </ns0:c>
      <ns0:c r="N142" s="74"/>
      <ns0:c r="O142" s="74"/>
      <ns0:c r="P142" s="77"/>
      <ns0:c r="Q142" s="74" t="str">
        <ns0:f t="shared" si="21"/>
        <ns0:v>Projeto</ns0:v>
      </ns0:c>
      <ns0:c r="R142" s="74" t="s">
        <ns0:v>32</ns0:v>
      </ns0:c>
      <ns0:c r="S142" s="74"/>
      <ns0:c r="T142" s="74"/>
      <ns0:c r="U142" s="74"/>
      <ns0:c r="V142" s="74"/>
      <ns0:c r="W142" s="76">
        <ns0:f t="shared" si="28"/>
        <ns0:v>1</ns0:v>
      </ns0:c>
      <ns0:c r="X142" s="74" t="str">
        <ns0:f t="shared" si="29"/>
        <ns0:v>Projeto</ns0:v>
      </ns0:c>
      <ns0:c r="Y142" s="74" t="str">
        <ns0:f t="shared" si="30"/>
        <ns0:v>N/A</ns0:v>
      </ns0:c>
      <ns0:c r="Z142" s="74"/>
      <ns0:c r="AA142" s="74" t="str">
        <ns0:f t="shared" si="31"/>
        <ns0:v>Manter</ns0:v>
      </ns0:c>
      <ns0:c r="AB142" s="74" t="str">
        <ns0:f t="shared" si="32"/>
      </ns0:c>
      <ns0:c r="AC142" s="73" t="n">
        <ns0:v>600000</ns0:v>
      </ns0:c>
      <ns0:c r="AD142" s="74" t="inlineStr">
        <ns0:is>
          <ns0:t>2026-09</ns0:t>
        </ns0:is>
      </ns0:c>
      <ns0:c r="AE142" s="74" t="inlineStr">
        <ns0:is>
          <ns0:t>Baixa</ns0:t>
        </ns0:is>
      </ns0:c>
      <ns0:c r="AF142" s="74" t="inlineStr">
        <ns0:is>
          <ns0:t>Duplex singular no piso 5; referência técnica fora de comercialização.</ns0:t>
        </ns0:is>
      </ns0:c>
      <ns0:c r="AG142" s="74" t="inlineStr">
        <ns0:is>
          <ns0:t>Premium</ns0:t>
        </ns0:is>
      </ns0:c>
      <ns0:c r="AH142" s="74" t="inlineStr">
        <ns0:is>
          <ns0:t>Fora de comercialização</ns0:t>
        </ns0:is>
      </ns0:c>
    </ns0:row>
    <ns0:row r="143">
      <ns0:c r="A143" s="71" t="s">
        <ns0:v>116</ns0:v>
      </ns0:c>
      <ns0:c r="B143" s="71" t="s">
        <ns0:v>155</ns0:v>
      </ns0:c>
      <ns0:c r="C143" s="71">
        <ns0:v>6</ns0:v>
      </ns0:c>
      <ns0:c r="D143" s="71" t="s">
        <ns0:v>64</ns0:v>
      </ns0:c>
      <ns0:c r="E143" s="71">
        <ns0:v>1</ns0:v>
      </ns0:c>
      <ns0:c r="F143" s="72">
        <ns0:v>152.80000000000001</ns0:v>
      </ns0:c>
      <ns0:c r="G143" s="72">
        <ns0:v>64.459999999999994</ns0:v>
      </ns0:c>
      <ns0:c r="H143" s="72">
        <ns0:v>217.26</ns0:v>
      </ns0:c>
      <ns0:c r="I143" s="73" t="n">
        <ns0:v>1450000</ns0:v>
      </ns0:c>
      <ns0:c r="J143" s="71">
        <ns0:v>2026</ns0:v>
      </ns0:c>
      <ns0:c r="K143" s="73" t="n">
        <ns0:v>9489.528795811517</ns0:v>
      </ns0:c>
      <ns0:c r="L143" s="73" t="n">
        <ns0:v>6674.031114793335</ns0:v>
      </ns0:c>
      <ns0:c r="M143" s="74" t="str">
        <ns0:f t="shared" si="27"/>
        <ns0:v>Projeto</ns0:v>
      </ns0:c>
      <ns0:c r="N143" s="74"/>
      <ns0:c r="O143" s="74"/>
      <ns0:c r="P143" s="77"/>
      <ns0:c r="Q143" s="74" t="str">
        <ns0:f t="shared" si="21"/>
        <ns0:v>Projeto</ns0:v>
      </ns0:c>
      <ns0:c r="R143" s="74" t="s">
        <ns0:v>32</ns0:v>
      </ns0:c>
      <ns0:c r="S143" s="74"/>
      <ns0:c r="T143" s="74"/>
      <ns0:c r="U143" s="74"/>
      <ns0:c r="V143" s="74"/>
      <ns0:c r="W143" s="76">
        <ns0:f t="shared" si="28"/>
        <ns0:v>1</ns0:v>
      </ns0:c>
      <ns0:c r="X143" s="74" t="str">
        <ns0:f t="shared" si="29"/>
        <ns0:v>Projeto</ns0:v>
      </ns0:c>
      <ns0:c r="Y143" s="74" t="str">
        <ns0:f t="shared" si="30"/>
        <ns0:v>N/A</ns0:v>
      </ns0:c>
      <ns0:c r="Z143" s="74"/>
      <ns0:c r="AA143" s="74" t="str">
        <ns0:f t="shared" si="31"/>
        <ns0:v>Manter</ns0:v>
      </ns0:c>
      <ns0:c r="AB143" s="74" t="str">
        <ns0:f t="shared" si="32"/>
      </ns0:c>
      <ns0:c r="AC143" s="73" t="n">
        <ns0:v>1450000</ns0:v>
      </ns0:c>
      <ns0:c r="AD143" s="74" t="inlineStr">
        <ns0:is>
          <ns0:t>2026-09</ns0:t>
        </ns0:is>
      </ns0:c>
      <ns0:c r="AE143" s="74" t="inlineStr">
        <ns0:is>
          <ns0:t>Média</ns0:t>
        </ns0:is>
      </ns0:c>
      <ns0:c r="AF143" s="74" t="inlineStr">
        <ns0:is>
          <ns0:t>Preço elevado mas suportado pelo posicionamento premium, piso 6, orientação Sul/Este e benchmark waterfront.</ns0:t>
        </ns0:is>
      </ns0:c>
      <ns0:c r="AG143" s="74" t="inlineStr">
        <ns0:is>
          <ns0:t>Premium</ns0:t>
        </ns0:is>
      </ns0:c>
    </ns0:row>
    <ns0:row r="144">
      <ns0:c r="A144" s="71" t="s">
        <ns0:v>116</ns0:v>
      </ns0:c>
      <ns0:c r="B144" s="71" t="s">
        <ns0:v>156</ns0:v>
      </ns0:c>
      <ns0:c r="C144" s="71">
        <ns0:v>6</ns0:v>
      </ns0:c>
      <ns0:c r="D144" s="71" t="s">
        <ns0:v>31</ns0:v>
      </ns0:c>
      <ns0:c r="E144" s="71">
        <ns0:v>2</ns0:v>
      </ns0:c>
      <ns0:c r="F144" s="72">
        <ns0:v>123.81</ns0:v>
      </ns0:c>
      <ns0:c r="G144" s="72">
        <ns0:v>40.74</ns0:v>
      </ns0:c>
      <ns0:c r="H144" s="72">
        <ns0:v>164.55</ns0:v>
      </ns0:c>
      <ns0:c r="I144" s="73" t="n">
        <ns0:v>1000000</ns0:v>
      </ns0:c>
      <ns0:c r="J144" s="71">
        <ns0:v>2026</ns0:v>
      </ns0:c>
      <ns0:c r="K144" s="73" t="n">
        <ns0:v>8076.8920119538</ns0:v>
      </ns0:c>
      <ns0:c r="L144" s="73" t="n">
        <ns0:v>6077.1801883925855</ns0:v>
      </ns0:c>
      <ns0:c r="M144" s="74" t="str">
        <ns0:f t="shared" si="27"/>
        <ns0:v>Projeto</ns0:v>
      </ns0:c>
      <ns0:c r="N144" s="74"/>
      <ns0:c r="O144" s="74"/>
      <ns0:c r="P144" s="77"/>
      <ns0:c r="Q144" s="74" t="str">
        <ns0:f t="shared" si="21"/>
        <ns0:v>Projeto</ns0:v>
      </ns0:c>
      <ns0:c r="R144" s="74" t="s">
        <ns0:v>32</ns0:v>
      </ns0:c>
      <ns0:c r="S144" s="74"/>
      <ns0:c r="T144" s="74"/>
      <ns0:c r="U144" s="74"/>
      <ns0:c r="V144" s="74"/>
      <ns0:c r="W144" s="76">
        <ns0:f t="shared" si="28"/>
        <ns0:v>1</ns0:v>
      </ns0:c>
      <ns0:c r="X144" s="74" t="str">
        <ns0:f t="shared" si="29"/>
        <ns0:v>Projeto</ns0:v>
      </ns0:c>
      <ns0:c r="Y144" s="74" t="str">
        <ns0:f t="shared" si="30"/>
        <ns0:v>N/A</ns0:v>
      </ns0:c>
      <ns0:c r="Z144" s="74"/>
      <ns0:c r="AA144" s="74" t="str">
        <ns0:f t="shared" si="31"/>
        <ns0:v>Manter</ns0:v>
      </ns0:c>
      <ns0:c r="AB144" s="74" t="str">
        <ns0:f t="shared" si="32"/>
      </ns0:c>
      <ns0:c r="AC144" s="73" t="n">
        <ns0:v>1000000</ns0:v>
      </ns0:c>
      <ns0:c r="AD144" s="74" t="inlineStr">
        <ns0:is>
          <ns0:t>2026-09</ns0:t>
        </ns0:is>
      </ns0:c>
      <ns0:c r="AE144" s="74" t="inlineStr">
        <ns0:is>
          <ns0:t>Alta</ns0:t>
        </ns0:is>
      </ns0:c>
      <ns0:c r="AF144" s="74" t="inlineStr">
        <ns0:is>
          <ns0:t>Preço base tecnicamente alinhado com a concorrência interna e o posicionamento da fração.</ns0:t>
        </ns0:is>
      </ns0:c>
      <ns0:c r="AG144" s="74" t="inlineStr">
        <ns0:is>
          <ns0:t>Premium</ns0:t>
        </ns0:is>
      </ns0:c>
    </ns0:row>
    <ns0:row r="145">
      <ns0:c r="A145" s="71" t="s">
        <ns0:v>116</ns0:v>
      </ns0:c>
      <ns0:c r="B145" s="71" t="s">
        <ns0:v>157</ns0:v>
      </ns0:c>
      <ns0:c r="C145" s="71">
        <ns0:v>6</ns0:v>
      </ns0:c>
      <ns0:c r="D145" s="71" t="s">
        <ns0:v>42</ns0:v>
      </ns0:c>
      <ns0:c r="E145" s="71">
        <ns0:v>4</ns0:v>
      </ns0:c>
      <ns0:c r="F145" s="72">
        <ns0:v>75.66</ns0:v>
      </ns0:c>
      <ns0:c r="G145" s="72">
        <ns0:v>16.190000000000001</ns0:v>
      </ns0:c>
      <ns0:c r="H145" s="72">
        <ns0:v>91.85</ns0:v>
      </ns0:c>
      <ns0:c r="I145" s="73" t="n">
        <ns0:v>470000</ns0:v>
      </ns0:c>
      <ns0:c r="J145" s="71">
        <ns0:v>2026</ns0:v>
      </ns0:c>
      <ns0:c r="K145" s="73" t="n">
        <ns0:v>6212.001057361882</ns0:v>
      </ns0:c>
      <ns0:c r="L145" s="73" t="n">
        <ns0:v>5117.038649972782</ns0:v>
      </ns0:c>
      <ns0:c r="M145" s="74" t="str">
        <ns0:f t="shared" si="27"/>
        <ns0:v>Projeto</ns0:v>
      </ns0:c>
      <ns0:c r="N145" s="74"/>
      <ns0:c r="O145" s="74"/>
      <ns0:c r="P145" s="77"/>
      <ns0:c r="Q145" s="74" t="str">
        <ns0:f t="shared" si="21"/>
        <ns0:v>Projeto</ns0:v>
      </ns0:c>
      <ns0:c r="R145" s="74" t="s">
        <ns0:v>32</ns0:v>
      </ns0:c>
      <ns0:c r="S145" s="74"/>
      <ns0:c r="T145" s="74"/>
      <ns0:c r="U145" s="74"/>
      <ns0:c r="V145" s="74"/>
      <ns0:c r="W145" s="76">
        <ns0:f t="shared" si="28"/>
        <ns0:v>1</ns0:v>
      </ns0:c>
      <ns0:c r="X145" s="74" t="str">
        <ns0:f t="shared" si="29"/>
        <ns0:v>Projeto</ns0:v>
      </ns0:c>
      <ns0:c r="Y145" s="74" t="str">
        <ns0:f t="shared" si="30"/>
        <ns0:v>N/A</ns0:v>
      </ns0:c>
      <ns0:c r="Z145" s="74"/>
      <ns0:c r="AA145" s="74" t="str">
        <ns0:f t="shared" si="31"/>
        <ns0:v>Manter</ns0:v>
      </ns0:c>
      <ns0:c r="AB145" s="74" t="str">
        <ns0:f t="shared" si="32"/>
      </ns0:c>
      <ns0:c r="AC145" s="73" t="n">
        <ns0:v>470000</ns0:v>
      </ns0:c>
      <ns0:c r="AD145" s="74" t="inlineStr">
        <ns0:is>
          <ns0:t>2026-09</ns0:t>
        </ns0:is>
      </ns0:c>
      <ns0:c r="AE145" s="74" t="inlineStr">
        <ns0:is>
          <ns0:t>Alta</ns0:t>
        </ns0:is>
      </ns0:c>
      <ns0:c r="AF145" s="74" t="inlineStr">
        <ns0:is>
          <ns0:t>Preço base tecnicamente alinhado com a concorrência interna e o posicionamento da fração.</ns0:t>
        </ns0:is>
      </ns0:c>
      <ns0:c r="AG145" s="74" t="inlineStr">
        <ns0:is>
          <ns0:t>Standard</ns0:t>
        </ns0:is>
      </ns0:c>
    </ns0:row>
    <ns0:row r="146">
      <ns0:c r="A146" s="71" t="s">
        <ns0:v>116</ns0:v>
      </ns0:c>
      <ns0:c r="B146" s="71" t="s">
        <ns0:v>158</ns0:v>
      </ns0:c>
      <ns0:c r="C146" s="71">
        <ns0:v>6</ns0:v>
      </ns0:c>
      <ns0:c r="D146" s="71" t="s">
        <ns0:v>64</ns0:v>
      </ns0:c>
      <ns0:c r="E146" s="71">
        <ns0:v>3</ns0:v>
      </ns0:c>
      <ns0:c r="F146" s="72">
        <ns0:v>111.99</ns0:v>
      </ns0:c>
      <ns0:c r="G146" s="72">
        <ns0:v>92.22</ns0:v>
      </ns0:c>
      <ns0:c r="H146" s="72">
        <ns0:v>204.21</ns0:v>
      </ns0:c>
      <ns0:c r="I146" s="73" t="n">
        <ns0:v>1000000</ns0:v>
      </ns0:c>
      <ns0:c r="J146" s="71">
        <ns0:v>2026</ns0:v>
      </ns0:c>
      <ns0:c r="K146" s="73" t="n">
        <ns0:v>8929.36869363336</ns0:v>
      </ns0:c>
      <ns0:c r="L146" s="73" t="n">
        <ns0:v>4896.9198374222615</ns0:v>
      </ns0:c>
      <ns0:c r="M146" s="74" t="str">
        <ns0:f t="shared" si="27"/>
        <ns0:v>Projeto</ns0:v>
      </ns0:c>
      <ns0:c r="N146" s="74"/>
      <ns0:c r="O146" s="74"/>
      <ns0:c r="P146" s="77"/>
      <ns0:c r="Q146" s="74" t="str">
        <ns0:f t="shared" si="21"/>
        <ns0:v>Projeto</ns0:v>
      </ns0:c>
      <ns0:c r="R146" s="74" t="s">
        <ns0:v>32</ns0:v>
      </ns0:c>
      <ns0:c r="S146" s="74"/>
      <ns0:c r="T146" s="74"/>
      <ns0:c r="U146" s="74"/>
      <ns0:c r="V146" s="74"/>
      <ns0:c r="W146" s="76">
        <ns0:f t="shared" si="28"/>
        <ns0:v>1</ns0:v>
      </ns0:c>
      <ns0:c r="X146" s="74" t="str">
        <ns0:f t="shared" si="29"/>
        <ns0:v>Projeto</ns0:v>
      </ns0:c>
      <ns0:c r="Y146" s="74" t="str">
        <ns0:f t="shared" si="30"/>
        <ns0:v>N/A</ns0:v>
      </ns0:c>
      <ns0:c r="Z146" s="74"/>
      <ns0:c r="AA146" s="74" t="str">
        <ns0:f t="shared" si="31"/>
        <ns0:v>Manter</ns0:v>
      </ns0:c>
      <ns0:c r="AB146" s="74" t="str">
        <ns0:f t="shared" si="32"/>
      </ns0:c>
      <ns0:c r="AC146" s="73" t="n">
        <ns0:v>1050000</ns0:v>
      </ns0:c>
      <ns0:c r="AD146" s="74" t="inlineStr">
        <ns0:is>
          <ns0:t>2026-09</ns0:t>
        </ns0:is>
      </ns0:c>
      <ns0:c r="AE146" s="74" t="inlineStr">
        <ns0:is>
          <ns0:t>Média</ns0:t>
        </ns0:is>
      </ns0:c>
      <ns0:c r="AF146" s="74" t="inlineStr">
        <ns0:is>
          <ns0:t>T3 no último piso com exterior excecional; mantém prémio sobre o T2 Apt. 37 apesar da orientação inferior.</ns0:t>
        </ns0:is>
      </ns0:c>
      <ns0:c r="AG146" s="74" t="inlineStr">
        <ns0:is>
          <ns0:t>Premium</ns0:t>
        </ns0:is>
      </ns0:c>
    </ns0:row>
    <ns0:row r="147">
      <ns0:c r="A147" s="71" t="s">
        <ns0:v>159</ns0:v>
      </ns0:c>
      <ns0:c r="B147" s="71" t="s">
        <ns0:v>160</ns0:v>
      </ns0:c>
      <ns0:c r="C147" s="71">
        <ns0:v>3</ns0:v>
      </ns0:c>
      <ns0:c r="D147" s="71" t="s">
        <ns0:v>31</ns0:v>
      </ns0:c>
      <ns0:c r="E147" s="71">
        <ns0:v>2</ns0:v>
      </ns0:c>
      <ns0:c r="F147" s="72">
        <ns0:v>48.4</ns0:v>
      </ns0:c>
      <ns0:c r="G147" s="72">
        <ns0:v>11.300000000000004</ns0:v>
      </ns0:c>
      <ns0:c r="H147" s="72">
        <ns0:v>59.7</ns0:v>
      </ns0:c>
      <ns0:c r="I147" s="73">
        <ns0:v>560000</ns0:v>
      </ns0:c>
      <ns0:c r="J147" s="71">
        <ns0:v>2026</ns0:v>
      </ns0:c>
      <ns0:c r="K147" s="73">
        <ns0:v>11570.247933884299</ns0:v>
      </ns0:c>
      <ns0:c r="L147" s="73">
        <ns0:v>9380.234505862647</ns0:v>
      </ns0:c>
      <ns0:c r="M147" s="74" t="str">
        <ns0:f t="shared" si="27"/>
        <ns0:v>Ativo</ns0:v>
      </ns0:c>
      <ns0:c r="N147" s="74"/>
      <ns0:c r="O147" s="74"/>
      <ns0:c r="P147" s="77"/>
      <ns0:c r="Q147" s="74" t="str">
        <ns0:f t="shared" si="21"/>
        <ns0:v>Benchmark complementar / nova construção</ns0:v>
      </ns0:c>
      <ns0:c r="R147" s="74" t="s">
        <ns0:v>32</ns0:v>
      </ns0:c>
      <ns0:c r="S147" s="74"/>
      <ns0:c r="T147" s="74"/>
      <ns0:c r="U147" s="74"/>
      <ns0:c r="V147" s="74"/>
      <ns0:c r="W147" s="76" t="n">
        <ns0:f t="shared" si="28"/>
        <ns0:v>0.5</ns0:v>
      </ns0:c>
      <ns0:c r="X147" s="74" t="str">
        <ns0:f t="shared" si="29"/>
        <ns0:v>B · Benchmark complementar</ns0:v>
      </ns0:c>
      <ns0:c r="Y147" s="74" t="str">
        <ns0:f t="shared" si="30"/>
        <ns0:v>Baixa</ns0:v>
      </ns0:c>
      <ns0:c r="Z147" s="74" t="str">
        <ns0:v>Benchmark inferior/complementar; útil para piso de mercado, não para comandar o segmento premium.</ns0:v>
      </ns0:c>
      <ns0:c r="AA147" s="74" t="str">
        <ns0:f t="shared" si="31"/>
        <ns0:v>Revalidar disponibilidade e fonte quando houver nova campanha pública.</ns0:v>
      </ns0:c>
      <ns0:c r="AB147" s="74" t="str">
        <ns0:f t="shared" si="32"/>
        <ns0:v>Média</ns0:v>
      </ns0:c>
    </ns0:row>
    <ns0:row r="148">
      <ns0:c r="A148" s="71" t="s">
        <ns0:v>159</ns0:v>
      </ns0:c>
      <ns0:c r="B148" s="71" t="s">
        <ns0:v>161</ns0:v>
      </ns0:c>
      <ns0:c r="C148" s="71">
        <ns0:v>2</ns0:v>
      </ns0:c>
      <ns0:c r="D148" s="71" t="s">
        <ns0:v>64</ns0:v>
      </ns0:c>
      <ns0:c r="E148" s="71">
        <ns0:v>4</ns0:v>
      </ns0:c>
      <ns0:c r="F148" s="72">
        <ns0:v>62.6</ns0:v>
      </ns0:c>
      <ns0:c r="G148" s="72">
        <ns0:v>18.499999999999993</ns0:v>
      </ns0:c>
      <ns0:c r="H148" s="72">
        <ns0:v>81.099999999999994</ns0:v>
      </ns0:c>
      <ns0:c r="I148" s="73">
        <ns0:v>415000</ns0:v>
      </ns0:c>
      <ns0:c r="J148" s="71">
        <ns0:v>2026</ns0:v>
      </ns0:c>
      <ns0:c r="K148" s="73">
        <ns0:v>6629.3929712460058</ns0:v>
      </ns0:c>
      <ns0:c r="L148" s="73">
        <ns0:v>5117.1393341553639</ns0:v>
      </ns0:c>
      <ns0:c r="M148" s="74" t="str">
        <ns0:f t="shared" si="27"/>
        <ns0:v>Ativo</ns0:v>
      </ns0:c>
      <ns0:c r="N148" s="74"/>
      <ns0:c r="O148" s="74"/>
      <ns0:c r="P148" s="77"/>
      <ns0:c r="Q148" s="74" t="str">
        <ns0:f t="shared" si="21"/>
        <ns0:v>Benchmark complementar / nova construção</ns0:v>
      </ns0:c>
      <ns0:c r="R148" s="74" t="s">
        <ns0:v>32</ns0:v>
      </ns0:c>
      <ns0:c r="S148" s="74"/>
      <ns0:c r="T148" s="74"/>
      <ns0:c r="U148" s="74"/>
      <ns0:c r="V148" s="74"/>
      <ns0:c r="W148" s="76" t="n">
        <ns0:f t="shared" si="28"/>
        <ns0:v>0.5</ns0:v>
      </ns0:c>
      <ns0:c r="X148" s="74" t="str">
        <ns0:f t="shared" si="29"/>
        <ns0:v>B · Benchmark complementar</ns0:v>
      </ns0:c>
      <ns0:c r="Y148" s="74" t="str">
        <ns0:f t="shared" si="30"/>
        <ns0:v>Baixa</ns0:v>
      </ns0:c>
      <ns0:c r="Z148" s="74" t="str">
        <ns0:v>Benchmark inferior/complementar; útil para piso de mercado, não para comandar o segmento premium.</ns0:v>
      </ns0:c>
      <ns0:c r="AA148" s="74" t="str">
        <ns0:f t="shared" si="31"/>
        <ns0:v>Revalidar disponibilidade e fonte quando houver nova campanha pública.</ns0:v>
      </ns0:c>
      <ns0:c r="AB148" s="74" t="str">
        <ns0:f t="shared" si="32"/>
        <ns0:v>Média</ns0:v>
      </ns0:c>
    </ns0:row>
    <ns0:row r="149">
      <ns0:c r="A149" s="71" t="s">
        <ns0:v>159</ns0:v>
      </ns0:c>
      <ns0:c r="B149" s="71" t="s">
        <ns0:v>162</ns0:v>
      </ns0:c>
      <ns0:c r="C149" s="71">
        <ns0:v>2</ns0:v>
      </ns0:c>
      <ns0:c r="D149" s="71" t="s">
        <ns0:v>31</ns0:v>
      </ns0:c>
      <ns0:c r="E149" s="71">
        <ns0:v>4</ns0:v>
      </ns0:c>
      <ns0:c r="F149" s="72">
        <ns0:v>50.15</ns0:v>
      </ns0:c>
      <ns0:c r="G149" s="72">
        <ns0:v>17.949999999999996</ns0:v>
      </ns0:c>
      <ns0:c r="H149" s="72">
        <ns0:v>68.099999999999994</ns0:v>
      </ns0:c>
      <ns0:c r="I149" s="73">
        <ns0:v>380000</ns0:v>
      </ns0:c>
      <ns0:c r="J149" s="71">
        <ns0:v>2026</ns0:v>
      </ns0:c>
      <ns0:c r="K149" s="73">
        <ns0:v>7577.2681954137588</ns0:v>
      </ns0:c>
      <ns0:c r="L149" s="73">
        <ns0:v>5580.0293685756242</ns0:v>
      </ns0:c>
      <ns0:c r="M149" s="74" t="str">
        <ns0:f t="shared" si="27"/>
        <ns0:v>Ativo</ns0:v>
      </ns0:c>
      <ns0:c r="N149" s="74"/>
      <ns0:c r="O149" s="74"/>
      <ns0:c r="P149" s="77"/>
      <ns0:c r="Q149" s="74" t="str">
        <ns0:f t="shared" si="21"/>
        <ns0:v>Benchmark complementar / nova construção</ns0:v>
      </ns0:c>
      <ns0:c r="R149" s="74" t="s">
        <ns0:v>32</ns0:v>
      </ns0:c>
      <ns0:c r="S149" s="74"/>
      <ns0:c r="T149" s="74"/>
      <ns0:c r="U149" s="74"/>
      <ns0:c r="V149" s="74"/>
      <ns0:c r="W149" s="76" t="n">
        <ns0:f t="shared" si="28"/>
        <ns0:v>0.5</ns0:v>
      </ns0:c>
      <ns0:c r="X149" s="74" t="str">
        <ns0:f t="shared" si="29"/>
        <ns0:v>B · Benchmark complementar</ns0:v>
      </ns0:c>
      <ns0:c r="Y149" s="74" t="str">
        <ns0:f t="shared" si="30"/>
        <ns0:v>Baixa</ns0:v>
      </ns0:c>
      <ns0:c r="Z149" s="74" t="str">
        <ns0:v>Benchmark inferior/complementar; útil para piso de mercado, não para comandar o segmento premium.</ns0:v>
      </ns0:c>
      <ns0:c r="AA149" s="74" t="str">
        <ns0:f t="shared" si="31"/>
        <ns0:v>Revalidar disponibilidade e fonte quando houver nova campanha pública.</ns0:v>
      </ns0:c>
      <ns0:c r="AB149" s="74" t="str">
        <ns0:f t="shared" si="32"/>
        <ns0:v>Média</ns0:v>
      </ns0:c>
    </ns0:row>
    <ns0:row r="150">
      <ns0:c r="A150" s="71" t="s">
        <ns0:v>159</ns0:v>
      </ns0:c>
      <ns0:c r="B150" s="71" t="s">
        <ns0:v>29</ns0:v>
      </ns0:c>
      <ns0:c r="C150" s="71" t="s">
        <ns0:v>30</ns0:v>
      </ns0:c>
      <ns0:c r="D150" s="71" t="s">
        <ns0:v>31</ns0:v>
      </ns0:c>
      <ns0:c r="E150" s="71">
        <ns0:v>3</ns0:v>
      </ns0:c>
      <ns0:c r="F150" s="72">
        <ns0:v>59.5</ns0:v>
      </ns0:c>
      <ns0:c r="G150" s="72">
        <ns0:v>12.5</ns0:v>
      </ns0:c>
      <ns0:c r="H150" s="72">
        <ns0:v>72</ns0:v>
      </ns0:c>
      <ns0:c r="I150" s="73">
        <ns0:v>495000</ns0:v>
      </ns0:c>
      <ns0:c r="J150" s="71">
        <ns0:v>2026</ns0:v>
      </ns0:c>
      <ns0:c r="K150" s="73">
        <ns0:v>8319.3277310924368</ns0:v>
      </ns0:c>
      <ns0:c r="L150" s="73">
        <ns0:v>6875</ns0:v>
      </ns0:c>
      <ns0:c r="M150" s="74" t="str">
        <ns0:f t="shared" si="27"/>
        <ns0:v>Ativo</ns0:v>
      </ns0:c>
      <ns0:c r="N150" s="74"/>
      <ns0:c r="O150" s="74"/>
      <ns0:c r="P150" s="77"/>
      <ns0:c r="Q150" s="74" t="str">
        <ns0:f t="shared" si="21"/>
        <ns0:v>Benchmark complementar / nova construção</ns0:v>
      </ns0:c>
      <ns0:c r="R150" s="74" t="s">
        <ns0:v>32</ns0:v>
      </ns0:c>
      <ns0:c r="S150" s="74"/>
      <ns0:c r="T150" s="74"/>
      <ns0:c r="U150" s="74"/>
      <ns0:c r="V150" s="74"/>
      <ns0:c r="W150" s="76" t="n">
        <ns0:f t="shared" si="28"/>
        <ns0:v>0.5</ns0:v>
      </ns0:c>
      <ns0:c r="X150" s="74" t="str">
        <ns0:f t="shared" si="29"/>
        <ns0:v>B · Benchmark complementar</ns0:v>
      </ns0:c>
      <ns0:c r="Y150" s="74" t="str">
        <ns0:f t="shared" si="30"/>
        <ns0:v>Baixa</ns0:v>
      </ns0:c>
      <ns0:c r="Z150" s="74" t="str">
        <ns0:v>Benchmark inferior/complementar; útil para piso de mercado, não para comandar o segmento premium.</ns0:v>
      </ns0:c>
      <ns0:c r="AA150" s="74" t="str">
        <ns0:f t="shared" si="31"/>
        <ns0:v>Revalidar disponibilidade e fonte quando houver nova campanha pública.</ns0:v>
      </ns0:c>
      <ns0:c r="AB150" s="74" t="str">
        <ns0:f t="shared" si="32"/>
        <ns0:v>Média</ns0:v>
      </ns0:c>
    </ns0:row>
    <ns0:row r="151">
      <ns0:c r="A151" s="71" t="s">
        <ns0:v>159</ns0:v>
      </ns0:c>
      <ns0:c r="B151" s="71" t="s">
        <ns0:v>38</ns0:v>
      </ns0:c>
      <ns0:c r="C151" s="71">
        <ns0:v>2</ns0:v>
      </ns0:c>
      <ns0:c r="D151" s="71" t="s">
        <ns0:v>31</ns0:v>
      </ns0:c>
      <ns0:c r="E151" s="71">
        <ns0:v>4</ns0:v>
      </ns0:c>
      <ns0:c r="F151" s="72">
        <ns0:v>50.15</ns0:v>
      </ns0:c>
      <ns0:c r="G151" s="72">
        <ns0:v>12.050000000000004</ns0:v>
      </ns0:c>
      <ns0:c r="H151" s="72">
        <ns0:v>62.2</ns0:v>
      </ns0:c>
      <ns0:c r="I151" s="73">
        <ns0:v>380000</ns0:v>
      </ns0:c>
      <ns0:c r="J151" s="71">
        <ns0:v>2026</ns0:v>
      </ns0:c>
      <ns0:c r="K151" s="73">
        <ns0:v>7577.2681954137588</ns0:v>
      </ns0:c>
      <ns0:c r="L151" s="73">
        <ns0:v>6109.3247588424438</ns0:v>
      </ns0:c>
      <ns0:c r="M151" s="74" t="str">
        <ns0:f t="shared" si="27"/>
        <ns0:v>Ativo</ns0:v>
      </ns0:c>
      <ns0:c r="N151" s="74"/>
      <ns0:c r="O151" s="74"/>
      <ns0:c r="P151" s="77"/>
      <ns0:c r="Q151" s="74" t="str">
        <ns0:f t="shared" si="21"/>
        <ns0:v>Benchmark complementar / nova construção</ns0:v>
      </ns0:c>
      <ns0:c r="R151" s="74" t="s">
        <ns0:v>32</ns0:v>
      </ns0:c>
      <ns0:c r="S151" s="74"/>
      <ns0:c r="T151" s="74"/>
      <ns0:c r="U151" s="74"/>
      <ns0:c r="V151" s="74"/>
      <ns0:c r="W151" s="76" t="n">
        <ns0:f t="shared" si="28"/>
        <ns0:v>0.5</ns0:v>
      </ns0:c>
      <ns0:c r="X151" s="74" t="str">
        <ns0:f t="shared" si="29"/>
        <ns0:v>B · Benchmark complementar</ns0:v>
      </ns0:c>
      <ns0:c r="Y151" s="74" t="str">
        <ns0:f t="shared" si="30"/>
        <ns0:v>Baixa</ns0:v>
      </ns0:c>
      <ns0:c r="Z151" s="74" t="str">
        <ns0:v>Benchmark inferior/complementar; útil para piso de mercado, não para comandar o segmento premium.</ns0:v>
      </ns0:c>
      <ns0:c r="AA151" s="74" t="str">
        <ns0:f t="shared" si="31"/>
        <ns0:v>Revalidar disponibilidade e fonte quando houver nova campanha pública.</ns0:v>
      </ns0:c>
      <ns0:c r="AB151" s="74" t="str">
        <ns0:f t="shared" si="32"/>
        <ns0:v>Média</ns0:v>
      </ns0:c>
    </ns0:row>
    <ns0:row r="152">
      <ns0:c r="A152" s="71" t="s">
        <ns0:v>159</ns0:v>
      </ns0:c>
      <ns0:c r="B152" s="71" t="s">
        <ns0:v>39</ns0:v>
      </ns0:c>
      <ns0:c r="C152" s="71">
        <ns0:v>3</ns0:v>
      </ns0:c>
      <ns0:c r="D152" s="71" t="s">
        <ns0:v>42</ns0:v>
      </ns0:c>
      <ns0:c r="E152" s="71">
        <ns0:v>3</ns0:v>
      </ns0:c>
      <ns0:c r="F152" s="72">
        <ns0:v>40.4</ns0:v>
      </ns0:c>
      <ns0:c r="G152" s="72">
        <ns0:v>8.5</ns0:v>
      </ns0:c>
      <ns0:c r="H152" s="72">
        <ns0:v>48.9</ns0:v>
      </ns0:c>
      <ns0:c r="I152" s="73">
        <ns0:v>385000</ns0:v>
      </ns0:c>
      <ns0:c r="J152" s="71">
        <ns0:v>2026</ns0:v>
      </ns0:c>
      <ns0:c r="K152" s="73">
        <ns0:v>9529.7029702970303</ns0:v>
      </ns0:c>
      <ns0:c r="L152" s="73">
        <ns0:v>7873.2106339468301</ns0:v>
      </ns0:c>
      <ns0:c r="M152" s="74" t="str">
        <ns0:f t="shared" si="27"/>
        <ns0:v>Ativo</ns0:v>
      </ns0:c>
      <ns0:c r="N152" s="74"/>
      <ns0:c r="O152" s="74"/>
      <ns0:c r="P152" s="77"/>
      <ns0:c r="Q152" s="74" t="str">
        <ns0:f t="shared" si="21"/>
        <ns0:v>Benchmark complementar / nova construção</ns0:v>
      </ns0:c>
      <ns0:c r="R152" s="74" t="s">
        <ns0:v>32</ns0:v>
      </ns0:c>
      <ns0:c r="S152" s="74"/>
      <ns0:c r="T152" s="74"/>
      <ns0:c r="U152" s="74"/>
      <ns0:c r="V152" s="74"/>
      <ns0:c r="W152" s="76" t="n">
        <ns0:f t="shared" si="28"/>
        <ns0:v>0.5</ns0:v>
      </ns0:c>
      <ns0:c r="X152" s="74" t="str">
        <ns0:f t="shared" si="29"/>
        <ns0:v>B · Benchmark complementar</ns0:v>
      </ns0:c>
      <ns0:c r="Y152" s="74" t="str">
        <ns0:f t="shared" si="30"/>
        <ns0:v>Baixa</ns0:v>
      </ns0:c>
      <ns0:c r="Z152" s="74" t="str">
        <ns0:v>Benchmark inferior/complementar; útil para piso de mercado, não para comandar o segmento premium.</ns0:v>
      </ns0:c>
      <ns0:c r="AA152" s="74" t="str">
        <ns0:f t="shared" si="31"/>
        <ns0:v>Revalidar disponibilidade e fonte quando houver nova campanha pública.</ns0:v>
      </ns0:c>
      <ns0:c r="AB152" s="74" t="str">
        <ns0:f t="shared" si="32"/>
        <ns0:v>Média</ns0:v>
      </ns0:c>
    </ns0:row>
    <ns0:row r="153">
      <ns0:c r="A153" s="71" t="s">
        <ns0:v>159</ns0:v>
      </ns0:c>
      <ns0:c r="B153" s="71" t="s">
        <ns0:v>163</ns0:v>
      </ns0:c>
      <ns0:c r="C153" s="71">
        <ns0:v>3</ns0:v>
      </ns0:c>
      <ns0:c r="D153" s="71" t="s">
        <ns0:v>42</ns0:v>
      </ns0:c>
      <ns0:c r="E153" s="71">
        <ns0:v>4</ns0:v>
      </ns0:c>
      <ns0:c r="F153" s="72">
        <ns0:v>40.4</ns0:v>
      </ns0:c>
      <ns0:c r="G153" s="72">
        <ns0:v>8.5</ns0:v>
      </ns0:c>
      <ns0:c r="H153" s="72">
        <ns0:v>48.9</ns0:v>
      </ns0:c>
      <ns0:c r="I153" s="73">
        <ns0:v>385000</ns0:v>
      </ns0:c>
      <ns0:c r="J153" s="71">
        <ns0:v>2026</ns0:v>
      </ns0:c>
      <ns0:c r="K153" s="73">
        <ns0:v>9529.7029702970303</ns0:v>
      </ns0:c>
      <ns0:c r="L153" s="73">
        <ns0:v>7873.2106339468301</ns0:v>
      </ns0:c>
      <ns0:c r="M153" s="74" t="str">
        <ns0:f t="shared" si="27"/>
        <ns0:v>Ativo</ns0:v>
      </ns0:c>
      <ns0:c r="N153" s="74"/>
      <ns0:c r="O153" s="74"/>
      <ns0:c r="P153" s="77"/>
      <ns0:c r="Q153" s="74" t="str">
        <ns0:f t="shared" si="21"/>
        <ns0:v>Benchmark complementar / nova construção</ns0:v>
      </ns0:c>
      <ns0:c r="R153" s="74" t="s">
        <ns0:v>32</ns0:v>
      </ns0:c>
      <ns0:c r="S153" s="74"/>
      <ns0:c r="T153" s="74"/>
      <ns0:c r="U153" s="74"/>
      <ns0:c r="V153" s="74"/>
      <ns0:c r="W153" s="76" t="n">
        <ns0:f t="shared" si="28"/>
        <ns0:v>0.5</ns0:v>
      </ns0:c>
      <ns0:c r="X153" s="74" t="str">
        <ns0:f t="shared" si="29"/>
        <ns0:v>B · Benchmark complementar</ns0:v>
      </ns0:c>
      <ns0:c r="Y153" s="74" t="str">
        <ns0:f t="shared" si="30"/>
        <ns0:v>Baixa</ns0:v>
      </ns0:c>
      <ns0:c r="Z153" s="74" t="str">
        <ns0:v>Benchmark inferior/complementar; útil para piso de mercado, não para comandar o segmento premium.</ns0:v>
      </ns0:c>
      <ns0:c r="AA153" s="74" t="str">
        <ns0:f t="shared" si="31"/>
        <ns0:v>Revalidar disponibilidade e fonte quando houver nova campanha pública.</ns0:v>
      </ns0:c>
      <ns0:c r="AB153" s="74" t="str">
        <ns0:f t="shared" si="32"/>
        <ns0:v>Média</ns0:v>
      </ns0:c>
    </ns0:row>
    <ns0:row r="154">
      <ns0:c r="A154" s="71" t="s">
        <ns0:v>159</ns0:v>
      </ns0:c>
      <ns0:c r="B154" s="71" t="s">
        <ns0:v>45</ns0:v>
      </ns0:c>
      <ns0:c r="C154" s="71">
        <ns0:v>1</ns0:v>
      </ns0:c>
      <ns0:c r="D154" s="71" t="s">
        <ns0:v>31</ns0:v>
      </ns0:c>
      <ns0:c r="E154" s="71">
        <ns0:v>4</ns0:v>
      </ns0:c>
      <ns0:c r="F154" s="72">
        <ns0:v>81.25</ns0:v>
      </ns0:c>
      <ns0:c r="G154" s="72">
        <ns0:v>30.25</ns0:v>
      </ns0:c>
      <ns0:c r="H154" s="72">
        <ns0:v>111.5</ns0:v>
      </ns0:c>
      <ns0:c r="I154" s="73">
        <ns0:v>600000</ns0:v>
      </ns0:c>
      <ns0:c r="J154" s="71">
        <ns0:v>2026</ns0:v>
      </ns0:c>
      <ns0:c r="K154" s="73">
        <ns0:v>7384.6153846153848</ns0:v>
      </ns0:c>
      <ns0:c r="L154" s="73">
        <ns0:v>5381.1659192825109</ns0:v>
      </ns0:c>
      <ns0:c r="M154" s="74" t="str">
        <ns0:f t="shared" si="27"/>
        <ns0:v>Ativo</ns0:v>
      </ns0:c>
      <ns0:c r="N154" s="74"/>
      <ns0:c r="O154" s="74"/>
      <ns0:c r="P154" s="77"/>
      <ns0:c r="Q154" s="74" t="str">
        <ns0:f t="shared" si="21"/>
        <ns0:v>Benchmark complementar / nova construção</ns0:v>
      </ns0:c>
      <ns0:c r="R154" s="74" t="s">
        <ns0:v>32</ns0:v>
      </ns0:c>
      <ns0:c r="S154" s="74"/>
      <ns0:c r="T154" s="74"/>
      <ns0:c r="U154" s="74"/>
      <ns0:c r="V154" s="74"/>
      <ns0:c r="W154" s="76" t="n">
        <ns0:f t="shared" si="28"/>
        <ns0:v>0.5</ns0:v>
      </ns0:c>
      <ns0:c r="X154" s="74" t="str">
        <ns0:f t="shared" si="29"/>
        <ns0:v>B · Benchmark complementar</ns0:v>
      </ns0:c>
      <ns0:c r="Y154" s="74" t="str">
        <ns0:f t="shared" si="30"/>
        <ns0:v>Baixa</ns0:v>
      </ns0:c>
      <ns0:c r="Z154" s="74" t="str">
        <ns0:v>Benchmark inferior/complementar; útil para piso de mercado, não para comandar o segmento premium.</ns0:v>
      </ns0:c>
      <ns0:c r="AA154" s="74" t="str">
        <ns0:f t="shared" si="31"/>
        <ns0:v>Revalidar disponibilidade e fonte quando houver nova campanha pública.</ns0:v>
      </ns0:c>
      <ns0:c r="AB154" s="74" t="str">
        <ns0:f t="shared" si="32"/>
        <ns0:v>Média</ns0:v>
      </ns0:c>
    </ns0:row>
    <ns0:row r="155">
      <ns0:c r="A155" s="71" t="s">
        <ns0:v>159</ns0:v>
      </ns0:c>
      <ns0:c r="B155" s="71" t="s">
        <ns0:v>164</ns0:v>
      </ns0:c>
      <ns0:c r="C155" s="71">
        <ns0:v>1</ns0:v>
      </ns0:c>
      <ns0:c r="D155" s="71" t="s">
        <ns0:v>31</ns0:v>
      </ns0:c>
      <ns0:c r="E155" s="71">
        <ns0:v>1</ns0:v>
      </ns0:c>
      <ns0:c r="F155" s="72">
        <ns0:v>81.3</ns0:v>
      </ns0:c>
      <ns0:c r="G155" s="72">
        <ns0:v>12.100000000000009</ns0:v>
      </ns0:c>
      <ns0:c r="H155" s="72">
        <ns0:v>93.4</ns0:v>
      </ns0:c>
      <ns0:c r="I155" s="73">
        <ns0:v>495000</ns0:v>
      </ns0:c>
      <ns0:c r="J155" s="71">
        <ns0:v>2026</ns0:v>
      </ns0:c>
      <ns0:c r="K155" s="73">
        <ns0:v>6088.5608856088566</ns0:v>
      </ns0:c>
      <ns0:c r="L155" s="73">
        <ns0:v>5299.7858672376869</ns0:v>
      </ns0:c>
      <ns0:c r="M155" s="74" t="str">
        <ns0:f t="shared" si="27"/>
        <ns0:v>Ativo</ns0:v>
      </ns0:c>
      <ns0:c r="N155" s="74"/>
      <ns0:c r="O155" s="74"/>
      <ns0:c r="P155" s="77"/>
      <ns0:c r="Q155" s="74" t="str">
        <ns0:f t="shared" si="21"/>
        <ns0:v>Benchmark complementar / nova construção</ns0:v>
      </ns0:c>
      <ns0:c r="R155" s="74" t="s">
        <ns0:v>32</ns0:v>
      </ns0:c>
      <ns0:c r="S155" s="74"/>
      <ns0:c r="T155" s="74"/>
      <ns0:c r="U155" s="74"/>
      <ns0:c r="V155" s="74"/>
      <ns0:c r="W155" s="76" t="n">
        <ns0:f t="shared" si="28"/>
        <ns0:v>0.5</ns0:v>
      </ns0:c>
      <ns0:c r="X155" s="74" t="str">
        <ns0:f t="shared" si="29"/>
        <ns0:v>B · Benchmark complementar</ns0:v>
      </ns0:c>
      <ns0:c r="Y155" s="74" t="str">
        <ns0:f t="shared" si="30"/>
        <ns0:v>Baixa</ns0:v>
      </ns0:c>
      <ns0:c r="Z155" s="74" t="str">
        <ns0:v>Benchmark inferior/complementar; útil para piso de mercado, não para comandar o segmento premium.</ns0:v>
      </ns0:c>
      <ns0:c r="AA155" s="74" t="str">
        <ns0:f t="shared" si="31"/>
        <ns0:v>Revalidar disponibilidade e fonte quando houver nova campanha pública.</ns0:v>
      </ns0:c>
      <ns0:c r="AB155" s="74" t="str">
        <ns0:f t="shared" si="32"/>
        <ns0:v>Média</ns0:v>
      </ns0:c>
    </ns0:row>
    <ns0:row r="156">
      <ns0:c r="A156" s="71" t="s">
        <ns0:v>159</ns0:v>
      </ns0:c>
      <ns0:c r="B156" s="71" t="s">
        <ns0:v>165</ns0:v>
      </ns0:c>
      <ns0:c r="C156" s="71">
        <ns0:v>1</ns0:v>
      </ns0:c>
      <ns0:c r="D156" s="71" t="s">
        <ns0:v>31</ns0:v>
      </ns0:c>
      <ns0:c r="E156" s="71">
        <ns0:v>1</ns0:v>
      </ns0:c>
      <ns0:c r="F156" s="72">
        <ns0:v>76.7</ns0:v>
      </ns0:c>
      <ns0:c r="G156" s="72">
        <ns0:v>30.200000000000003</ns0:v>
      </ns0:c>
      <ns0:c r="H156" s="72">
        <ns0:v>106.9</ns0:v>
      </ns0:c>
      <ns0:c r="I156" s="73">
        <ns0:v>599000</ns0:v>
      </ns0:c>
      <ns0:c r="J156" s="71">
        <ns0:v>2026</ns0:v>
      </ns0:c>
      <ns0:c r="K156" s="73">
        <ns0:v>7809.6479791395041</ns0:v>
      </ns0:c>
      <ns0:c r="L156" s="73">
        <ns0:v>5603.3676333021513</ns0:v>
      </ns0:c>
      <ns0:c r="M156" s="74" t="str">
        <ns0:f t="shared" si="27"/>
        <ns0:v>Ativo</ns0:v>
      </ns0:c>
      <ns0:c r="N156" s="74"/>
      <ns0:c r="O156" s="74"/>
      <ns0:c r="P156" s="77"/>
      <ns0:c r="Q156" s="74" t="str">
        <ns0:f t="shared" si="21"/>
        <ns0:v>Benchmark complementar / nova construção</ns0:v>
      </ns0:c>
      <ns0:c r="R156" s="74" t="s">
        <ns0:v>32</ns0:v>
      </ns0:c>
      <ns0:c r="S156" s="74"/>
      <ns0:c r="T156" s="74"/>
      <ns0:c r="U156" s="74"/>
      <ns0:c r="V156" s="74"/>
      <ns0:c r="W156" s="76" t="n">
        <ns0:f t="shared" si="28"/>
        <ns0:v>0.5</ns0:v>
      </ns0:c>
      <ns0:c r="X156" s="74" t="str">
        <ns0:f t="shared" si="29"/>
        <ns0:v>B · Benchmark complementar</ns0:v>
      </ns0:c>
      <ns0:c r="Y156" s="74" t="str">
        <ns0:f t="shared" si="30"/>
        <ns0:v>Baixa</ns0:v>
      </ns0:c>
      <ns0:c r="Z156" s="74" t="str">
        <ns0:v>Benchmark inferior/complementar; útil para piso de mercado, não para comandar o segmento premium.</ns0:v>
      </ns0:c>
      <ns0:c r="AA156" s="74" t="str">
        <ns0:f t="shared" si="31"/>
        <ns0:v>Revalidar disponibilidade e fonte quando houver nova campanha pública.</ns0:v>
      </ns0:c>
      <ns0:c r="AB156" s="74" t="str">
        <ns0:f t="shared" si="32"/>
        <ns0:v>Média</ns0:v>
      </ns0:c>
    </ns0:row>
    <ns0:row r="157">
      <ns0:c r="A157" s="71" t="s">
        <ns0:v>159</ns0:v>
      </ns0:c>
      <ns0:c r="B157" s="71" t="s">
        <ns0:v>166</ns0:v>
      </ns0:c>
      <ns0:c r="C157" s="71">
        <ns0:v>2</ns0:v>
      </ns0:c>
      <ns0:c r="D157" s="71" t="s">
        <ns0:v>31</ns0:v>
      </ns0:c>
      <ns0:c r="E157" s="71">
        <ns0:v>2</ns0:v>
      </ns0:c>
      <ns0:c r="F157" s="72">
        <ns0:v>81.25</ns0:v>
      </ns0:c>
      <ns0:c r="G157" s="72">
        <ns0:v>30.25</ns0:v>
      </ns0:c>
      <ns0:c r="H157" s="72">
        <ns0:v>111.5</ns0:v>
      </ns0:c>
      <ns0:c r="I157" s="73">
        <ns0:v>620000</ns0:v>
      </ns0:c>
      <ns0:c r="J157" s="71">
        <ns0:v>2026</ns0:v>
      </ns0:c>
      <ns0:c r="K157" s="73">
        <ns0:v>7630.7692307692305</ns0:v>
      </ns0:c>
      <ns0:c r="L157" s="73">
        <ns0:v>5560.538116591928</ns0:v>
      </ns0:c>
      <ns0:c r="M157" s="74" t="str">
        <ns0:f t="shared" si="27"/>
        <ns0:v>Ativo</ns0:v>
      </ns0:c>
      <ns0:c r="N157" s="74"/>
      <ns0:c r="O157" s="74"/>
      <ns0:c r="P157" s="77"/>
      <ns0:c r="Q157" s="74" t="str">
        <ns0:f t="shared" si="21"/>
        <ns0:v>Benchmark complementar / nova construção</ns0:v>
      </ns0:c>
      <ns0:c r="R157" s="74" t="s">
        <ns0:v>32</ns0:v>
      </ns0:c>
      <ns0:c r="S157" s="74"/>
      <ns0:c r="T157" s="74"/>
      <ns0:c r="U157" s="74"/>
      <ns0:c r="V157" s="74"/>
      <ns0:c r="W157" s="76" t="n">
        <ns0:f t="shared" si="28"/>
        <ns0:v>0.5</ns0:v>
      </ns0:c>
      <ns0:c r="X157" s="74" t="str">
        <ns0:f t="shared" si="29"/>
        <ns0:v>B · Benchmark complementar</ns0:v>
      </ns0:c>
      <ns0:c r="Y157" s="74" t="str">
        <ns0:f t="shared" si="30"/>
        <ns0:v>Baixa</ns0:v>
      </ns0:c>
      <ns0:c r="Z157" s="74" t="str">
        <ns0:v>Benchmark inferior/complementar; útil para piso de mercado, não para comandar o segmento premium.</ns0:v>
      </ns0:c>
      <ns0:c r="AA157" s="74" t="str">
        <ns0:f t="shared" si="31"/>
        <ns0:v>Revalidar disponibilidade e fonte quando houver nova campanha pública.</ns0:v>
      </ns0:c>
      <ns0:c r="AB157" s="74" t="str">
        <ns0:f t="shared" si="32"/>
        <ns0:v>Média</ns0:v>
      </ns0:c>
    </ns0:row>
    <ns0:row r="158">
      <ns0:c r="A158" s="71" t="s">
        <ns0:v>159</ns0:v>
      </ns0:c>
      <ns0:c r="B158" s="71" t="s">
        <ns0:v>76</ns0:v>
      </ns0:c>
      <ns0:c r="C158" s="71">
        <ns0:v>2</ns0:v>
      </ns0:c>
      <ns0:c r="D158" s="71" t="s">
        <ns0:v>31</ns0:v>
      </ns0:c>
      <ns0:c r="E158" s="71">
        <ns0:v>2</ns0:v>
      </ns0:c>
      <ns0:c r="F158" s="72">
        <ns0:v>81.3</ns0:v>
      </ns0:c>
      <ns0:c r="G158" s="72">
        <ns0:v>12.100000000000009</ns0:v>
      </ns0:c>
      <ns0:c r="H158" s="72">
        <ns0:v>93.4</ns0:v>
      </ns0:c>
      <ns0:c r="I158" s="73">
        <ns0:v>515000</ns0:v>
      </ns0:c>
      <ns0:c r="J158" s="71">
        <ns0:v>2026</ns0:v>
      </ns0:c>
      <ns0:c r="K158" s="73">
        <ns0:v>6334.5633456334563</ns0:v>
      </ns0:c>
      <ns0:c r="L158" s="73">
        <ns0:v>5513.9186295503205</ns0:v>
      </ns0:c>
      <ns0:c r="M158" s="74" t="str">
        <ns0:f t="shared" si="27"/>
        <ns0:v>Ativo</ns0:v>
      </ns0:c>
      <ns0:c r="N158" s="74"/>
      <ns0:c r="O158" s="74"/>
      <ns0:c r="P158" s="77"/>
      <ns0:c r="Q158" s="74" t="str">
        <ns0:f t="shared" si="21"/>
        <ns0:v>Benchmark complementar / nova construção</ns0:v>
      </ns0:c>
      <ns0:c r="R158" s="74" t="s">
        <ns0:v>32</ns0:v>
      </ns0:c>
      <ns0:c r="S158" s="74"/>
      <ns0:c r="T158" s="74"/>
      <ns0:c r="U158" s="74"/>
      <ns0:c r="V158" s="74"/>
      <ns0:c r="W158" s="76" t="n">
        <ns0:f t="shared" si="28"/>
        <ns0:v>0.5</ns0:v>
      </ns0:c>
      <ns0:c r="X158" s="74" t="str">
        <ns0:f t="shared" si="29"/>
        <ns0:v>B · Benchmark complementar</ns0:v>
      </ns0:c>
      <ns0:c r="Y158" s="74" t="str">
        <ns0:f t="shared" si="30"/>
        <ns0:v>Baixa</ns0:v>
      </ns0:c>
      <ns0:c r="Z158" s="74" t="str">
        <ns0:v>Benchmark inferior/complementar; útil para piso de mercado, não para comandar o segmento premium.</ns0:v>
      </ns0:c>
      <ns0:c r="AA158" s="74" t="str">
        <ns0:f t="shared" si="31"/>
        <ns0:v>Revalidar disponibilidade e fonte quando houver nova campanha pública.</ns0:v>
      </ns0:c>
      <ns0:c r="AB158" s="74" t="str">
        <ns0:f t="shared" si="32"/>
        <ns0:v>Média</ns0:v>
      </ns0:c>
    </ns0:row>
    <ns0:row r="159">
      <ns0:c r="A159" s="71" t="s">
        <ns0:v>159</ns0:v>
      </ns0:c>
      <ns0:c r="B159" s="71" t="s">
        <ns0:v>167</ns0:v>
      </ns0:c>
      <ns0:c r="C159" s="71">
        <ns0:v>2</ns0:v>
      </ns0:c>
      <ns0:c r="D159" s="71" t="s">
        <ns0:v>31</ns0:v>
      </ns0:c>
      <ns0:c r="E159" s="71">
        <ns0:v>1</ns0:v>
      </ns0:c>
      <ns0:c r="F159" s="72">
        <ns0:v>76.7</ns0:v>
      </ns0:c>
      <ns0:c r="G159" s="72">
        <ns0:v>30.200000000000003</ns0:v>
      </ns0:c>
      <ns0:c r="H159" s="72">
        <ns0:v>106.9</ns0:v>
      </ns0:c>
      <ns0:c r="I159" s="73">
        <ns0:v>619000</ns0:v>
      </ns0:c>
      <ns0:c r="J159" s="71">
        <ns0:v>2026</ns0:v>
      </ns0:c>
      <ns0:c r="K159" s="73">
        <ns0:v>8070.4041720990872</ns0:v>
      </ns0:c>
      <ns0:c r="L159" s="73">
        <ns0:v>5790.4583723105707</ns0:v>
      </ns0:c>
      <ns0:c r="M159" s="74" t="str">
        <ns0:f t="shared" si="27"/>
        <ns0:v>Ativo</ns0:v>
      </ns0:c>
      <ns0:c r="N159" s="74"/>
      <ns0:c r="O159" s="74"/>
      <ns0:c r="P159" s="77"/>
      <ns0:c r="Q159" s="74" t="str">
        <ns0:f t="shared" si="21"/>
        <ns0:v>Benchmark complementar / nova construção</ns0:v>
      </ns0:c>
      <ns0:c r="R159" s="74" t="s">
        <ns0:v>32</ns0:v>
      </ns0:c>
      <ns0:c r="S159" s="74"/>
      <ns0:c r="T159" s="74"/>
      <ns0:c r="U159" s="74"/>
      <ns0:c r="V159" s="74"/>
      <ns0:c r="W159" s="76" t="n">
        <ns0:f t="shared" si="28"/>
        <ns0:v>0.5</ns0:v>
      </ns0:c>
      <ns0:c r="X159" s="74" t="str">
        <ns0:f t="shared" si="29"/>
        <ns0:v>B · Benchmark complementar</ns0:v>
      </ns0:c>
      <ns0:c r="Y159" s="74" t="str">
        <ns0:f t="shared" si="30"/>
        <ns0:v>Baixa</ns0:v>
      </ns0:c>
      <ns0:c r="Z159" s="74" t="str">
        <ns0:v>Benchmark inferior/complementar; útil para piso de mercado, não para comandar o segmento premium.</ns0:v>
      </ns0:c>
      <ns0:c r="AA159" s="74" t="str">
        <ns0:f t="shared" si="31"/>
        <ns0:v>Revalidar disponibilidade e fonte quando houver nova campanha pública.</ns0:v>
      </ns0:c>
      <ns0:c r="AB159" s="74" t="str">
        <ns0:f t="shared" si="32"/>
        <ns0:v>Média</ns0:v>
      </ns0:c>
    </ns0:row>
    <ns0:row r="160">
      <ns0:c r="A160" s="71" t="s">
        <ns0:v>159</ns0:v>
      </ns0:c>
      <ns0:c r="B160" s="71" t="s">
        <ns0:v>168</ns0:v>
      </ns0:c>
      <ns0:c r="C160" s="71">
        <ns0:v>3</ns0:v>
      </ns0:c>
      <ns0:c r="D160" s="71" t="s">
        <ns0:v>31</ns0:v>
      </ns0:c>
      <ns0:c r="E160" s="71">
        <ns0:v>1</ns0:v>
      </ns0:c>
      <ns0:c r="F160" s="72">
        <ns0:v>81.25</ns0:v>
      </ns0:c>
      <ns0:c r="G160" s="72">
        <ns0:v>30.25</ns0:v>
      </ns0:c>
      <ns0:c r="H160" s="72">
        <ns0:v>111.5</ns0:v>
      </ns0:c>
      <ns0:c r="I160" s="73">
        <ns0:v>645000</ns0:v>
      </ns0:c>
      <ns0:c r="J160" s="71">
        <ns0:v>2026</ns0:v>
      </ns0:c>
      <ns0:c r="K160" s="73">
        <ns0:v>7938.4615384615381</ns0:v>
      </ns0:c>
      <ns0:c r="L160" s="73">
        <ns0:v>5784.7533632286995</ns0:v>
      </ns0:c>
      <ns0:c r="M160" s="74" t="str">
        <ns0:f t="shared" si="27"/>
        <ns0:v>Ativo</ns0:v>
      </ns0:c>
      <ns0:c r="N160" s="74"/>
      <ns0:c r="O160" s="74"/>
      <ns0:c r="P160" s="77"/>
      <ns0:c r="Q160" s="74" t="str">
        <ns0:f t="shared" si="21"/>
        <ns0:v>Benchmark complementar / nova construção</ns0:v>
      </ns0:c>
      <ns0:c r="R160" s="74" t="s">
        <ns0:v>32</ns0:v>
      </ns0:c>
      <ns0:c r="S160" s="74"/>
      <ns0:c r="T160" s="74"/>
      <ns0:c r="U160" s="74"/>
      <ns0:c r="V160" s="74"/>
      <ns0:c r="W160" s="76" t="n">
        <ns0:f t="shared" si="28"/>
        <ns0:v>0.5</ns0:v>
      </ns0:c>
      <ns0:c r="X160" s="74" t="str">
        <ns0:f t="shared" si="29"/>
        <ns0:v>B · Benchmark complementar</ns0:v>
      </ns0:c>
      <ns0:c r="Y160" s="74" t="str">
        <ns0:f t="shared" si="30"/>
        <ns0:v>Baixa</ns0:v>
      </ns0:c>
      <ns0:c r="Z160" s="74" t="str">
        <ns0:v>Benchmark inferior/complementar; útil para piso de mercado, não para comandar o segmento premium.</ns0:v>
      </ns0:c>
      <ns0:c r="AA160" s="74" t="str">
        <ns0:f t="shared" si="31"/>
        <ns0:v>Revalidar disponibilidade e fonte quando houver nova campanha pública.</ns0:v>
      </ns0:c>
      <ns0:c r="AB160" s="74" t="str">
        <ns0:f t="shared" si="32"/>
        <ns0:v>Média</ns0:v>
      </ns0:c>
    </ns0:row>
    <ns0:row r="161">
      <ns0:c r="A161" s="71" t="s">
        <ns0:v>159</ns0:v>
      </ns0:c>
      <ns0:c r="B161" s="71" t="s">
        <ns0:v>169</ns0:v>
      </ns0:c>
      <ns0:c r="C161" s="71">
        <ns0:v>3</ns0:v>
      </ns0:c>
      <ns0:c r="D161" s="71" t="s">
        <ns0:v>31</ns0:v>
      </ns0:c>
      <ns0:c r="E161" s="71">
        <ns0:v>2</ns0:v>
      </ns0:c>
      <ns0:c r="F161" s="72">
        <ns0:v>81.3</ns0:v>
      </ns0:c>
      <ns0:c r="G161" s="72">
        <ns0:v>12.100000000000009</ns0:v>
      </ns0:c>
      <ns0:c r="H161" s="72">
        <ns0:v>93.4</ns0:v>
      </ns0:c>
      <ns0:c r="I161" s="73">
        <ns0:v>540000</ns0:v>
      </ns0:c>
      <ns0:c r="J161" s="71">
        <ns0:v>2026</ns0:v>
      </ns0:c>
      <ns0:c r="K161" s="73">
        <ns0:v>6642.0664206642068</ns0:v>
      </ns0:c>
      <ns0:c r="L161" s="73">
        <ns0:v>5781.5845824411135</ns0:v>
      </ns0:c>
      <ns0:c r="M161" s="74" t="str">
        <ns0:f t="shared" si="27"/>
        <ns0:v>Ativo</ns0:v>
      </ns0:c>
      <ns0:c r="N161" s="74"/>
      <ns0:c r="O161" s="74"/>
      <ns0:c r="P161" s="77"/>
      <ns0:c r="Q161" s="74" t="str">
        <ns0:f t="shared" si="21"/>
        <ns0:v>Benchmark complementar / nova construção</ns0:v>
      </ns0:c>
      <ns0:c r="R161" s="74" t="s">
        <ns0:v>32</ns0:v>
      </ns0:c>
      <ns0:c r="S161" s="74"/>
      <ns0:c r="T161" s="74"/>
      <ns0:c r="U161" s="74"/>
      <ns0:c r="V161" s="74"/>
      <ns0:c r="W161" s="76" t="n">
        <ns0:f t="shared" si="28"/>
        <ns0:v>0.5</ns0:v>
      </ns0:c>
      <ns0:c r="X161" s="74" t="str">
        <ns0:f t="shared" si="29"/>
        <ns0:v>B · Benchmark complementar</ns0:v>
      </ns0:c>
      <ns0:c r="Y161" s="74" t="str">
        <ns0:f t="shared" si="30"/>
        <ns0:v>Baixa</ns0:v>
      </ns0:c>
      <ns0:c r="Z161" s="74" t="str">
        <ns0:v>Benchmark inferior/complementar; útil para piso de mercado, não para comandar o segmento premium.</ns0:v>
      </ns0:c>
      <ns0:c r="AA161" s="74" t="str">
        <ns0:f t="shared" si="31"/>
        <ns0:v>Revalidar disponibilidade e fonte quando houver nova campanha pública.</ns0:v>
      </ns0:c>
      <ns0:c r="AB161" s="74" t="str">
        <ns0:f t="shared" si="32"/>
        <ns0:v>Média</ns0:v>
      </ns0:c>
    </ns0:row>
    <ns0:row r="162">
      <ns0:c r="A162" s="71" t="s">
        <ns0:v>159</ns0:v>
      </ns0:c>
      <ns0:c r="B162" s="71" t="s">
        <ns0:v>170</ns0:v>
      </ns0:c>
      <ns0:c r="C162" s="71">
        <ns0:v>3</ns0:v>
      </ns0:c>
      <ns0:c r="D162" s="71" t="s">
        <ns0:v>31</ns0:v>
      </ns0:c>
      <ns0:c r="E162" s="71">
        <ns0:v>2</ns0:v>
      </ns0:c>
      <ns0:c r="F162" s="72">
        <ns0:v>106.85</ns0:v>
      </ns0:c>
      <ns0:c r="G162" s="72">
        <ns0:v>5.0000000000011369E-2</ns0:v>
      </ns0:c>
      <ns0:c r="H162" s="72">
        <ns0:v>106.9</ns0:v>
      </ns0:c>
      <ns0:c r="I162" s="73">
        <ns0:v>644000</ns0:v>
      </ns0:c>
      <ns0:c r="J162" s="71">
        <ns0:v>2026</ns0:v>
      </ns0:c>
      <ns0:c r="K162" s="73">
        <ns0:v>6027.1408516612073</ns0:v>
      </ns0:c>
      <ns0:c r="L162" s="73">
        <ns0:v>6024.3217960710945</ns0:v>
      </ns0:c>
      <ns0:c r="M162" s="74" t="str">
        <ns0:f t="shared" ref="M162:M225" si="33">IF(A162="The View","Projeto",IF(J162&gt;=2026,"Ativo",IF(J162=2025,"Rever","Histórico")))</ns0:f>
        <ns0:v>Ativo</ns0:v>
      </ns0:c>
      <ns0:c r="N162" s="74"/>
      <ns0:c r="O162" s="74"/>
      <ns0:c r="P162" s="77"/>
      <ns0:c r="Q162" s="74" t="str">
        <ns0:f t="shared" ref="Q162:Q198" si="34">IF(A162="The View","Projeto",IF(A162="Le Parc","Benchmark local",IF(OR(A162="Del Mar Waterfront",A162="Aura Living"),"Premium waterfront/marina","A classificar")))</ns0:f>
        <ns0:v>Benchmark complementar / nova construção</ns0:v>
      </ns0:c>
      <ns0:c r="R162" s="74" t="s">
        <ns0:v>32</ns0:v>
      </ns0:c>
      <ns0:c r="S162" s="74"/>
      <ns0:c r="T162" s="74"/>
      <ns0:c r="U162" s="74"/>
      <ns0:c r="V162" s="74"/>
      <ns0:c r="W162" s="76" t="n">
        <ns0:f t="shared" ref="W162:W173" si="35">IF(A162="The View",1,MAX(0.25,MIN(1,IF(J162&gt;=2026,1,IF(J162=2025,0.8,IF(J162=2024,0.45,0.3)))*IF(Q162="Premium waterfront/marina",1,IF(Q162="Benchmark local",0.7,0.6))*IF(M162="Vendido",0.65,IF(M162="Reservado",0.8,IF(M162="Histórico",0.55,1))))))</ns0:f>
        <ns0:v>0.5</ns0:v>
      </ns0:c>
      <ns0:c r="X162" s="74" t="str">
        <ns0:f t="shared" ref="X162:X173" si="36">IF(A162="The View","Projeto",IF(W162&gt;=0.85,"A · Premium ativo",IF(W162&gt;=0.55,"B · Benchmark local","C · Histórico/secundário")))</ns0:f>
        <ns0:v>B · Benchmark complementar</ns0:v>
      </ns0:c>
      <ns0:c r="Y162" s="74" t="str">
        <ns0:f t="shared" ref="Y162:Y173" si="37">IF(A162="The View","N/A",IF(AND(N162&lt;&gt;"",O162&lt;&gt;"",P162&lt;&gt;""),"Alta",IF(OR(N162&lt;&gt;"",O162&lt;&gt;"",P162&lt;&gt;""),"Média","Baixa")))</ns0:f>
        <ns0:v>Baixa</ns0:v>
      </ns0:c>
      <ns0:c r="Z162" s="74" t="str">
        <ns0:v>Benchmark inferior/complementar; útil para piso de mercado, não para comandar o segmento premium.</ns0:v>
      </ns0:c>
      <ns0:c r="AA162" s="74" t="str">
        <ns0:f t="shared" ref="AA162:AA173" si="38">IF(A162="The View","Manter",IF(J162&lt;2026,"Atualizar preço/status",IF(Y162="Baixa","Adicionar fonte/URL/data",IF(W162&lt;0.55,"Rever comparabilidade","OK"))))</ns0:f>
        <ns0:v>Revalidar disponibilidade e fonte quando houver nova campanha pública.</ns0:v>
      </ns0:c>
      <ns0:c r="AB162" s="74" t="str">
        <ns0:f t="shared" ref="AB162:AB173" si="39">IF(A162="The View","",IF(OR(J162&lt;2026,Y162="Baixa"),"Alta",IF(W162&lt;0.55,"Média","Baixa")))</ns0:f>
        <ns0:v>Média</ns0:v>
      </ns0:c>
    </ns0:row>
    <ns0:row r="163">
      <ns0:c r="A163" s="71" t="s">
        <ns0:v>159</ns0:v>
      </ns0:c>
      <ns0:c r="B163" s="71" t="s">
        <ns0:v>34</ns0:v>
      </ns0:c>
      <ns0:c r="C163" s="71" t="s">
        <ns0:v>30</ns0:v>
      </ns0:c>
      <ns0:c r="D163" s="71" t="s">
        <ns0:v>31</ns0:v>
      </ns0:c>
      <ns0:c r="E163" s="71">
        <ns0:v>3</ns0:v>
      </ns0:c>
      <ns0:c r="F163" s="72">
        <ns0:v>44.4</ns0:v>
      </ns0:c>
      <ns0:c r="G163" s="72">
        <ns0:v>10.600000000000001</ns0:v>
      </ns0:c>
      <ns0:c r="H163" s="72">
        <ns0:v>55</ns0:v>
      </ns0:c>
      <ns0:c r="I163" s="73">
        <ns0:v>445000</ns0:v>
      </ns0:c>
      <ns0:c r="J163" s="71">
        <ns0:v>2026</ns0:v>
      </ns0:c>
      <ns0:c r="K163" s="73">
        <ns0:v>10022.522522522522</ns0:v>
      </ns0:c>
      <ns0:c r="L163" s="73">
        <ns0:v>8090.909090909091</ns0:v>
      </ns0:c>
      <ns0:c r="M163" s="74" t="str">
        <ns0:f t="shared" si="33"/>
        <ns0:v>Ativo</ns0:v>
      </ns0:c>
      <ns0:c r="N163" s="74"/>
      <ns0:c r="O163" s="74"/>
      <ns0:c r="P163" s="77"/>
      <ns0:c r="Q163" s="74" t="str">
        <ns0:f t="shared" si="34"/>
        <ns0:v>Benchmark complementar / nova construção</ns0:v>
      </ns0:c>
      <ns0:c r="R163" s="74" t="s">
        <ns0:v>32</ns0:v>
      </ns0:c>
      <ns0:c r="S163" s="74"/>
      <ns0:c r="T163" s="74"/>
      <ns0:c r="U163" s="74"/>
      <ns0:c r="V163" s="74"/>
      <ns0:c r="W163" s="76" t="n">
        <ns0:f t="shared" si="35"/>
        <ns0:v>0.5</ns0:v>
      </ns0:c>
      <ns0:c r="X163" s="74" t="str">
        <ns0:f t="shared" si="36"/>
        <ns0:v>B · Benchmark complementar</ns0:v>
      </ns0:c>
      <ns0:c r="Y163" s="74" t="str">
        <ns0:f t="shared" si="37"/>
        <ns0:v>Baixa</ns0:v>
      </ns0:c>
      <ns0:c r="Z163" s="74" t="str">
        <ns0:v>Benchmark inferior/complementar; útil para piso de mercado, não para comandar o segmento premium.</ns0:v>
      </ns0:c>
      <ns0:c r="AA163" s="74" t="str">
        <ns0:f t="shared" si="38"/>
        <ns0:v>Revalidar disponibilidade e fonte quando houver nova campanha pública.</ns0:v>
      </ns0:c>
      <ns0:c r="AB163" s="74" t="str">
        <ns0:f t="shared" si="39"/>
        <ns0:v>Média</ns0:v>
      </ns0:c>
    </ns0:row>
    <ns0:row r="164">
      <ns0:c r="A164" s="71" t="s">
        <ns0:v>159</ns0:v>
      </ns0:c>
      <ns0:c r="B164" s="71" t="s">
        <ns0:v>35</ns0:v>
      </ns0:c>
      <ns0:c r="C164" s="71">
        <ns0:v>1</ns0:v>
      </ns0:c>
      <ns0:c r="D164" s="71" t="s">
        <ns0:v>64</ns0:v>
      </ns0:c>
      <ns0:c r="E164" s="71">
        <ns0:v>3</ns0:v>
      </ns0:c>
      <ns0:c r="F164" s="72">
        <ns0:v>62.6</ns0:v>
      </ns0:c>
      <ns0:c r="G164" s="72">
        <ns0:v>18.499999999999993</ns0:v>
      </ns0:c>
      <ns0:c r="H164" s="72">
        <ns0:v>81.099999999999994</ns0:v>
      </ns0:c>
      <ns0:c r="I164" s="73">
        <ns0:v>390000</ns0:v>
      </ns0:c>
      <ns0:c r="J164" s="71">
        <ns0:v>2026</ns0:v>
      </ns0:c>
      <ns0:c r="K164" s="73">
        <ns0:v>6230.0319488817886</ns0:v>
      </ns0:c>
      <ns0:c r="L164" s="73">
        <ns0:v>4808.8779284833545</ns0:v>
      </ns0:c>
      <ns0:c r="M164" s="74" t="str">
        <ns0:f t="shared" si="33"/>
        <ns0:v>Ativo</ns0:v>
      </ns0:c>
      <ns0:c r="N164" s="74"/>
      <ns0:c r="O164" s="74"/>
      <ns0:c r="P164" s="77"/>
      <ns0:c r="Q164" s="74" t="str">
        <ns0:f t="shared" si="34"/>
        <ns0:v>Benchmark complementar / nova construção</ns0:v>
      </ns0:c>
      <ns0:c r="R164" s="74" t="s">
        <ns0:v>32</ns0:v>
      </ns0:c>
      <ns0:c r="S164" s="74"/>
      <ns0:c r="T164" s="74"/>
      <ns0:c r="U164" s="74"/>
      <ns0:c r="V164" s="74"/>
      <ns0:c r="W164" s="76" t="n">
        <ns0:f t="shared" si="35"/>
        <ns0:v>0.5</ns0:v>
      </ns0:c>
      <ns0:c r="X164" s="74" t="str">
        <ns0:f t="shared" si="36"/>
        <ns0:v>B · Benchmark complementar</ns0:v>
      </ns0:c>
      <ns0:c r="Y164" s="74" t="str">
        <ns0:f t="shared" si="37"/>
        <ns0:v>Baixa</ns0:v>
      </ns0:c>
      <ns0:c r="Z164" s="74" t="str">
        <ns0:v>Benchmark inferior/complementar; útil para piso de mercado, não para comandar o segmento premium.</ns0:v>
      </ns0:c>
      <ns0:c r="AA164" s="74" t="str">
        <ns0:f t="shared" si="38"/>
        <ns0:v>Revalidar disponibilidade e fonte quando houver nova campanha pública.</ns0:v>
      </ns0:c>
      <ns0:c r="AB164" s="74" t="str">
        <ns0:f t="shared" si="39"/>
        <ns0:v>Média</ns0:v>
      </ns0:c>
    </ns0:row>
    <ns0:row r="165">
      <ns0:c r="A165" s="71" t="s">
        <ns0:v>159</ns0:v>
      </ns0:c>
      <ns0:c r="B165" s="71" t="s">
        <ns0:v>171</ns0:v>
      </ns0:c>
      <ns0:c r="C165" s="71">
        <ns0:v>1</ns0:v>
      </ns0:c>
      <ns0:c r="D165" s="71" t="s">
        <ns0:v>31</ns0:v>
      </ns0:c>
      <ns0:c r="E165" s="71">
        <ns0:v>3</ns0:v>
      </ns0:c>
      <ns0:c r="F165" s="72">
        <ns0:v>50.15</ns0:v>
      </ns0:c>
      <ns0:c r="G165" s="72">
        <ns0:v>18.050000000000004</ns0:v>
      </ns0:c>
      <ns0:c r="H165" s="72">
        <ns0:v>68.2</ns0:v>
      </ns0:c>
      <ns0:c r="I165" s="73">
        <ns0:v>350000</ns0:v>
      </ns0:c>
      <ns0:c r="J165" s="71">
        <ns0:v>2026</ns0:v>
      </ns0:c>
      <ns0:c r="K165" s="73">
        <ns0:v>6979.0628115653044</ns0:v>
      </ns0:c>
      <ns0:c r="L165" s="73">
        <ns0:v>5131.9648093841643</ns0:v>
      </ns0:c>
      <ns0:c r="M165" s="74" t="str">
        <ns0:f t="shared" si="33"/>
        <ns0:v>Ativo</ns0:v>
      </ns0:c>
      <ns0:c r="N165" s="74"/>
      <ns0:c r="O165" s="74"/>
      <ns0:c r="P165" s="77"/>
      <ns0:c r="Q165" s="74" t="str">
        <ns0:f t="shared" si="34"/>
        <ns0:v>Benchmark complementar / nova construção</ns0:v>
      </ns0:c>
      <ns0:c r="R165" s="74" t="s">
        <ns0:v>32</ns0:v>
      </ns0:c>
      <ns0:c r="S165" s="74"/>
      <ns0:c r="T165" s="74"/>
      <ns0:c r="U165" s="74"/>
      <ns0:c r="V165" s="74"/>
      <ns0:c r="W165" s="76" t="n">
        <ns0:f t="shared" si="35"/>
        <ns0:v>0.5</ns0:v>
      </ns0:c>
      <ns0:c r="X165" s="74" t="str">
        <ns0:f t="shared" si="36"/>
        <ns0:v>B · Benchmark complementar</ns0:v>
      </ns0:c>
      <ns0:c r="Y165" s="74" t="str">
        <ns0:f t="shared" si="37"/>
        <ns0:v>Baixa</ns0:v>
      </ns0:c>
      <ns0:c r="Z165" s="74" t="str">
        <ns0:v>Benchmark inferior/complementar; útil para piso de mercado, não para comandar o segmento premium.</ns0:v>
      </ns0:c>
      <ns0:c r="AA165" s="74" t="str">
        <ns0:f t="shared" si="38"/>
        <ns0:v>Revalidar disponibilidade e fonte quando houver nova campanha pública.</ns0:v>
      </ns0:c>
      <ns0:c r="AB165" s="74" t="str">
        <ns0:f t="shared" si="39"/>
        <ns0:v>Média</ns0:v>
      </ns0:c>
    </ns0:row>
    <ns0:row r="166">
      <ns0:c r="A166" s="71" t="s">
        <ns0:v>159</ns0:v>
      </ns0:c>
      <ns0:c r="B166" s="71" t="s">
        <ns0:v>172</ns0:v>
      </ns0:c>
      <ns0:c r="C166" s="71">
        <ns0:v>1</ns0:v>
      </ns0:c>
      <ns0:c r="D166" s="71" t="s">
        <ns0:v>31</ns0:v>
      </ns0:c>
      <ns0:c r="E166" s="71">
        <ns0:v>4</ns0:v>
      </ns0:c>
      <ns0:c r="F166" s="72">
        <ns0:v>50.15</ns0:v>
      </ns0:c>
      <ns0:c r="G166" s="72">
        <ns0:v>18.050000000000004</ns0:v>
      </ns0:c>
      <ns0:c r="H166" s="72">
        <ns0:v>68.2</ns0:v>
      </ns0:c>
      <ns0:c r="I166" s="73">
        <ns0:v>350000</ns0:v>
      </ns0:c>
      <ns0:c r="J166" s="71">
        <ns0:v>2026</ns0:v>
      </ns0:c>
      <ns0:c r="K166" s="73">
        <ns0:v>6979.0628115653044</ns0:v>
      </ns0:c>
      <ns0:c r="L166" s="73">
        <ns0:v>5131.9648093841643</ns0:v>
      </ns0:c>
      <ns0:c r="M166" s="74" t="str">
        <ns0:f t="shared" si="33"/>
        <ns0:v>Ativo</ns0:v>
      </ns0:c>
      <ns0:c r="N166" s="74"/>
      <ns0:c r="O166" s="74"/>
      <ns0:c r="P166" s="77"/>
      <ns0:c r="Q166" s="74" t="str">
        <ns0:f t="shared" si="34"/>
        <ns0:v>Benchmark complementar / nova construção</ns0:v>
      </ns0:c>
      <ns0:c r="R166" s="74" t="s">
        <ns0:v>32</ns0:v>
      </ns0:c>
      <ns0:c r="S166" s="74"/>
      <ns0:c r="T166" s="74"/>
      <ns0:c r="U166" s="74"/>
      <ns0:c r="V166" s="74"/>
      <ns0:c r="W166" s="76" t="n">
        <ns0:f t="shared" si="35"/>
        <ns0:v>0.5</ns0:v>
      </ns0:c>
      <ns0:c r="X166" s="74" t="str">
        <ns0:f t="shared" si="36"/>
        <ns0:v>B · Benchmark complementar</ns0:v>
      </ns0:c>
      <ns0:c r="Y166" s="74" t="str">
        <ns0:f t="shared" si="37"/>
        <ns0:v>Baixa</ns0:v>
      </ns0:c>
      <ns0:c r="Z166" s="74" t="str">
        <ns0:v>Benchmark inferior/complementar; útil para piso de mercado, não para comandar o segmento premium.</ns0:v>
      </ns0:c>
      <ns0:c r="AA166" s="74" t="str">
        <ns0:f t="shared" si="38"/>
        <ns0:v>Revalidar disponibilidade e fonte quando houver nova campanha pública.</ns0:v>
      </ns0:c>
      <ns0:c r="AB166" s="74" t="str">
        <ns0:f t="shared" si="39"/>
        <ns0:v>Média</ns0:v>
      </ns0:c>
    </ns0:row>
    <ns0:row r="167">
      <ns0:c r="A167" s="71" t="s">
        <ns0:v>159</ns0:v>
      </ns0:c>
      <ns0:c r="B167" s="71" t="s">
        <ns0:v>36</ns0:v>
      </ns0:c>
      <ns0:c r="C167" s="71">
        <ns0:v>1</ns0:v>
      </ns0:c>
      <ns0:c r="D167" s="71" t="s">
        <ns0:v>64</ns0:v>
      </ns0:c>
      <ns0:c r="E167" s="71">
        <ns0:v>4</ns0:v>
      </ns0:c>
      <ns0:c r="F167" s="72">
        <ns0:v>62.6</ns0:v>
      </ns0:c>
      <ns0:c r="G167" s="72">
        <ns0:v>18.499999999999993</ns0:v>
      </ns0:c>
      <ns0:c r="H167" s="72">
        <ns0:v>81.099999999999994</ns0:v>
      </ns0:c>
      <ns0:c r="I167" s="73">
        <ns0:v>395000</ns0:v>
      </ns0:c>
      <ns0:c r="J167" s="71">
        <ns0:v>2026</ns0:v>
      </ns0:c>
      <ns0:c r="K167" s="73">
        <ns0:v>6309.9041533546324</ns0:v>
      </ns0:c>
      <ns0:c r="L167" s="73">
        <ns0:v>4870.5302096177566</ns0:v>
      </ns0:c>
      <ns0:c r="M167" s="74" t="str">
        <ns0:f t="shared" si="33"/>
        <ns0:v>Ativo</ns0:v>
      </ns0:c>
      <ns0:c r="N167" s="74"/>
      <ns0:c r="O167" s="74"/>
      <ns0:c r="P167" s="77"/>
      <ns0:c r="Q167" s="74" t="str">
        <ns0:f t="shared" si="34"/>
        <ns0:v>Benchmark complementar / nova construção</ns0:v>
      </ns0:c>
      <ns0:c r="R167" s="74" t="s">
        <ns0:v>32</ns0:v>
      </ns0:c>
      <ns0:c r="S167" s="74"/>
      <ns0:c r="T167" s="74"/>
      <ns0:c r="U167" s="74"/>
      <ns0:c r="V167" s="74"/>
      <ns0:c r="W167" s="76" t="n">
        <ns0:f t="shared" si="35"/>
        <ns0:v>0.5</ns0:v>
      </ns0:c>
      <ns0:c r="X167" s="74" t="str">
        <ns0:f t="shared" si="36"/>
        <ns0:v>B · Benchmark complementar</ns0:v>
      </ns0:c>
      <ns0:c r="Y167" s="74" t="str">
        <ns0:f t="shared" si="37"/>
        <ns0:v>Baixa</ns0:v>
      </ns0:c>
      <ns0:c r="Z167" s="74" t="str">
        <ns0:v>Benchmark inferior/complementar; útil para piso de mercado, não para comandar o segmento premium.</ns0:v>
      </ns0:c>
      <ns0:c r="AA167" s="74" t="str">
        <ns0:f t="shared" si="38"/>
        <ns0:v>Revalidar disponibilidade e fonte quando houver nova campanha pública.</ns0:v>
      </ns0:c>
      <ns0:c r="AB167" s="74" t="str">
        <ns0:f t="shared" si="39"/>
        <ns0:v>Média</ns0:v>
      </ns0:c>
    </ns0:row>
    <ns0:row r="168">
      <ns0:c r="A168" s="71" t="s">
        <ns0:v>159</ns0:v>
      </ns0:c>
      <ns0:c r="B168" s="71" t="s">
        <ns0:v>37</ns0:v>
      </ns0:c>
      <ns0:c r="C168" s="71">
        <ns0:v>2</ns0:v>
      </ns0:c>
      <ns0:c r="D168" s="71" t="s">
        <ns0:v>64</ns0:v>
      </ns0:c>
      <ns0:c r="E168" s="71">
        <ns0:v>4</ns0:v>
      </ns0:c>
      <ns0:c r="F168" s="72">
        <ns0:v>62.6</ns0:v>
      </ns0:c>
      <ns0:c r="G168" s="72">
        <ns0:v>18.499999999999993</ns0:v>
      </ns0:c>
      <ns0:c r="H168" s="72">
        <ns0:v>81.099999999999994</ns0:v>
      </ns0:c>
      <ns0:c r="I168" s="73">
        <ns0:v>420000</ns0:v>
      </ns0:c>
      <ns0:c r="J168" s="71">
        <ns0:v>2026</ns0:v>
      </ns0:c>
      <ns0:c r="K168" s="73">
        <ns0:v>6709.2651757188496</ns0:v>
      </ns0:c>
      <ns0:c r="L168" s="73">
        <ns0:v>5178.791615289766</ns0:v>
      </ns0:c>
      <ns0:c r="M168" s="74" t="str">
        <ns0:f t="shared" si="33"/>
        <ns0:v>Ativo</ns0:v>
      </ns0:c>
      <ns0:c r="N168" s="74"/>
      <ns0:c r="O168" s="74"/>
      <ns0:c r="P168" s="77"/>
      <ns0:c r="Q168" s="74" t="str">
        <ns0:f t="shared" si="34"/>
        <ns0:v>Benchmark complementar / nova construção</ns0:v>
      </ns0:c>
      <ns0:c r="R168" s="74" t="s">
        <ns0:v>32</ns0:v>
      </ns0:c>
      <ns0:c r="S168" s="74"/>
      <ns0:c r="T168" s="74"/>
      <ns0:c r="U168" s="74"/>
      <ns0:c r="V168" s="74"/>
      <ns0:c r="W168" s="76" t="n">
        <ns0:f t="shared" si="35"/>
        <ns0:v>0.5</ns0:v>
      </ns0:c>
      <ns0:c r="X168" s="74" t="str">
        <ns0:f t="shared" si="36"/>
        <ns0:v>B · Benchmark complementar</ns0:v>
      </ns0:c>
      <ns0:c r="Y168" s="74" t="str">
        <ns0:f t="shared" si="37"/>
        <ns0:v>Baixa</ns0:v>
      </ns0:c>
      <ns0:c r="Z168" s="74" t="str">
        <ns0:v>Benchmark inferior/complementar; útil para piso de mercado, não para comandar o segmento premium.</ns0:v>
      </ns0:c>
      <ns0:c r="AA168" s="74" t="str">
        <ns0:f t="shared" si="38"/>
        <ns0:v>Revalidar disponibilidade e fonte quando houver nova campanha pública.</ns0:v>
      </ns0:c>
      <ns0:c r="AB168" s="74" t="str">
        <ns0:f t="shared" si="39"/>
        <ns0:v>Média</ns0:v>
      </ns0:c>
    </ns0:row>
    <ns0:row r="169">
      <ns0:c r="A169" s="71" t="s">
        <ns0:v>159</ns0:v>
      </ns0:c>
      <ns0:c r="B169" s="71" t="s">
        <ns0:v>43</ns0:v>
      </ns0:c>
      <ns0:c r="C169" s="71" t="s">
        <ns0:v>30</ns0:v>
      </ns0:c>
      <ns0:c r="D169" s="71" t="s">
        <ns0:v>64</ns0:v>
      </ns0:c>
      <ns0:c r="E169" s="71">
        <ns0:v>2</ns0:v>
      </ns0:c>
      <ns0:c r="F169" s="72">
        <ns0:v>92.7</ns0:v>
      </ns0:c>
      <ns0:c r="G169" s="72">
        <ns0:v>30.25</ns0:v>
      </ns0:c>
      <ns0:c r="H169" s="72">
        <ns0:v>122.95</ns0:v>
      </ns0:c>
      <ns0:c r="I169" s="73">
        <ns0:v>559000</ns0:v>
      </ns0:c>
      <ns0:c r="J169" s="71">
        <ns0:v>2026</ns0:v>
      </ns0:c>
      <ns0:c r="K169" s="73">
        <ns0:v>6030.2049622437971</ns0:v>
      </ns0:c>
      <ns0:c r="L169" s="73">
        <ns0:v>4546.563643757625</ns0:v>
      </ns0:c>
      <ns0:c r="M169" s="74" t="str">
        <ns0:f t="shared" si="33"/>
        <ns0:v>Ativo</ns0:v>
      </ns0:c>
      <ns0:c r="N169" s="74"/>
      <ns0:c r="O169" s="74"/>
      <ns0:c r="P169" s="77"/>
      <ns0:c r="Q169" s="74" t="str">
        <ns0:f t="shared" si="34"/>
        <ns0:v>Benchmark complementar / nova construção</ns0:v>
      </ns0:c>
      <ns0:c r="R169" s="74" t="s">
        <ns0:v>32</ns0:v>
      </ns0:c>
      <ns0:c r="S169" s="74"/>
      <ns0:c r="T169" s="74"/>
      <ns0:c r="U169" s="74"/>
      <ns0:c r="V169" s="74"/>
      <ns0:c r="W169" s="76" t="n">
        <ns0:f t="shared" si="35"/>
        <ns0:v>0.5</ns0:v>
      </ns0:c>
      <ns0:c r="X169" s="74" t="str">
        <ns0:f t="shared" si="36"/>
        <ns0:v>B · Benchmark complementar</ns0:v>
      </ns0:c>
      <ns0:c r="Y169" s="74" t="str">
        <ns0:f t="shared" si="37"/>
        <ns0:v>Baixa</ns0:v>
      </ns0:c>
      <ns0:c r="Z169" s="74" t="str">
        <ns0:v>Benchmark inferior/complementar; útil para piso de mercado, não para comandar o segmento premium.</ns0:v>
      </ns0:c>
      <ns0:c r="AA169" s="74" t="str">
        <ns0:f t="shared" si="38"/>
        <ns0:v>Revalidar disponibilidade e fonte quando houver nova campanha pública.</ns0:v>
      </ns0:c>
      <ns0:c r="AB169" s="74" t="str">
        <ns0:f t="shared" si="39"/>
        <ns0:v>Média</ns0:v>
      </ns0:c>
    </ns0:row>
    <ns0:row r="170">
      <ns0:c r="A170" s="71" t="s">
        <ns0:v>159</ns0:v>
      </ns0:c>
      <ns0:c r="B170" s="71" t="s">
        <ns0:v>44</ns0:v>
      </ns0:c>
      <ns0:c r="C170" s="71" t="s">
        <ns0:v>30</ns0:v>
      </ns0:c>
      <ns0:c r="D170" s="71" t="s">
        <ns0:v>64</ns0:v>
      </ns0:c>
      <ns0:c r="E170" s="71">
        <ns0:v>3</ns0:v>
      </ns0:c>
      <ns0:c r="F170" s="72">
        <ns0:v>99.9</ns0:v>
      </ns0:c>
      <ns0:c r="G170" s="72">
        <ns0:v>30.150000000000006</ns0:v>
      </ns0:c>
      <ns0:c r="H170" s="72">
        <ns0:v>130.05000000000001</ns0:v>
      </ns0:c>
      <ns0:c r="I170" s="73">
        <ns0:v>599000</ns0:v>
      </ns0:c>
      <ns0:c r="J170" s="71">
        <ns0:v>2026</ns0:v>
      </ns0:c>
      <ns0:c r="K170" s="73">
        <ns0:v>5995.9959959959961</ns0:v>
      </ns0:c>
      <ns0:c r="L170" s="73">
        <ns0:v>4605.9207996924251</ns0:v>
      </ns0:c>
      <ns0:c r="M170" s="74" t="str">
        <ns0:f t="shared" si="33"/>
        <ns0:v>Ativo</ns0:v>
      </ns0:c>
      <ns0:c r="N170" s="74"/>
      <ns0:c r="O170" s="74"/>
      <ns0:c r="P170" s="77"/>
      <ns0:c r="Q170" s="74" t="str">
        <ns0:f t="shared" si="34"/>
        <ns0:v>Benchmark complementar / nova construção</ns0:v>
      </ns0:c>
      <ns0:c r="R170" s="74" t="s">
        <ns0:v>32</ns0:v>
      </ns0:c>
      <ns0:c r="S170" s="74"/>
      <ns0:c r="T170" s="74"/>
      <ns0:c r="U170" s="74"/>
      <ns0:c r="V170" s="74"/>
      <ns0:c r="W170" s="76" t="n">
        <ns0:f t="shared" si="35"/>
        <ns0:v>0.5</ns0:v>
      </ns0:c>
      <ns0:c r="X170" s="74" t="str">
        <ns0:f t="shared" si="36"/>
        <ns0:v>B · Benchmark complementar</ns0:v>
      </ns0:c>
      <ns0:c r="Y170" s="74" t="str">
        <ns0:f t="shared" si="37"/>
        <ns0:v>Baixa</ns0:v>
      </ns0:c>
      <ns0:c r="Z170" s="74" t="str">
        <ns0:v>Benchmark inferior/complementar; útil para piso de mercado, não para comandar o segmento premium.</ns0:v>
      </ns0:c>
      <ns0:c r="AA170" s="74" t="str">
        <ns0:f t="shared" si="38"/>
        <ns0:v>Revalidar disponibilidade e fonte quando houver nova campanha pública.</ns0:v>
      </ns0:c>
      <ns0:c r="AB170" s="74" t="str">
        <ns0:f t="shared" si="39"/>
        <ns0:v>Média</ns0:v>
      </ns0:c>
    </ns0:row>
    <ns0:row r="171">
      <ns0:c r="A171" s="71" t="s">
        <ns0:v>159</ns0:v>
      </ns0:c>
      <ns0:c r="B171" s="71" t="s">
        <ns0:v>173</ns0:v>
      </ns0:c>
      <ns0:c r="C171" s="71">
        <ns0:v>4</ns0:v>
      </ns0:c>
      <ns0:c r="D171" s="71" t="s">
        <ns0:v>31</ns0:v>
      </ns0:c>
      <ns0:c r="E171" s="71">
        <ns0:v>1</ns0:v>
      </ns0:c>
      <ns0:c r="F171" s="72">
        <ns0:v>81.25</ns0:v>
      </ns0:c>
      <ns0:c r="G171" s="72">
        <ns0:v>30.25</ns0:v>
      </ns0:c>
      <ns0:c r="H171" s="72">
        <ns0:v>111.5</ns0:v>
      </ns0:c>
      <ns0:c r="I171" s="73">
        <ns0:v>675000</ns0:v>
      </ns0:c>
      <ns0:c r="J171" s="71">
        <ns0:v>2026</ns0:v>
      </ns0:c>
      <ns0:c r="K171" s="73">
        <ns0:v>8307.6923076923085</ns0:v>
      </ns0:c>
      <ns0:c r="L171" s="73">
        <ns0:v>6053.8116591928247</ns0:v>
      </ns0:c>
      <ns0:c r="M171" s="74" t="str">
        <ns0:f t="shared" si="33"/>
        <ns0:v>Ativo</ns0:v>
      </ns0:c>
      <ns0:c r="N171" s="74"/>
      <ns0:c r="O171" s="74"/>
      <ns0:c r="P171" s="77"/>
      <ns0:c r="Q171" s="74" t="str">
        <ns0:f t="shared" si="34"/>
        <ns0:v>Benchmark complementar / nova construção</ns0:v>
      </ns0:c>
      <ns0:c r="R171" s="74" t="s">
        <ns0:v>32</ns0:v>
      </ns0:c>
      <ns0:c r="S171" s="74"/>
      <ns0:c r="T171" s="74"/>
      <ns0:c r="U171" s="74"/>
      <ns0:c r="V171" s="74"/>
      <ns0:c r="W171" s="76" t="n">
        <ns0:f t="shared" si="35"/>
        <ns0:v>0.5</ns0:v>
      </ns0:c>
      <ns0:c r="X171" s="74" t="str">
        <ns0:f t="shared" si="36"/>
        <ns0:v>B · Benchmark complementar</ns0:v>
      </ns0:c>
      <ns0:c r="Y171" s="74" t="str">
        <ns0:f t="shared" si="37"/>
        <ns0:v>Baixa</ns0:v>
      </ns0:c>
      <ns0:c r="Z171" s="74" t="str">
        <ns0:v>Benchmark inferior/complementar; útil para piso de mercado, não para comandar o segmento premium.</ns0:v>
      </ns0:c>
      <ns0:c r="AA171" s="74" t="str">
        <ns0:f t="shared" si="38"/>
        <ns0:v>Revalidar disponibilidade e fonte quando houver nova campanha pública.</ns0:v>
      </ns0:c>
      <ns0:c r="AB171" s="74" t="str">
        <ns0:f t="shared" si="39"/>
        <ns0:v>Média</ns0:v>
      </ns0:c>
    </ns0:row>
    <ns0:row r="172">
      <ns0:c r="A172" s="71" t="s">
        <ns0:v>159</ns0:v>
      </ns0:c>
      <ns0:c r="B172" s="71" t="s">
        <ns0:v>174</ns0:v>
      </ns0:c>
      <ns0:c r="C172" s="71">
        <ns0:v>4</ns0:v>
      </ns0:c>
      <ns0:c r="D172" s="71" t="s">
        <ns0:v>31</ns0:v>
      </ns0:c>
      <ns0:c r="E172" s="71">
        <ns0:v>1</ns0:v>
      </ns0:c>
      <ns0:c r="F172" s="72">
        <ns0:v>81.3</ns0:v>
      </ns0:c>
      <ns0:c r="G172" s="72">
        <ns0:v>40.200000000000003</ns0:v>
      </ns0:c>
      <ns0:c r="H172" s="72">
        <ns0:v>121.5</ns0:v>
      </ns0:c>
      <ns0:c r="I172" s="73">
        <ns0:v>570000</ns0:v>
      </ns0:c>
      <ns0:c r="J172" s="71">
        <ns0:v>2026</ns0:v>
      </ns0:c>
      <ns0:c r="K172" s="73">
        <ns0:v>7011.0701107011073</ns0:v>
      </ns0:c>
      <ns0:c r="L172" s="73">
        <ns0:v>4691.358024691358</ns0:v>
      </ns0:c>
      <ns0:c r="M172" s="74" t="str">
        <ns0:f t="shared" si="33"/>
        <ns0:v>Ativo</ns0:v>
      </ns0:c>
      <ns0:c r="N172" s="74"/>
      <ns0:c r="O172" s="74"/>
      <ns0:c r="P172" s="77"/>
      <ns0:c r="Q172" s="74" t="str">
        <ns0:f t="shared" si="34"/>
        <ns0:v>Benchmark complementar / nova construção</ns0:v>
      </ns0:c>
      <ns0:c r="R172" s="74" t="s">
        <ns0:v>32</ns0:v>
      </ns0:c>
      <ns0:c r="S172" s="74"/>
      <ns0:c r="T172" s="74"/>
      <ns0:c r="U172" s="74"/>
      <ns0:c r="V172" s="74"/>
      <ns0:c r="W172" s="76" t="n">
        <ns0:f t="shared" si="35"/>
        <ns0:v>0.5</ns0:v>
      </ns0:c>
      <ns0:c r="X172" s="74" t="str">
        <ns0:f t="shared" si="36"/>
        <ns0:v>B · Benchmark complementar</ns0:v>
      </ns0:c>
      <ns0:c r="Y172" s="74" t="str">
        <ns0:f t="shared" si="37"/>
        <ns0:v>Baixa</ns0:v>
      </ns0:c>
      <ns0:c r="Z172" s="74" t="str">
        <ns0:v>Benchmark inferior/complementar; útil para piso de mercado, não para comandar o segmento premium.</ns0:v>
      </ns0:c>
      <ns0:c r="AA172" s="74" t="str">
        <ns0:f t="shared" si="38"/>
        <ns0:v>Revalidar disponibilidade e fonte quando houver nova campanha pública.</ns0:v>
      </ns0:c>
      <ns0:c r="AB172" s="74" t="str">
        <ns0:f t="shared" si="39"/>
        <ns0:v>Média</ns0:v>
      </ns0:c>
    </ns0:row>
    <ns0:row r="173">
      <ns0:c r="A173" s="71" t="s">
        <ns0:v>159</ns0:v>
      </ns0:c>
      <ns0:c r="B173" s="71" t="s">
        <ns0:v>175</ns0:v>
      </ns0:c>
      <ns0:c r="C173" s="71">
        <ns0:v>4</ns0:v>
      </ns0:c>
      <ns0:c r="D173" s="71" t="s">
        <ns0:v>31</ns0:v>
      </ns0:c>
      <ns0:c r="E173" s="71">
        <ns0:v>2</ns0:v>
      </ns0:c>
      <ns0:c r="F173" s="72">
        <ns0:v>76.7</ns0:v>
      </ns0:c>
      <ns0:c r="G173" s="72">
        <ns0:v>84.8</ns0:v>
      </ns0:c>
      <ns0:c r="H173" s="72">
        <ns0:v>161.5</ns0:v>
      </ns0:c>
      <ns0:c r="I173" s="73">
        <ns0:v>674000</ns0:v>
      </ns0:c>
      <ns0:c r="J173" s="71">
        <ns0:v>2026</ns0:v>
      </ns0:c>
      <ns0:c r="K173" s="73">
        <ns0:v>8787.4837027379399</ns0:v>
      </ns0:c>
      <ns0:c r="L173" s="73">
        <ns0:v>4173.3746130030959</ns0:v>
      </ns0:c>
      <ns0:c r="M173" s="74" t="str">
        <ns0:f t="shared" si="33"/>
        <ns0:v>Ativo</ns0:v>
      </ns0:c>
      <ns0:c r="N173" s="74"/>
      <ns0:c r="O173" s="74"/>
      <ns0:c r="P173" s="77"/>
      <ns0:c r="Q173" s="74" t="str">
        <ns0:f t="shared" si="34"/>
        <ns0:v>Benchmark complementar / nova construção</ns0:v>
      </ns0:c>
      <ns0:c r="R173" s="74" t="s">
        <ns0:v>32</ns0:v>
      </ns0:c>
      <ns0:c r="S173" s="74"/>
      <ns0:c r="T173" s="74"/>
      <ns0:c r="U173" s="74"/>
      <ns0:c r="V173" s="74"/>
      <ns0:c r="W173" s="76" t="n">
        <ns0:f t="shared" si="35"/>
        <ns0:v>0.5</ns0:v>
      </ns0:c>
      <ns0:c r="X173" s="74" t="str">
        <ns0:f t="shared" si="36"/>
        <ns0:v>B · Benchmark complementar</ns0:v>
      </ns0:c>
      <ns0:c r="Y173" s="74" t="str">
        <ns0:f t="shared" si="37"/>
        <ns0:v>Baixa</ns0:v>
      </ns0:c>
      <ns0:c r="Z173" s="74" t="str">
        <ns0:v>Benchmark inferior/complementar; útil para piso de mercado, não para comandar o segmento premium.</ns0:v>
      </ns0:c>
      <ns0:c r="AA173" s="74" t="str">
        <ns0:f t="shared" si="38"/>
        <ns0:v>Revalidar disponibilidade e fonte quando houver nova campanha pública.</ns0:v>
      </ns0:c>
      <ns0:c r="AB173" s="74" t="str">
        <ns0:f t="shared" si="39"/>
        <ns0:v>Média</ns0:v>
      </ns0:c>
    </ns0:row>
    <ns0:row r="174">
      <ns0:c r="A174" s="71" t="s">
        <ns0:v>176</ns0:v>
      </ns0:c>
      <ns0:c r="B174" s="71" t="s">
        <ns0:v>177</ns0:v>
      </ns0:c>
      <ns0:c r="C174" s="71">
        <ns0:v>0</ns0:v>
      </ns0:c>
      <ns0:c r="D174" s="71" t="s">
        <ns0:v>31</ns0:v>
      </ns0:c>
      <ns0:c r="E174" s="74">
        <ns0:v>4</ns0:v>
      </ns0:c>
      <ns0:c r="F174" s="72">
        <ns0:v>91.55</ns0:v>
      </ns0:c>
      <ns0:c r="G174" s="72">
        <ns0:v>38.85</ns0:v>
      </ns0:c>
      <ns0:c r="H174" s="72">
        <ns0:v>130.4</ns0:v>
      </ns0:c>
      <ns0:c r="I174" s="73">
        <ns0:v>400000</ns0:v>
      </ns0:c>
      <ns0:c r="J174" s="71">
        <ns0:v>2024</ns0:v>
      </ns0:c>
      <ns0:c r="K174" s="73">
        <ns0:v>4369.1971600218458</ns0:v>
      </ns0:c>
      <ns0:c r="L174" s="73">
        <ns0:v>3067.4846625766868</ns0:v>
      </ns0:c>
      <ns0:c r="M174" s="74" t="str">
        <ns0:f t="shared" si="33"/>
        <ns0:v>Histórico</ns0:v>
      </ns0:c>
      <ns0:c r="N174" s="74"/>
      <ns0:c r="O174" s="74"/>
      <ns0:c r="P174" s="77"/>
      <ns0:c r="Q174" s="74" t="s">
        <ns0:v>178</ns0:v>
      </ns0:c>
      <ns0:c r="R174" s="74"/>
      <ns0:c r="S174" s="74"/>
      <ns0:c r="T174" s="74"/>
      <ns0:c r="U174" s="74"/>
      <ns0:c r="V174" s="74"/>
      <ns0:c r="W174" s="76" t="n">
        <ns0:f t="shared" ref="W174:W237" si="40">IF(A174="The View",1,MAX(0.25,MIN(1,IF(J174&gt;=2026,1,IF(J174=2025,0.8,IF(J174=2024,0.45,0.3)))*IF(Q174="Premium waterfront/marina",1,IF(Q174="Benchmark local",0.7,0.6))*IF(M174="Vendido",0.65,IF(M174="Reservado",0.8,IF(M174="Histórico",0.55,1))))))</ns0:f>
        <ns0:v>0.2</ns0:v>
      </ns0:c>
      <ns0:c r="X174" s="74" t="str">
        <ns0:f t="shared" ref="X174:X237" si="41">IF(A174="The View","Projeto",IF(W174&gt;=0.85,"A · Premium ativo",IF(W174&gt;=0.55,"B · Benchmark local","C · Histórico/secundário")))</ns0:f>
        <ns0:v>C · Histórico/secundário</ns0:v>
      </ns0:c>
      <ns0:c r="Y174" s="74"/>
      <ns0:c r="Z174" s="74"/>
      <ns0:c r="AA174" s="74"/>
      <ns0:c r="AB174" s="74"/>
    </ns0:row>
    <ns0:row r="175">
      <ns0:c r="A175" s="71" t="s">
        <ns0:v>176</ns0:v>
      </ns0:c>
      <ns0:c r="B175" s="71" t="s">
        <ns0:v>179</ns0:v>
      </ns0:c>
      <ns0:c r="C175" s="71">
        <ns0:v>0</ns0:v>
      </ns0:c>
      <ns0:c r="D175" s="71" t="s">
        <ns0:v>64</ns0:v>
      </ns0:c>
      <ns0:c r="E175" s="74">
        <ns0:v>4</ns0:v>
      </ns0:c>
      <ns0:c r="F175" s="72">
        <ns0:v>110.1</ns0:v>
      </ns0:c>
      <ns0:c r="G175" s="72">
        <ns0:v>44.2</ns0:v>
      </ns0:c>
      <ns0:c r="H175" s="72">
        <ns0:v>154.30000000000001</ns0:v>
      </ns0:c>
      <ns0:c r="I175" s="73">
        <ns0:v>500000</ns0:v>
      </ns0:c>
      <ns0:c r="J175" s="71">
        <ns0:v>2024</ns0:v>
      </ns0:c>
      <ns0:c r="K175" s="73">
        <ns0:v>4541.3260672116257</ns0:v>
      </ns0:c>
      <ns0:c r="L175" s="73">
        <ns0:v>3240.4406999351909</ns0:v>
      </ns0:c>
      <ns0:c r="M175" s="74" t="str">
        <ns0:f t="shared" si="33"/>
        <ns0:v>Histórico</ns0:v>
      </ns0:c>
      <ns0:c r="N175" s="74"/>
      <ns0:c r="O175" s="74"/>
      <ns0:c r="P175" s="77"/>
      <ns0:c r="Q175" s="74" t="str">
        <ns0:f t="shared" si="34"/>
        <ns0:v>A classificar</ns0:v>
      </ns0:c>
      <ns0:c r="R175" s="74"/>
      <ns0:c r="S175" s="74"/>
      <ns0:c r="T175" s="74"/>
      <ns0:c r="U175" s="74"/>
      <ns0:c r="V175" s="74"/>
      <ns0:c r="W175" s="76" t="n">
        <ns0:f t="shared" si="40"/>
        <ns0:v>0.2</ns0:v>
      </ns0:c>
      <ns0:c r="X175" s="74" t="str">
        <ns0:f t="shared" si="41"/>
        <ns0:v>C · Histórico/secundário</ns0:v>
      </ns0:c>
      <ns0:c r="Y175" s="74"/>
      <ns0:c r="Z175" s="74"/>
      <ns0:c r="AA175" s="74"/>
      <ns0:c r="AB175" s="74"/>
    </ns0:row>
    <ns0:row r="176">
      <ns0:c r="A176" s="71" t="s">
        <ns0:v>176</ns0:v>
      </ns0:c>
      <ns0:c r="B176" s="71" t="s">
        <ns0:v>180</ns0:v>
      </ns0:c>
      <ns0:c r="C176" s="71">
        <ns0:v>0</ns0:v>
      </ns0:c>
      <ns0:c r="D176" s="71" t="s">
        <ns0:v>64</ns0:v>
      </ns0:c>
      <ns0:c r="E176" s="74">
        <ns0:v>4</ns0:v>
      </ns0:c>
      <ns0:c r="F176" s="72">
        <ns0:v>111.1</ns0:v>
      </ns0:c>
      <ns0:c r="G176" s="72">
        <ns0:v>44.2</ns0:v>
      </ns0:c>
      <ns0:c r="H176" s="72">
        <ns0:v>155.30000000000001</ns0:v>
      </ns0:c>
      <ns0:c r="I176" s="73">
        <ns0:v>535500</ns0:v>
      </ns0:c>
      <ns0:c r="J176" s="71">
        <ns0:v>2026</ns0:v>
      </ns0:c>
      <ns0:c r="K176" s="73">
        <ns0:v>4410.441044104411</ns0:v>
      </ns0:c>
      <ns0:c r="L176" s="73">
        <ns0:v>3155.1835157759174</ns0:v>
      </ns0:c>
      <ns0:c r="M176" s="74" t="str">
        <ns0:f t="shared" si="33"/>
        <ns0:v>Ativo</ns0:v>
      </ns0:c>
      <ns0:c r="N176" s="74"/>
      <ns0:c r="O176" s="74"/>
      <ns0:c r="P176" s="77"/>
      <ns0:c r="Q176" s="74" t="str">
        <ns0:f t="shared" si="34"/>
        <ns0:v>A classificar</ns0:v>
      </ns0:c>
      <ns0:c r="R176" s="74"/>
      <ns0:c r="S176" s="74"/>
      <ns0:c r="T176" s="74"/>
      <ns0:c r="U176" s="74"/>
      <ns0:c r="V176" s="74"/>
      <ns0:c r="W176" s="76">
        <ns0:f t="shared" si="40"/>
        <ns0:v>0.6</ns0:v>
      </ns0:c>
      <ns0:c r="X176" s="74" t="str">
        <ns0:f t="shared" si="41"/>
        <ns0:v>B · Benchmark local</ns0:v>
      </ns0:c>
      <ns0:c r="Y176" s="74"/>
      <ns0:c r="Z176" s="74"/>
      <ns0:c r="AA176" s="74"/>
      <ns0:c r="AB176" s="74"/>
    </ns0:row>
    <ns0:row r="177">
      <ns0:c r="A177" s="71" t="s">
        <ns0:v>176</ns0:v>
      </ns0:c>
      <ns0:c r="B177" s="71" t="s">
        <ns0:v>181</ns0:v>
      </ns0:c>
      <ns0:c r="C177" s="71">
        <ns0:v>0</ns0:v>
      </ns0:c>
      <ns0:c r="D177" s="71" t="s">
        <ns0:v>64</ns0:v>
      </ns0:c>
      <ns0:c r="E177" s="74">
        <ns0:v>4</ns0:v>
      </ns0:c>
      <ns0:c r="F177" s="72">
        <ns0:v>111.1</ns0:v>
      </ns0:c>
      <ns0:c r="G177" s="72">
        <ns0:v>44.2</ns0:v>
      </ns0:c>
      <ns0:c r="H177" s="72">
        <ns0:v>155.30000000000001</ns0:v>
      </ns0:c>
      <ns0:c r="I177" s="73">
        <ns0:v>500000</ns0:v>
      </ns0:c>
      <ns0:c r="J177" s="71">
        <ns0:v>2024</ns0:v>
      </ns0:c>
      <ns0:c r="K177" s="73">
        <ns0:v>4500.4500450045007</ns0:v>
      </ns0:c>
      <ns0:c r="L177" s="73">
        <ns0:v>3219.5750160978751</ns0:v>
      </ns0:c>
      <ns0:c r="M177" s="74" t="str">
        <ns0:f t="shared" si="33"/>
        <ns0:v>Histórico</ns0:v>
      </ns0:c>
      <ns0:c r="N177" s="74"/>
      <ns0:c r="O177" s="74"/>
      <ns0:c r="P177" s="77"/>
      <ns0:c r="Q177" s="74" t="str">
        <ns0:f t="shared" si="34"/>
        <ns0:v>A classificar</ns0:v>
      </ns0:c>
      <ns0:c r="R177" s="74"/>
      <ns0:c r="S177" s="74"/>
      <ns0:c r="T177" s="74"/>
      <ns0:c r="U177" s="74"/>
      <ns0:c r="V177" s="74"/>
      <ns0:c r="W177" s="76" t="n">
        <ns0:f t="shared" si="40"/>
        <ns0:v>0.2</ns0:v>
      </ns0:c>
      <ns0:c r="X177" s="74" t="str">
        <ns0:f t="shared" si="41"/>
        <ns0:v>C · Histórico/secundário</ns0:v>
      </ns0:c>
      <ns0:c r="Y177" s="74"/>
      <ns0:c r="Z177" s="74"/>
      <ns0:c r="AA177" s="74"/>
      <ns0:c r="AB177" s="74"/>
    </ns0:row>
    <ns0:row r="178">
      <ns0:c r="A178" s="71" t="s">
        <ns0:v>176</ns0:v>
      </ns0:c>
      <ns0:c r="B178" s="71" t="s">
        <ns0:v>182</ns0:v>
      </ns0:c>
      <ns0:c r="C178" s="71">
        <ns0:v>0</ns0:v>
      </ns0:c>
      <ns0:c r="D178" s="71" t="s">
        <ns0:v>31</ns0:v>
      </ns0:c>
      <ns0:c r="E178" s="74">
        <ns0:v>4</ns0:v>
      </ns0:c>
      <ns0:c r="F178" s="72">
        <ns0:v>91.55</ns0:v>
      </ns0:c>
      <ns0:c r="G178" s="72">
        <ns0:v>38.6</ns0:v>
      </ns0:c>
      <ns0:c r="H178" s="72">
        <ns0:v>130.15</ns0:v>
      </ns0:c>
      <ns0:c r="I178" s="73">
        <ns0:v>400000</ns0:v>
      </ns0:c>
      <ns0:c r="J178" s="71">
        <ns0:v>2024</ns0:v>
      </ns0:c>
      <ns0:c r="K178" s="73">
        <ns0:v>4369.1971600218458</ns0:v>
      </ns0:c>
      <ns0:c r="L178" s="73">
        <ns0:v>3073.3768728390319</ns0:v>
      </ns0:c>
      <ns0:c r="M178" s="74" t="str">
        <ns0:f t="shared" si="33"/>
        <ns0:v>Histórico</ns0:v>
      </ns0:c>
      <ns0:c r="N178" s="74"/>
      <ns0:c r="O178" s="74"/>
      <ns0:c r="P178" s="77"/>
      <ns0:c r="Q178" s="74" t="str">
        <ns0:f t="shared" si="34"/>
        <ns0:v>A classificar</ns0:v>
      </ns0:c>
      <ns0:c r="R178" s="74"/>
      <ns0:c r="S178" s="74"/>
      <ns0:c r="T178" s="74"/>
      <ns0:c r="U178" s="74"/>
      <ns0:c r="V178" s="74"/>
      <ns0:c r="W178" s="76" t="n">
        <ns0:f t="shared" si="40"/>
        <ns0:v>0.2</ns0:v>
      </ns0:c>
      <ns0:c r="X178" s="74" t="str">
        <ns0:f t="shared" si="41"/>
        <ns0:v>C · Histórico/secundário</ns0:v>
      </ns0:c>
      <ns0:c r="Y178" s="74"/>
      <ns0:c r="Z178" s="74"/>
      <ns0:c r="AA178" s="74"/>
      <ns0:c r="AB178" s="74"/>
    </ns0:row>
    <ns0:row r="179">
      <ns0:c r="A179" s="71" t="s">
        <ns0:v>176</ns0:v>
      </ns0:c>
      <ns0:c r="B179" s="71" t="s">
        <ns0:v>183</ns0:v>
      </ns0:c>
      <ns0:c r="C179" s="71">
        <ns0:v>1</ns0:v>
      </ns0:c>
      <ns0:c r="D179" s="71" t="s">
        <ns0:v>31</ns0:v>
      </ns0:c>
      <ns0:c r="E179" s="74">
        <ns0:v>4</ns0:v>
      </ns0:c>
      <ns0:c r="F179" s="72">
        <ns0:v>101.2</ns0:v>
      </ns0:c>
      <ns0:c r="G179" s="72">
        <ns0:v>21.9</ns0:v>
      </ns0:c>
      <ns0:c r="H179" s="72">
        <ns0:v>123.1</ns0:v>
      </ns0:c>
      <ns0:c r="I179" s="73">
        <ns0:v>400000</ns0:v>
      </ns0:c>
      <ns0:c r="J179" s="71">
        <ns0:v>2024</ns0:v>
      </ns0:c>
      <ns0:c r="K179" s="73">
        <ns0:v>3952.569169960474</ns0:v>
      </ns0:c>
      <ns0:c r="L179" s="73">
        <ns0:v>3249.3907392363935</ns0:v>
      </ns0:c>
      <ns0:c r="M179" s="74" t="str">
        <ns0:f t="shared" si="33"/>
        <ns0:v>Histórico</ns0:v>
      </ns0:c>
      <ns0:c r="N179" s="74"/>
      <ns0:c r="O179" s="74"/>
      <ns0:c r="P179" s="77"/>
      <ns0:c r="Q179" s="74" t="str">
        <ns0:f t="shared" si="34"/>
        <ns0:v>A classificar</ns0:v>
      </ns0:c>
      <ns0:c r="R179" s="74"/>
      <ns0:c r="S179" s="74"/>
      <ns0:c r="T179" s="74"/>
      <ns0:c r="U179" s="74"/>
      <ns0:c r="V179" s="74"/>
      <ns0:c r="W179" s="76" t="n">
        <ns0:f t="shared" si="40"/>
        <ns0:v>0.2</ns0:v>
      </ns0:c>
      <ns0:c r="X179" s="74" t="str">
        <ns0:f t="shared" si="41"/>
        <ns0:v>C · Histórico/secundário</ns0:v>
      </ns0:c>
      <ns0:c r="Y179" s="74"/>
      <ns0:c r="Z179" s="74"/>
      <ns0:c r="AA179" s="74"/>
      <ns0:c r="AB179" s="74"/>
    </ns0:row>
    <ns0:row r="180">
      <ns0:c r="A180" s="71" t="s">
        <ns0:v>176</ns0:v>
      </ns0:c>
      <ns0:c r="B180" s="71" t="s">
        <ns0:v>184</ns0:v>
      </ns0:c>
      <ns0:c r="C180" s="71">
        <ns0:v>1</ns0:v>
      </ns0:c>
      <ns0:c r="D180" s="71" t="s">
        <ns0:v>42</ns0:v>
      </ns0:c>
      <ns0:c r="E180" s="74">
        <ns0:v>4</ns0:v>
      </ns0:c>
      <ns0:c r="F180" s="72">
        <ns0:v>57</ns0:v>
      </ns0:c>
      <ns0:c r="G180" s="72">
        <ns0:v>9.85</ns0:v>
      </ns0:c>
      <ns0:c r="H180" s="72">
        <ns0:v>66.849999999999994</ns0:v>
      </ns0:c>
      <ns0:c r="I180" s="73">
        <ns0:v>280000</ns0:v>
      </ns0:c>
      <ns0:c r="J180" s="71">
        <ns0:v>2024</ns0:v>
      </ns0:c>
      <ns0:c r="K180" s="73">
        <ns0:v>4912.2807017543855</ns0:v>
      </ns0:c>
      <ns0:c r="L180" s="73">
        <ns0:v>4188.4816753926707</ns0:v>
      </ns0:c>
      <ns0:c r="M180" s="74" t="str">
        <ns0:f t="shared" si="33"/>
        <ns0:v>Histórico</ns0:v>
      </ns0:c>
      <ns0:c r="N180" s="74"/>
      <ns0:c r="O180" s="74"/>
      <ns0:c r="P180" s="77"/>
      <ns0:c r="Q180" s="74" t="str">
        <ns0:f t="shared" si="34"/>
        <ns0:v>A classificar</ns0:v>
      </ns0:c>
      <ns0:c r="R180" s="74"/>
      <ns0:c r="S180" s="74"/>
      <ns0:c r="T180" s="74"/>
      <ns0:c r="U180" s="74"/>
      <ns0:c r="V180" s="74"/>
      <ns0:c r="W180" s="76" t="n">
        <ns0:f t="shared" si="40"/>
        <ns0:v>0.2</ns0:v>
      </ns0:c>
      <ns0:c r="X180" s="74" t="str">
        <ns0:f t="shared" si="41"/>
        <ns0:v>C · Histórico/secundário</ns0:v>
      </ns0:c>
      <ns0:c r="Y180" s="74"/>
      <ns0:c r="Z180" s="74"/>
      <ns0:c r="AA180" s="74"/>
      <ns0:c r="AB180" s="74"/>
    </ns0:row>
    <ns0:row r="181">
      <ns0:c r="A181" s="71" t="s">
        <ns0:v>176</ns0:v>
      </ns0:c>
      <ns0:c r="B181" s="71" t="s">
        <ns0:v>185</ns0:v>
      </ns0:c>
      <ns0:c r="C181" s="71">
        <ns0:v>1</ns0:v>
      </ns0:c>
      <ns0:c r="D181" s="71" t="s">
        <ns0:v>42</ns0:v>
      </ns0:c>
      <ns0:c r="E181" s="74">
        <ns0:v>4</ns0:v>
      </ns0:c>
      <ns0:c r="F181" s="72">
        <ns0:v>57</ns0:v>
      </ns0:c>
      <ns0:c r="G181" s="72">
        <ns0:v>9</ns0:v>
      </ns0:c>
      <ns0:c r="H181" s="72">
        <ns0:v>66</ns0:v>
      </ns0:c>
      <ns0:c r="I181" s="73">
        <ns0:v>275000</ns0:v>
      </ns0:c>
      <ns0:c r="J181" s="71">
        <ns0:v>2024</ns0:v>
      </ns0:c>
      <ns0:c r="K181" s="73">
        <ns0:v>4824.5614035087719</ns0:v>
      </ns0:c>
      <ns0:c r="L181" s="73">
        <ns0:v>4166.666666666667</ns0:v>
      </ns0:c>
      <ns0:c r="M181" s="74" t="str">
        <ns0:f t="shared" si="33"/>
        <ns0:v>Histórico</ns0:v>
      </ns0:c>
      <ns0:c r="N181" s="74"/>
      <ns0:c r="O181" s="74"/>
      <ns0:c r="P181" s="77"/>
      <ns0:c r="Q181" s="74" t="str">
        <ns0:f t="shared" si="34"/>
        <ns0:v>A classificar</ns0:v>
      </ns0:c>
      <ns0:c r="R181" s="74"/>
      <ns0:c r="S181" s="74"/>
      <ns0:c r="T181" s="74"/>
      <ns0:c r="U181" s="74"/>
      <ns0:c r="V181" s="74"/>
      <ns0:c r="W181" s="76" t="n">
        <ns0:f t="shared" si="40"/>
        <ns0:v>0.2</ns0:v>
      </ns0:c>
      <ns0:c r="X181" s="74" t="str">
        <ns0:f t="shared" si="41"/>
        <ns0:v>C · Histórico/secundário</ns0:v>
      </ns0:c>
      <ns0:c r="Y181" s="74"/>
      <ns0:c r="Z181" s="74"/>
      <ns0:c r="AA181" s="74"/>
      <ns0:c r="AB181" s="74"/>
    </ns0:row>
    <ns0:row r="182">
      <ns0:c r="A182" s="71" t="s">
        <ns0:v>176</ns0:v>
      </ns0:c>
      <ns0:c r="B182" s="71" t="s">
        <ns0:v>186</ns0:v>
      </ns0:c>
      <ns0:c r="C182" s="71">
        <ns0:v>1</ns0:v>
      </ns0:c>
      <ns0:c r="D182" s="71" t="s">
        <ns0:v>31</ns0:v>
      </ns0:c>
      <ns0:c r="E182" s="74">
        <ns0:v>4</ns0:v>
      </ns0:c>
      <ns0:c r="F182" s="72">
        <ns0:v>99.6</ns0:v>
      </ns0:c>
      <ns0:c r="G182" s="72">
        <ns0:v>18.45</ns0:v>
      </ns0:c>
      <ns0:c r="H182" s="72">
        <ns0:v>118.05</ns0:v>
      </ns0:c>
      <ns0:c r="I182" s="73">
        <ns0:v>380000</ns0:v>
      </ns0:c>
      <ns0:c r="J182" s="71">
        <ns0:v>2024</ns0:v>
      </ns0:c>
      <ns0:c r="K182" s="73">
        <ns0:v>3815.2610441767069</ns0:v>
      </ns0:c>
      <ns0:c r="L182" s="73">
        <ns0:v>3218.9750105887338</ns0:v>
      </ns0:c>
      <ns0:c r="M182" s="74" t="str">
        <ns0:f t="shared" si="33"/>
        <ns0:v>Histórico</ns0:v>
      </ns0:c>
      <ns0:c r="N182" s="74"/>
      <ns0:c r="O182" s="74"/>
      <ns0:c r="P182" s="77"/>
      <ns0:c r="Q182" s="74" t="str">
        <ns0:f t="shared" si="34"/>
        <ns0:v>A classificar</ns0:v>
      </ns0:c>
      <ns0:c r="R182" s="74"/>
      <ns0:c r="S182" s="74"/>
      <ns0:c r="T182" s="74"/>
      <ns0:c r="U182" s="74"/>
      <ns0:c r="V182" s="74"/>
      <ns0:c r="W182" s="76" t="n">
        <ns0:f t="shared" si="40"/>
        <ns0:v>0.2</ns0:v>
      </ns0:c>
      <ns0:c r="X182" s="74" t="str">
        <ns0:f t="shared" si="41"/>
        <ns0:v>C · Histórico/secundário</ns0:v>
      </ns0:c>
      <ns0:c r="Y182" s="74"/>
      <ns0:c r="Z182" s="74"/>
      <ns0:c r="AA182" s="74"/>
      <ns0:c r="AB182" s="74"/>
    </ns0:row>
    <ns0:row r="183">
      <ns0:c r="A183" s="71" t="s">
        <ns0:v>176</ns0:v>
      </ns0:c>
      <ns0:c r="B183" s="71" t="s">
        <ns0:v>187</ns0:v>
      </ns0:c>
      <ns0:c r="C183" s="71">
        <ns0:v>1</ns0:v>
      </ns0:c>
      <ns0:c r="D183" s="71" t="s">
        <ns0:v>42</ns0:v>
      </ns0:c>
      <ns0:c r="E183" s="74">
        <ns0:v>4</ns0:v>
      </ns0:c>
      <ns0:c r="F183" s="72">
        <ns0:v>57</ns0:v>
      </ns0:c>
      <ns0:c r="G183" s="72">
        <ns0:v>9.9499999999999993</ns0:v>
      </ns0:c>
      <ns0:c r="H183" s="72">
        <ns0:v>66.95</ns0:v>
      </ns0:c>
      <ns0:c r="I183" s="73">
        <ns0:v>275000</ns0:v>
      </ns0:c>
      <ns0:c r="J183" s="71">
        <ns0:v>2024</ns0:v>
      </ns0:c>
      <ns0:c r="K183" s="73">
        <ns0:v>4824.5614035087719</ns0:v>
      </ns0:c>
      <ns0:c r="L183" s="73">
        <ns0:v>4107.5429424943986</ns0:v>
      </ns0:c>
      <ns0:c r="M183" s="74" t="str">
        <ns0:f t="shared" si="33"/>
        <ns0:v>Histórico</ns0:v>
      </ns0:c>
      <ns0:c r="N183" s="74"/>
      <ns0:c r="O183" s="74"/>
      <ns0:c r="P183" s="77"/>
      <ns0:c r="Q183" s="74" t="str">
        <ns0:f t="shared" si="34"/>
        <ns0:v>A classificar</ns0:v>
      </ns0:c>
      <ns0:c r="R183" s="74"/>
      <ns0:c r="S183" s="74"/>
      <ns0:c r="T183" s="74"/>
      <ns0:c r="U183" s="74"/>
      <ns0:c r="V183" s="74"/>
      <ns0:c r="W183" s="76" t="n">
        <ns0:f t="shared" si="40"/>
        <ns0:v>0.2</ns0:v>
      </ns0:c>
      <ns0:c r="X183" s="74" t="str">
        <ns0:f t="shared" si="41"/>
        <ns0:v>C · Histórico/secundário</ns0:v>
      </ns0:c>
      <ns0:c r="Y183" s="74"/>
      <ns0:c r="Z183" s="74"/>
      <ns0:c r="AA183" s="74"/>
      <ns0:c r="AB183" s="74"/>
    </ns0:row>
    <ns0:row r="184">
      <ns0:c r="A184" s="71" t="s">
        <ns0:v>176</ns0:v>
      </ns0:c>
      <ns0:c r="B184" s="71" t="s">
        <ns0:v>188</ns0:v>
      </ns0:c>
      <ns0:c r="C184" s="71">
        <ns0:v>1</ns0:v>
      </ns0:c>
      <ns0:c r="D184" s="71" t="s">
        <ns0:v>31</ns0:v>
      </ns0:c>
      <ns0:c r="E184" s="74">
        <ns0:v>4</ns0:v>
      </ns0:c>
      <ns0:c r="F184" s="72">
        <ns0:v>101.2</ns0:v>
      </ns0:c>
      <ns0:c r="G184" s="72">
        <ns0:v>31.9</ns0:v>
      </ns0:c>
      <ns0:c r="H184" s="72">
        <ns0:v>133.1</ns0:v>
      </ns0:c>
      <ns0:c r="I184" s="73">
        <ns0:v>385000</ns0:v>
      </ns0:c>
      <ns0:c r="J184" s="71">
        <ns0:v>2024</ns0:v>
      </ns0:c>
      <ns0:c r="K184" s="73">
        <ns0:v>3804.3478260869565</ns0:v>
      </ns0:c>
      <ns0:c r="L184" s="73">
        <ns0:v>2892.5619834710747</ns0:v>
      </ns0:c>
      <ns0:c r="M184" s="74" t="str">
        <ns0:f t="shared" si="33"/>
        <ns0:v>Histórico</ns0:v>
      </ns0:c>
      <ns0:c r="N184" s="74"/>
      <ns0:c r="O184" s="74"/>
      <ns0:c r="P184" s="77"/>
      <ns0:c r="Q184" s="74" t="str">
        <ns0:f t="shared" si="34"/>
        <ns0:v>A classificar</ns0:v>
      </ns0:c>
      <ns0:c r="R184" s="74"/>
      <ns0:c r="S184" s="74"/>
      <ns0:c r="T184" s="74"/>
      <ns0:c r="U184" s="74"/>
      <ns0:c r="V184" s="74"/>
      <ns0:c r="W184" s="76" t="n">
        <ns0:f t="shared" si="40"/>
        <ns0:v>0.2</ns0:v>
      </ns0:c>
      <ns0:c r="X184" s="74" t="str">
        <ns0:f t="shared" si="41"/>
        <ns0:v>C · Histórico/secundário</ns0:v>
      </ns0:c>
      <ns0:c r="Y184" s="74"/>
      <ns0:c r="Z184" s="74"/>
      <ns0:c r="AA184" s="74"/>
      <ns0:c r="AB184" s="74"/>
    </ns0:row>
    <ns0:row r="185">
      <ns0:c r="A185" s="71" t="s">
        <ns0:v>176</ns0:v>
      </ns0:c>
      <ns0:c r="B185" s="71" t="s">
        <ns0:v>189</ns0:v>
      </ns0:c>
      <ns0:c r="C185" s="71">
        <ns0:v>2</ns0:v>
      </ns0:c>
      <ns0:c r="D185" s="71" t="s">
        <ns0:v>31</ns0:v>
      </ns0:c>
      <ns0:c r="E185" s="74">
        <ns0:v>4</ns0:v>
      </ns0:c>
      <ns0:c r="F185" s="72">
        <ns0:v>101.2</ns0:v>
      </ns0:c>
      <ns0:c r="G185" s="72">
        <ns0:v>22.55</ns0:v>
      </ns0:c>
      <ns0:c r="H185" s="72">
        <ns0:v>123.75</ns0:v>
      </ns0:c>
      <ns0:c r="I185" s="73">
        <ns0:v>400000</ns0:v>
      </ns0:c>
      <ns0:c r="J185" s="71">
        <ns0:v>2024</ns0:v>
      </ns0:c>
      <ns0:c r="K185" s="73">
        <ns0:v>3952.569169960474</ns0:v>
      </ns0:c>
      <ns0:c r="L185" s="73">
        <ns0:v>3232.3232323232323</ns0:v>
      </ns0:c>
      <ns0:c r="M185" s="74" t="str">
        <ns0:f t="shared" si="33"/>
        <ns0:v>Histórico</ns0:v>
      </ns0:c>
      <ns0:c r="N185" s="74"/>
      <ns0:c r="O185" s="74"/>
      <ns0:c r="P185" s="77"/>
      <ns0:c r="Q185" s="74" t="str">
        <ns0:f t="shared" si="34"/>
        <ns0:v>A classificar</ns0:v>
      </ns0:c>
      <ns0:c r="R185" s="74"/>
      <ns0:c r="S185" s="74"/>
      <ns0:c r="T185" s="74"/>
      <ns0:c r="U185" s="74"/>
      <ns0:c r="V185" s="74"/>
      <ns0:c r="W185" s="76" t="n">
        <ns0:f t="shared" si="40"/>
        <ns0:v>0.2</ns0:v>
      </ns0:c>
      <ns0:c r="X185" s="74" t="str">
        <ns0:f t="shared" si="41"/>
        <ns0:v>C · Histórico/secundário</ns0:v>
      </ns0:c>
      <ns0:c r="Y185" s="74"/>
      <ns0:c r="Z185" s="74"/>
      <ns0:c r="AA185" s="74"/>
      <ns0:c r="AB185" s="74"/>
    </ns0:row>
    <ns0:row r="186">
      <ns0:c r="A186" s="71" t="s">
        <ns0:v>176</ns0:v>
      </ns0:c>
      <ns0:c r="B186" s="71" t="s">
        <ns0:v>190</ns0:v>
      </ns0:c>
      <ns0:c r="C186" s="71">
        <ns0:v>2</ns0:v>
      </ns0:c>
      <ns0:c r="D186" s="71" t="s">
        <ns0:v>42</ns0:v>
      </ns0:c>
      <ns0:c r="E186" s="74">
        <ns0:v>4</ns0:v>
      </ns0:c>
      <ns0:c r="F186" s="72">
        <ns0:v>57</ns0:v>
      </ns0:c>
      <ns0:c r="G186" s="72">
        <ns0:v>9</ns0:v>
      </ns0:c>
      <ns0:c r="H186" s="72">
        <ns0:v>66</ns0:v>
      </ns0:c>
      <ns0:c r="I186" s="73">
        <ns0:v>285000</ns0:v>
      </ns0:c>
      <ns0:c r="J186" s="71">
        <ns0:v>2024</ns0:v>
      </ns0:c>
      <ns0:c r="K186" s="73">
        <ns0:v>5000</ns0:v>
      </ns0:c>
      <ns0:c r="L186" s="73">
        <ns0:v>4318.181818181818</ns0:v>
      </ns0:c>
      <ns0:c r="M186" s="74" t="str">
        <ns0:f t="shared" si="33"/>
        <ns0:v>Histórico</ns0:v>
      </ns0:c>
      <ns0:c r="N186" s="74"/>
      <ns0:c r="O186" s="74"/>
      <ns0:c r="P186" s="77"/>
      <ns0:c r="Q186" s="74" t="str">
        <ns0:f t="shared" si="34"/>
        <ns0:v>A classificar</ns0:v>
      </ns0:c>
      <ns0:c r="R186" s="74"/>
      <ns0:c r="S186" s="74"/>
      <ns0:c r="T186" s="74"/>
      <ns0:c r="U186" s="74"/>
      <ns0:c r="V186" s="74"/>
      <ns0:c r="W186" s="76" t="n">
        <ns0:f t="shared" si="40"/>
        <ns0:v>0.2</ns0:v>
      </ns0:c>
      <ns0:c r="X186" s="74" t="str">
        <ns0:f t="shared" si="41"/>
        <ns0:v>C · Histórico/secundário</ns0:v>
      </ns0:c>
      <ns0:c r="Y186" s="74"/>
      <ns0:c r="Z186" s="74"/>
      <ns0:c r="AA186" s="74"/>
      <ns0:c r="AB186" s="74"/>
    </ns0:row>
    <ns0:row r="187">
      <ns0:c r="A187" s="71" t="s">
        <ns0:v>176</ns0:v>
      </ns0:c>
      <ns0:c r="B187" s="71" t="s">
        <ns0:v>191</ns0:v>
      </ns0:c>
      <ns0:c r="C187" s="71">
        <ns0:v>2</ns0:v>
      </ns0:c>
      <ns0:c r="D187" s="71" t="s">
        <ns0:v>42</ns0:v>
      </ns0:c>
      <ns0:c r="E187" s="74">
        <ns0:v>4</ns0:v>
      </ns0:c>
      <ns0:c r="F187" s="72">
        <ns0:v>57</ns0:v>
      </ns0:c>
      <ns0:c r="G187" s="72">
        <ns0:v>9.85</ns0:v>
      </ns0:c>
      <ns0:c r="H187" s="72">
        <ns0:v>66.849999999999994</ns0:v>
      </ns0:c>
      <ns0:c r="I187" s="73">
        <ns0:v>290000</ns0:v>
      </ns0:c>
      <ns0:c r="J187" s="71">
        <ns0:v>2024</ns0:v>
      </ns0:c>
      <ns0:c r="K187" s="73">
        <ns0:v>5087.7192982456145</ns0:v>
      </ns0:c>
      <ns0:c r="L187" s="73">
        <ns0:v>4338.0703066566948</ns0:v>
      </ns0:c>
      <ns0:c r="M187" s="74" t="str">
        <ns0:f t="shared" si="33"/>
        <ns0:v>Histórico</ns0:v>
      </ns0:c>
      <ns0:c r="N187" s="74"/>
      <ns0:c r="O187" s="74"/>
      <ns0:c r="P187" s="77"/>
      <ns0:c r="Q187" s="74" t="str">
        <ns0:f t="shared" si="34"/>
        <ns0:v>A classificar</ns0:v>
      </ns0:c>
      <ns0:c r="R187" s="74"/>
      <ns0:c r="S187" s="74"/>
      <ns0:c r="T187" s="74"/>
      <ns0:c r="U187" s="74"/>
      <ns0:c r="V187" s="74"/>
      <ns0:c r="W187" s="76" t="n">
        <ns0:f t="shared" si="40"/>
        <ns0:v>0.2</ns0:v>
      </ns0:c>
      <ns0:c r="X187" s="74" t="str">
        <ns0:f t="shared" si="41"/>
        <ns0:v>C · Histórico/secundário</ns0:v>
      </ns0:c>
      <ns0:c r="Y187" s="74"/>
      <ns0:c r="Z187" s="74"/>
      <ns0:c r="AA187" s="74"/>
      <ns0:c r="AB187" s="74"/>
    </ns0:row>
    <ns0:row r="188">
      <ns0:c r="A188" s="71" t="s">
        <ns0:v>176</ns0:v>
      </ns0:c>
      <ns0:c r="B188" s="71" t="s">
        <ns0:v>192</ns0:v>
      </ns0:c>
      <ns0:c r="C188" s="71">
        <ns0:v>2</ns0:v>
      </ns0:c>
      <ns0:c r="D188" s="71" t="s">
        <ns0:v>31</ns0:v>
      </ns0:c>
      <ns0:c r="E188" s="74">
        <ns0:v>4</ns0:v>
      </ns0:c>
      <ns0:c r="F188" s="72">
        <ns0:v>99.6</ns0:v>
      </ns0:c>
      <ns0:c r="G188" s="72">
        <ns0:v>19.600000000000001</ns0:v>
      </ns0:c>
      <ns0:c r="H188" s="72">
        <ns0:v>119.19999999999999</ns0:v>
      </ns0:c>
      <ns0:c r="I188" s="73">
        <ns0:v>405000</ns0:v>
      </ns0:c>
      <ns0:c r="J188" s="71">
        <ns0:v>2024</ns0:v>
      </ns0:c>
      <ns0:c r="K188" s="73">
        <ns0:v>4066.265060240964</ns0:v>
      </ns0:c>
      <ns0:c r="L188" s="73">
        <ns0:v>3397.6510067114095</ns0:v>
      </ns0:c>
      <ns0:c r="M188" s="74" t="str">
        <ns0:f t="shared" si="33"/>
        <ns0:v>Histórico</ns0:v>
      </ns0:c>
      <ns0:c r="N188" s="74"/>
      <ns0:c r="O188" s="74"/>
      <ns0:c r="P188" s="77"/>
      <ns0:c r="Q188" s="74" t="str">
        <ns0:f t="shared" si="34"/>
        <ns0:v>A classificar</ns0:v>
      </ns0:c>
      <ns0:c r="R188" s="74"/>
      <ns0:c r="S188" s="74"/>
      <ns0:c r="T188" s="74"/>
      <ns0:c r="U188" s="74"/>
      <ns0:c r="V188" s="74"/>
      <ns0:c r="W188" s="76" t="n">
        <ns0:f t="shared" si="40"/>
        <ns0:v>0.2</ns0:v>
      </ns0:c>
      <ns0:c r="X188" s="74" t="str">
        <ns0:f t="shared" si="41"/>
        <ns0:v>C · Histórico/secundário</ns0:v>
      </ns0:c>
      <ns0:c r="Y188" s="74"/>
      <ns0:c r="Z188" s="74"/>
      <ns0:c r="AA188" s="74"/>
      <ns0:c r="AB188" s="74"/>
    </ns0:row>
    <ns0:row r="189">
      <ns0:c r="A189" s="71" t="s">
        <ns0:v>176</ns0:v>
      </ns0:c>
      <ns0:c r="B189" s="71" t="s">
        <ns0:v>193</ns0:v>
      </ns0:c>
      <ns0:c r="C189" s="71">
        <ns0:v>2</ns0:v>
      </ns0:c>
      <ns0:c r="D189" s="71" t="s">
        <ns0:v>42</ns0:v>
      </ns0:c>
      <ns0:c r="E189" s="74">
        <ns0:v>4</ns0:v>
      </ns0:c>
      <ns0:c r="F189" s="72">
        <ns0:v>55.85</ns0:v>
      </ns0:c>
      <ns0:c r="G189" s="72">
        <ns0:v>11.1</ns0:v>
      </ns0:c>
      <ns0:c r="H189" s="72">
        <ns0:v>66.95</ns0:v>
      </ns0:c>
      <ns0:c r="I189" s="73">
        <ns0:v>215000</ns0:v>
      </ns0:c>
      <ns0:c r="J189" s="71">
        <ns0:v>2024</ns0:v>
      </ns0:c>
      <ns0:c r="K189" s="73">
        <ns0:v>3849.5971351835274</ns0:v>
      </ns0:c>
      <ns0:c r="L189" s="73">
        <ns0:v>3211.3517550410752</ns0:v>
      </ns0:c>
      <ns0:c r="M189" s="74" t="str">
        <ns0:f t="shared" si="33"/>
        <ns0:v>Histórico</ns0:v>
      </ns0:c>
      <ns0:c r="N189" s="74"/>
      <ns0:c r="O189" s="74"/>
      <ns0:c r="P189" s="77"/>
      <ns0:c r="Q189" s="74" t="str">
        <ns0:f t="shared" si="34"/>
        <ns0:v>A classificar</ns0:v>
      </ns0:c>
      <ns0:c r="R189" s="74"/>
      <ns0:c r="S189" s="74"/>
      <ns0:c r="T189" s="74"/>
      <ns0:c r="U189" s="74"/>
      <ns0:c r="V189" s="74"/>
      <ns0:c r="W189" s="76" t="n">
        <ns0:f t="shared" si="40"/>
        <ns0:v>0.2</ns0:v>
      </ns0:c>
      <ns0:c r="X189" s="74" t="str">
        <ns0:f t="shared" si="41"/>
        <ns0:v>C · Histórico/secundário</ns0:v>
      </ns0:c>
      <ns0:c r="Y189" s="74"/>
      <ns0:c r="Z189" s="74"/>
      <ns0:c r="AA189" s="74"/>
      <ns0:c r="AB189" s="74"/>
    </ns0:row>
    <ns0:row r="190">
      <ns0:c r="A190" s="71" t="s">
        <ns0:v>176</ns0:v>
      </ns0:c>
      <ns0:c r="B190" s="71" t="s">
        <ns0:v>194</ns0:v>
      </ns0:c>
      <ns0:c r="C190" s="71">
        <ns0:v>3</ns0:v>
      </ns0:c>
      <ns0:c r="D190" s="71" t="s">
        <ns0:v>31</ns0:v>
      </ns0:c>
      <ns0:c r="E190" s="74">
        <ns0:v>4</ns0:v>
      </ns0:c>
      <ns0:c r="F190" s="72">
        <ns0:v>101.2</ns0:v>
      </ns0:c>
      <ns0:c r="G190" s="72">
        <ns0:v>21.9</ns0:v>
      </ns0:c>
      <ns0:c r="H190" s="72">
        <ns0:v>123.1</ns0:v>
      </ns0:c>
      <ns0:c r="I190" s="73">
        <ns0:v>415000</ns0:v>
      </ns0:c>
      <ns0:c r="J190" s="71">
        <ns0:v>2024</ns0:v>
      </ns0:c>
      <ns0:c r="K190" s="73">
        <ns0:v>4100.790513833992</ns0:v>
      </ns0:c>
      <ns0:c r="L190" s="73">
        <ns0:v>3371.2428919577583</ns0:v>
      </ns0:c>
      <ns0:c r="M190" s="74" t="str">
        <ns0:f t="shared" si="33"/>
        <ns0:v>Histórico</ns0:v>
      </ns0:c>
      <ns0:c r="N190" s="74"/>
      <ns0:c r="O190" s="74"/>
      <ns0:c r="P190" s="77"/>
      <ns0:c r="Q190" s="74" t="str">
        <ns0:f t="shared" si="34"/>
        <ns0:v>A classificar</ns0:v>
      </ns0:c>
      <ns0:c r="R190" s="74"/>
      <ns0:c r="S190" s="74"/>
      <ns0:c r="T190" s="74"/>
      <ns0:c r="U190" s="74"/>
      <ns0:c r="V190" s="74"/>
      <ns0:c r="W190" s="76" t="n">
        <ns0:f t="shared" si="40"/>
        <ns0:v>0.2</ns0:v>
      </ns0:c>
      <ns0:c r="X190" s="74" t="str">
        <ns0:f t="shared" si="41"/>
        <ns0:v>C · Histórico/secundário</ns0:v>
      </ns0:c>
      <ns0:c r="Y190" s="74"/>
      <ns0:c r="Z190" s="74"/>
      <ns0:c r="AA190" s="74"/>
      <ns0:c r="AB190" s="74"/>
    </ns0:row>
    <ns0:row r="191">
      <ns0:c r="A191" s="71" t="s">
        <ns0:v>176</ns0:v>
      </ns0:c>
      <ns0:c r="B191" s="71" t="s">
        <ns0:v>195</ns0:v>
      </ns0:c>
      <ns0:c r="C191" s="71">
        <ns0:v>3</ns0:v>
      </ns0:c>
      <ns0:c r="D191" s="71" t="s">
        <ns0:v>42</ns0:v>
      </ns0:c>
      <ns0:c r="E191" s="74">
        <ns0:v>4</ns0:v>
      </ns0:c>
      <ns0:c r="F191" s="72">
        <ns0:v>55.85</ns0:v>
      </ns0:c>
      <ns0:c r="G191" s="72">
        <ns0:v>11.1</ns0:v>
      </ns0:c>
      <ns0:c r="H191" s="72">
        <ns0:v>66.95</ns0:v>
      </ns0:c>
      <ns0:c r="I191" s="73">
        <ns0:v>235000</ns0:v>
      </ns0:c>
      <ns0:c r="J191" s="71">
        <ns0:v>2024</ns0:v>
      </ns0:c>
      <ns0:c r="K191" s="73">
        <ns0:v>4207.6991942703671</ns0:v>
      </ns0:c>
      <ns0:c r="L191" s="73">
        <ns0:v>3510.0821508588497</ns0:v>
      </ns0:c>
      <ns0:c r="M191" s="74" t="str">
        <ns0:f t="shared" si="33"/>
        <ns0:v>Histórico</ns0:v>
      </ns0:c>
      <ns0:c r="N191" s="74"/>
      <ns0:c r="O191" s="74"/>
      <ns0:c r="P191" s="77"/>
      <ns0:c r="Q191" s="74" t="str">
        <ns0:f t="shared" si="34"/>
        <ns0:v>A classificar</ns0:v>
      </ns0:c>
      <ns0:c r="R191" s="74"/>
      <ns0:c r="S191" s="74"/>
      <ns0:c r="T191" s="74"/>
      <ns0:c r="U191" s="74"/>
      <ns0:c r="V191" s="74"/>
      <ns0:c r="W191" s="76" t="n">
        <ns0:f t="shared" si="40"/>
        <ns0:v>0.2</ns0:v>
      </ns0:c>
      <ns0:c r="X191" s="74" t="str">
        <ns0:f t="shared" si="41"/>
        <ns0:v>C · Histórico/secundário</ns0:v>
      </ns0:c>
      <ns0:c r="Y191" s="74"/>
      <ns0:c r="Z191" s="74"/>
      <ns0:c r="AA191" s="74"/>
      <ns0:c r="AB191" s="74"/>
    </ns0:row>
    <ns0:row r="192">
      <ns0:c r="A192" s="71" t="s">
        <ns0:v>176</ns0:v>
      </ns0:c>
      <ns0:c r="B192" s="71" t="s">
        <ns0:v>196</ns0:v>
      </ns0:c>
      <ns0:c r="C192" s="71">
        <ns0:v>3</ns0:v>
      </ns0:c>
      <ns0:c r="D192" s="71" t="s">
        <ns0:v>42</ns0:v>
      </ns0:c>
      <ns0:c r="E192" s="74">
        <ns0:v>4</ns0:v>
      </ns0:c>
      <ns0:c r="F192" s="72">
        <ns0:v>57</ns0:v>
      </ns0:c>
      <ns0:c r="G192" s="72">
        <ns0:v>9.85</ns0:v>
      </ns0:c>
      <ns0:c r="H192" s="72">
        <ns0:v>66.849999999999994</ns0:v>
      </ns0:c>
      <ns0:c r="I192" s="73">
        <ns0:v>295000</ns0:v>
      </ns0:c>
      <ns0:c r="J192" s="71">
        <ns0:v>2024</ns0:v>
      </ns0:c>
      <ns0:c r="K192" s="73">
        <ns0:v>5175.4385964912281</ns0:v>
      </ns0:c>
      <ns0:c r="L192" s="73">
        <ns0:v>4412.8646222887064</ns0:v>
      </ns0:c>
      <ns0:c r="M192" s="74" t="str">
        <ns0:f t="shared" si="33"/>
        <ns0:v>Histórico</ns0:v>
      </ns0:c>
      <ns0:c r="N192" s="74"/>
      <ns0:c r="O192" s="74"/>
      <ns0:c r="P192" s="77"/>
      <ns0:c r="Q192" s="74" t="str">
        <ns0:f t="shared" si="34"/>
        <ns0:v>A classificar</ns0:v>
      </ns0:c>
      <ns0:c r="R192" s="74"/>
      <ns0:c r="S192" s="74"/>
      <ns0:c r="T192" s="74"/>
      <ns0:c r="U192" s="74"/>
      <ns0:c r="V192" s="74"/>
      <ns0:c r="W192" s="76" t="n">
        <ns0:f t="shared" si="40"/>
        <ns0:v>0.2</ns0:v>
      </ns0:c>
      <ns0:c r="X192" s="74" t="str">
        <ns0:f t="shared" si="41"/>
        <ns0:v>C · Histórico/secundário</ns0:v>
      </ns0:c>
      <ns0:c r="Y192" s="74"/>
      <ns0:c r="Z192" s="74"/>
      <ns0:c r="AA192" s="74"/>
      <ns0:c r="AB192" s="74"/>
    </ns0:row>
    <ns0:row r="193">
      <ns0:c r="A193" s="71" t="s">
        <ns0:v>176</ns0:v>
      </ns0:c>
      <ns0:c r="B193" s="71" t="s">
        <ns0:v>197</ns0:v>
      </ns0:c>
      <ns0:c r="C193" s="71">
        <ns0:v>3</ns0:v>
      </ns0:c>
      <ns0:c r="D193" s="71" t="s">
        <ns0:v>42</ns0:v>
      </ns0:c>
      <ns0:c r="E193" s="74">
        <ns0:v>4</ns0:v>
      </ns0:c>
      <ns0:c r="F193" s="72">
        <ns0:v>55.85</ns0:v>
      </ns0:c>
      <ns0:c r="G193" s="72">
        <ns0:v>11.55</ns0:v>
      </ns0:c>
      <ns0:c r="H193" s="72">
        <ns0:v>67.400000000000006</ns0:v>
      </ns0:c>
      <ns0:c r="I193" s="73">
        <ns0:v>235000</ns0:v>
      </ns0:c>
      <ns0:c r="J193" s="71">
        <ns0:v>2024</ns0:v>
      </ns0:c>
      <ns0:c r="K193" s="73">
        <ns0:v>4207.6991942703671</ns0:v>
      </ns0:c>
      <ns0:c r="L193" s="73">
        <ns0:v>3486.6468842729969</ns0:v>
      </ns0:c>
      <ns0:c r="M193" s="74" t="str">
        <ns0:f t="shared" si="33"/>
        <ns0:v>Histórico</ns0:v>
      </ns0:c>
      <ns0:c r="N193" s="74"/>
      <ns0:c r="O193" s="74"/>
      <ns0:c r="P193" s="77"/>
      <ns0:c r="Q193" s="74" t="str">
        <ns0:f t="shared" si="34"/>
        <ns0:v>A classificar</ns0:v>
      </ns0:c>
      <ns0:c r="R193" s="74"/>
      <ns0:c r="S193" s="74"/>
      <ns0:c r="T193" s="74"/>
      <ns0:c r="U193" s="74"/>
      <ns0:c r="V193" s="74"/>
      <ns0:c r="W193" s="76" t="n">
        <ns0:f t="shared" si="40"/>
        <ns0:v>0.2</ns0:v>
      </ns0:c>
      <ns0:c r="X193" s="74" t="str">
        <ns0:f t="shared" si="41"/>
        <ns0:v>C · Histórico/secundário</ns0:v>
      </ns0:c>
      <ns0:c r="Y193" s="74"/>
      <ns0:c r="Z193" s="74"/>
      <ns0:c r="AA193" s="74"/>
      <ns0:c r="AB193" s="74"/>
    </ns0:row>
    <ns0:row r="194">
      <ns0:c r="A194" s="71" t="s">
        <ns0:v>176</ns0:v>
      </ns0:c>
      <ns0:c r="B194" s="71" t="s">
        <ns0:v>198</ns0:v>
      </ns0:c>
      <ns0:c r="C194" s="71">
        <ns0:v>3</ns0:v>
      </ns0:c>
      <ns0:c r="D194" s="71" t="s">
        <ns0:v>31</ns0:v>
      </ns0:c>
      <ns0:c r="E194" s="74">
        <ns0:v>4</ns0:v>
      </ns0:c>
      <ns0:c r="F194" s="72">
        <ns0:v>99.6</ns0:v>
      </ns0:c>
      <ns0:c r="G194" s="72">
        <ns0:v>19.600000000000001</ns0:v>
      </ns0:c>
      <ns0:c r="H194" s="72">
        <ns0:v>119.19999999999999</ns0:v>
      </ns0:c>
      <ns0:c r="I194" s="73">
        <ns0:v>425000</ns0:v>
      </ns0:c>
      <ns0:c r="J194" s="71">
        <ns0:v>2024</ns0:v>
      </ns0:c>
      <ns0:c r="K194" s="73">
        <ns0:v>4267.06827309237</ns0:v>
      </ns0:c>
      <ns0:c r="L194" s="73">
        <ns0:v>3565.4362416107388</ns0:v>
      </ns0:c>
      <ns0:c r="M194" s="74" t="str">
        <ns0:f t="shared" si="33"/>
        <ns0:v>Histórico</ns0:v>
      </ns0:c>
      <ns0:c r="N194" s="74"/>
      <ns0:c r="O194" s="74"/>
      <ns0:c r="P194" s="77"/>
      <ns0:c r="Q194" s="74" t="str">
        <ns0:f t="shared" si="34"/>
        <ns0:v>A classificar</ns0:v>
      </ns0:c>
      <ns0:c r="R194" s="74"/>
      <ns0:c r="S194" s="74"/>
      <ns0:c r="T194" s="74"/>
      <ns0:c r="U194" s="74"/>
      <ns0:c r="V194" s="74"/>
      <ns0:c r="W194" s="76" t="n">
        <ns0:f t="shared" si="40"/>
        <ns0:v>0.2</ns0:v>
      </ns0:c>
      <ns0:c r="X194" s="74" t="str">
        <ns0:f t="shared" si="41"/>
        <ns0:v>C · Histórico/secundário</ns0:v>
      </ns0:c>
      <ns0:c r="Y194" s="74"/>
      <ns0:c r="Z194" s="74"/>
      <ns0:c r="AA194" s="74"/>
      <ns0:c r="AB194" s="74"/>
    </ns0:row>
    <ns0:row r="195">
      <ns0:c r="A195" s="71" t="s">
        <ns0:v>176</ns0:v>
      </ns0:c>
      <ns0:c r="B195" s="71" t="s">
        <ns0:v>199</ns0:v>
      </ns0:c>
      <ns0:c r="C195" s="71">
        <ns0:v>3</ns0:v>
      </ns0:c>
      <ns0:c r="D195" s="71" t="s">
        <ns0:v>31</ns0:v>
      </ns0:c>
      <ns0:c r="E195" s="74">
        <ns0:v>4</ns0:v>
      </ns0:c>
      <ns0:c r="F195" s="72">
        <ns0:v>101.2</ns0:v>
      </ns0:c>
      <ns0:c r="G195" s="72">
        <ns0:v>21.45</ns0:v>
      </ns0:c>
      <ns0:c r="H195" s="72">
        <ns0:v>122.65</ns0:v>
      </ns0:c>
      <ns0:c r="I195" s="73">
        <ns0:v>435000</ns0:v>
      </ns0:c>
      <ns0:c r="J195" s="71">
        <ns0:v>2024</ns0:v>
      </ns0:c>
      <ns0:c r="K195" s="73">
        <ns0:v>4298.418972332016</ns0:v>
      </ns0:c>
      <ns0:c r="L195" s="73">
        <ns0:v>3546.6775377089275</ns0:v>
      </ns0:c>
      <ns0:c r="M195" s="74" t="str">
        <ns0:f t="shared" si="33"/>
        <ns0:v>Histórico</ns0:v>
      </ns0:c>
      <ns0:c r="N195" s="74"/>
      <ns0:c r="O195" s="74"/>
      <ns0:c r="P195" s="77"/>
      <ns0:c r="Q195" s="74" t="str">
        <ns0:f t="shared" si="34"/>
        <ns0:v>A classificar</ns0:v>
      </ns0:c>
      <ns0:c r="R195" s="74"/>
      <ns0:c r="S195" s="74"/>
      <ns0:c r="T195" s="74"/>
      <ns0:c r="U195" s="74"/>
      <ns0:c r="V195" s="74"/>
      <ns0:c r="W195" s="76" t="n">
        <ns0:f t="shared" si="40"/>
        <ns0:v>0.2</ns0:v>
      </ns0:c>
      <ns0:c r="X195" s="74" t="str">
        <ns0:f t="shared" si="41"/>
        <ns0:v>C · Histórico/secundário</ns0:v>
      </ns0:c>
      <ns0:c r="Y195" s="74"/>
      <ns0:c r="Z195" s="74"/>
      <ns0:c r="AA195" s="74"/>
      <ns0:c r="AB195" s="74"/>
    </ns0:row>
    <ns0:row r="196">
      <ns0:c r="A196" s="71" t="s">
        <ns0:v>176</ns0:v>
      </ns0:c>
      <ns0:c r="B196" s="71" t="s">
        <ns0:v>200</ns0:v>
      </ns0:c>
      <ns0:c r="C196" s="71">
        <ns0:v>4</ns0:v>
      </ns0:c>
      <ns0:c r="D196" s="71" t="s">
        <ns0:v>31</ns0:v>
      </ns0:c>
      <ns0:c r="E196" s="74">
        <ns0:v>4</ns0:v>
      </ns0:c>
      <ns0:c r="F196" s="72">
        <ns0:v>101.2</ns0:v>
      </ns0:c>
      <ns0:c r="G196" s="72">
        <ns0:v>20.45</ns0:v>
      </ns0:c>
      <ns0:c r="H196" s="72">
        <ns0:v>121.65</ns0:v>
      </ns0:c>
      <ns0:c r="I196" s="73">
        <ns0:v>520000</ns0:v>
      </ns0:c>
      <ns0:c r="J196" s="71">
        <ns0:v>2024</ns0:v>
      </ns0:c>
      <ns0:c r="K196" s="73">
        <ns0:v>5138.3399209486161</ns0:v>
      </ns0:c>
      <ns0:c r="L196" s="73">
        <ns0:v>4274.5581586518701</ns0:v>
      </ns0:c>
      <ns0:c r="M196" s="74" t="str">
        <ns0:f t="shared" si="33"/>
        <ns0:v>Histórico</ns0:v>
      </ns0:c>
      <ns0:c r="N196" s="74"/>
      <ns0:c r="O196" s="74"/>
      <ns0:c r="P196" s="77"/>
      <ns0:c r="Q196" s="74" t="str">
        <ns0:f t="shared" si="34"/>
        <ns0:v>A classificar</ns0:v>
      </ns0:c>
      <ns0:c r="R196" s="74"/>
      <ns0:c r="S196" s="74"/>
      <ns0:c r="T196" s="74"/>
      <ns0:c r="U196" s="74"/>
      <ns0:c r="V196" s="74"/>
      <ns0:c r="W196" s="76" t="n">
        <ns0:f t="shared" si="40"/>
        <ns0:v>0.2</ns0:v>
      </ns0:c>
      <ns0:c r="X196" s="74" t="str">
        <ns0:f t="shared" si="41"/>
        <ns0:v>C · Histórico/secundário</ns0:v>
      </ns0:c>
      <ns0:c r="Y196" s="74"/>
      <ns0:c r="Z196" s="74"/>
      <ns0:c r="AA196" s="74"/>
      <ns0:c r="AB196" s="74"/>
    </ns0:row>
    <ns0:row r="197">
      <ns0:c r="A197" s="71" t="s">
        <ns0:v>176</ns0:v>
      </ns0:c>
      <ns0:c r="B197" s="71" t="s">
        <ns0:v>201</ns0:v>
      </ns0:c>
      <ns0:c r="C197" s="71">
        <ns0:v>4</ns0:v>
      </ns0:c>
      <ns0:c r="D197" s="71" t="s">
        <ns0:v>64</ns0:v>
      </ns0:c>
      <ns0:c r="E197" s="74">
        <ns0:v>4</ns0:v>
      </ns0:c>
      <ns0:c r="F197" s="72">
        <ns0:v>116.2</ns0:v>
      </ns0:c>
      <ns0:c r="G197" s="72">
        <ns0:v>20.100000000000001</ns0:v>
      </ns0:c>
      <ns0:c r="H197" s="72">
        <ns0:v>136.30000000000001</ns0:v>
      </ns0:c>
      <ns0:c r="I197" s="73">
        <ns0:v>590000</ns0:v>
      </ns0:c>
      <ns0:c r="J197" s="71">
        <ns0:v>2024</ns0:v>
      </ns0:c>
      <ns0:c r="K197" s="73">
        <ns0:v>5077.4526678141137</ns0:v>
      </ns0:c>
      <ns0:c r="L197" s="73">
        <ns0:v>4328.6867204695518</ns0:v>
      </ns0:c>
      <ns0:c r="M197" s="74" t="str">
        <ns0:f t="shared" si="33"/>
        <ns0:v>Histórico</ns0:v>
      </ns0:c>
      <ns0:c r="N197" s="74"/>
      <ns0:c r="O197" s="74"/>
      <ns0:c r="P197" s="77"/>
      <ns0:c r="Q197" s="74" t="str">
        <ns0:f t="shared" si="34"/>
        <ns0:v>A classificar</ns0:v>
      </ns0:c>
      <ns0:c r="R197" s="74"/>
      <ns0:c r="S197" s="74"/>
      <ns0:c r="T197" s="74"/>
      <ns0:c r="U197" s="74"/>
      <ns0:c r="V197" s="74"/>
      <ns0:c r="W197" s="76" t="n">
        <ns0:f t="shared" si="40"/>
        <ns0:v>0.2</ns0:v>
      </ns0:c>
      <ns0:c r="X197" s="74" t="str">
        <ns0:f t="shared" si="41"/>
        <ns0:v>C · Histórico/secundário</ns0:v>
      </ns0:c>
      <ns0:c r="Y197" s="74"/>
      <ns0:c r="Z197" s="74"/>
      <ns0:c r="AA197" s="74"/>
      <ns0:c r="AB197" s="74"/>
    </ns0:row>
    <ns0:row r="198">
      <ns0:c r="A198" s="71" t="s">
        <ns0:v>176</ns0:v>
      </ns0:c>
      <ns0:c r="B198" s="71" t="s">
        <ns0:v>202</ns0:v>
      </ns0:c>
      <ns0:c r="C198" s="71">
        <ns0:v>4</ns0:v>
      </ns0:c>
      <ns0:c r="D198" s="71" t="s">
        <ns0:v>31</ns0:v>
      </ns0:c>
      <ns0:c r="E198" s="74">
        <ns0:v>4</ns0:v>
      </ns0:c>
      <ns0:c r="F198" s="72">
        <ns0:v>99.6</ns0:v>
      </ns0:c>
      <ns0:c r="G198" s="72">
        <ns0:v>19.600000000000001</ns0:v>
      </ns0:c>
      <ns0:c r="H198" s="72">
        <ns0:v>119.19999999999999</ns0:v>
      </ns0:c>
      <ns0:c r="I198" s="73">
        <ns0:v>520000</ns0:v>
      </ns0:c>
      <ns0:c r="J198" s="71">
        <ns0:v>2024</ns0:v>
      </ns0:c>
      <ns0:c r="K198" s="73">
        <ns0:v>5220.8835341365466</ns0:v>
      </ns0:c>
      <ns0:c r="L198" s="73">
        <ns0:v>4362.4161073825508</ns0:v>
      </ns0:c>
      <ns0:c r="M198" s="74" t="str">
        <ns0:f t="shared" si="33"/>
        <ns0:v>Histórico</ns0:v>
      </ns0:c>
      <ns0:c r="N198" s="74"/>
      <ns0:c r="O198" s="74"/>
      <ns0:c r="P198" s="77"/>
      <ns0:c r="Q198" s="74" t="str">
        <ns0:f t="shared" si="34"/>
        <ns0:v>A classificar</ns0:v>
      </ns0:c>
      <ns0:c r="R198" s="74"/>
      <ns0:c r="S198" s="74"/>
      <ns0:c r="T198" s="74"/>
      <ns0:c r="U198" s="74"/>
      <ns0:c r="V198" s="74"/>
      <ns0:c r="W198" s="76" t="n">
        <ns0:f t="shared" si="40"/>
        <ns0:v>0.2</ns0:v>
      </ns0:c>
      <ns0:c r="X198" s="74" t="str">
        <ns0:f t="shared" si="41"/>
        <ns0:v>C · Histórico/secundário</ns0:v>
      </ns0:c>
      <ns0:c r="Y198" s="74"/>
      <ns0:c r="Z198" s="74"/>
      <ns0:c r="AA198" s="74"/>
      <ns0:c r="AB198" s="74"/>
    </ns0:row>
    <ns0:row r="199">
      <ns0:c r="A199" s="71" t="s">
        <ns0:v>203</ns0:v>
      </ns0:c>
      <ns0:c r="B199" s="71" t="s">
        <ns0:v>204</ns0:v>
      </ns0:c>
      <ns0:c r="C199" s="71">
        <ns0:v>0</ns0:v>
      </ns0:c>
      <ns0:c r="D199" s="71" t="s">
        <ns0:v>31</ns0:v>
      </ns0:c>
      <ns0:c r="E199" s="74">
        <ns0:v>2</ns0:v>
      </ns0:c>
      <ns0:c r="F199" s="72">
        <ns0:v>109.82</ns0:v>
      </ns0:c>
      <ns0:c r="G199" s="72">
        <ns0:v>13.43</ns0:v>
      </ns0:c>
      <ns0:c r="H199" s="72">
        <ns0:v>123.25</ns0:v>
      </ns0:c>
      <ns0:c r="I199" s="73">
        <ns0:v>457125</ns0:v>
      </ns0:c>
      <ns0:c r="J199" s="71">
        <ns0:v>2026</ns0:v>
      </ns0:c>
      <ns0:c r="K199" s="73">
        <ns0:v>4162.4931706428706</ns0:v>
      </ns0:c>
      <ns0:c r="L199" s="73">
        <ns0:v>3708.9249492900608</ns0:v>
      </ns0:c>
      <ns0:c r="M199" s="74" t="str">
        <ns0:f t="shared" si="33"/>
        <ns0:v>Ativo</ns0:v>
      </ns0:c>
      <ns0:c r="N199" s="74"/>
      <ns0:c r="O199" s="74"/>
      <ns0:c r="P199" s="77"/>
      <ns0:c r="Q199" s="74" t="s">
        <ns0:v>178</ns0:v>
      </ns0:c>
      <ns0:c r="R199" s="74"/>
      <ns0:c r="S199" s="74"/>
      <ns0:c r="T199" s="74"/>
      <ns0:c r="U199" s="74"/>
      <ns0:c r="V199" s="74"/>
      <ns0:c r="W199" s="76">
        <ns0:f t="shared" si="40"/>
        <ns0:v>0.7</ns0:v>
      </ns0:c>
      <ns0:c r="X199" s="74" t="str">
        <ns0:f t="shared" si="41"/>
        <ns0:v>B · Benchmark local</ns0:v>
      </ns0:c>
      <ns0:c r="Y199" s="74"/>
      <ns0:c r="Z199" s="74"/>
      <ns0:c r="AA199" s="74"/>
      <ns0:c r="AB199" s="74"/>
    </ns0:row>
    <ns0:row r="200">
      <ns0:c r="A200" s="71" t="s">
        <ns0:v>203</ns0:v>
      </ns0:c>
      <ns0:c r="B200" s="71" t="s">
        <ns0:v>205</ns0:v>
      </ns0:c>
      <ns0:c r="C200" s="71">
        <ns0:v>0</ns0:v>
      </ns0:c>
      <ns0:c r="D200" s="71" t="s">
        <ns0:v>31</ns0:v>
      </ns0:c>
      <ns0:c r="E200" s="74">
        <ns0:v>3</ns0:v>
      </ns0:c>
      <ns0:c r="F200" s="72">
        <ns0:v>99.22</ns0:v>
      </ns0:c>
      <ns0:c r="G200" s="72">
        <ns0:v>7.55</ns0:v>
      </ns0:c>
      <ns0:c r="H200" s="72">
        <ns0:v>106.77</ns0:v>
      </ns0:c>
      <ns0:c r="I200" s="73">
        <ns0:v>442750</ns0:v>
      </ns0:c>
      <ns0:c r="J200" s="71">
        <ns0:v>2026</ns0:v>
      </ns0:c>
      <ns0:c r="K200" s="73">
        <ns0:v>4462.3059866962303</ns0:v>
      </ns0:c>
      <ns0:c r="L200" s="73">
        <ns0:v>4146.7640723049544</ns0:v>
      </ns0:c>
      <ns0:c r="M200" s="74" t="str">
        <ns0:f t="shared" si="33"/>
        <ns0:v>Ativo</ns0:v>
      </ns0:c>
      <ns0:c r="N200" s="74"/>
      <ns0:c r="O200" s="74"/>
      <ns0:c r="P200" s="77"/>
      <ns0:c r="Q200" s="74" t="s">
        <ns0:v>178</ns0:v>
      </ns0:c>
      <ns0:c r="R200" s="74"/>
      <ns0:c r="S200" s="74"/>
      <ns0:c r="T200" s="74"/>
      <ns0:c r="U200" s="74"/>
      <ns0:c r="V200" s="74"/>
      <ns0:c r="W200" s="76">
        <ns0:f t="shared" si="40"/>
        <ns0:v>0.7</ns0:v>
      </ns0:c>
      <ns0:c r="X200" s="74" t="str">
        <ns0:f t="shared" si="41"/>
        <ns0:v>B · Benchmark local</ns0:v>
      </ns0:c>
      <ns0:c r="Y200" s="74"/>
      <ns0:c r="Z200" s="74"/>
      <ns0:c r="AA200" s="74"/>
      <ns0:c r="AB200" s="74"/>
    </ns0:row>
    <ns0:row r="201">
      <ns0:c r="A201" s="71" t="s">
        <ns0:v>203</ns0:v>
      </ns0:c>
      <ns0:c r="B201" s="71" t="s">
        <ns0:v>206</ns0:v>
      </ns0:c>
      <ns0:c r="C201" s="71">
        <ns0:v>0</ns0:v>
      </ns0:c>
      <ns0:c r="D201" s="71" t="s">
        <ns0:v>207</ns0:v>
      </ns0:c>
      <ns0:c r="E201" s="74">
        <ns0:v>2</ns0:v>
      </ns0:c>
      <ns0:c r="F201" s="72">
        <ns0:v>109.82</ns0:v>
      </ns0:c>
      <ns0:c r="G201" s="72">
        <ns0:v>9.52</ns0:v>
      </ns0:c>
      <ns0:c r="H201" s="72">
        <ns0:v>119.33999999999999</ns0:v>
      </ns0:c>
      <ns0:c r="I201" s="73">
        <ns0:v>447440</ns0:v>
      </ns0:c>
      <ns0:c r="J201" s="71">
        <ns0:v>2026</ns0:v>
      </ns0:c>
      <ns0:c r="K201" s="73">
        <ns0:v>4074.3034055727558</ns0:v>
      </ns0:c>
      <ns0:c r="L201" s="73">
        <ns0:v>3749.2877492877496</ns0:v>
      </ns0:c>
      <ns0:c r="M201" s="74" t="str">
        <ns0:f t="shared" si="33"/>
        <ns0:v>Ativo</ns0:v>
      </ns0:c>
      <ns0:c r="N201" s="74"/>
      <ns0:c r="O201" s="74"/>
      <ns0:c r="P201" s="77"/>
      <ns0:c r="Q201" s="74" t="s">
        <ns0:v>178</ns0:v>
      </ns0:c>
      <ns0:c r="R201" s="74"/>
      <ns0:c r="S201" s="74"/>
      <ns0:c r="T201" s="74"/>
      <ns0:c r="U201" s="74"/>
      <ns0:c r="V201" s="74"/>
      <ns0:c r="W201" s="76">
        <ns0:f t="shared" si="40"/>
        <ns0:v>0.7</ns0:v>
      </ns0:c>
      <ns0:c r="X201" s="74" t="str">
        <ns0:f t="shared" si="41"/>
        <ns0:v>B · Benchmark local</ns0:v>
      </ns0:c>
      <ns0:c r="Y201" s="74"/>
      <ns0:c r="Z201" s="74"/>
      <ns0:c r="AA201" s="74"/>
      <ns0:c r="AB201" s="74"/>
    </ns0:row>
    <ns0:row r="202">
      <ns0:c r="A202" s="71" t="s">
        <ns0:v>203</ns0:v>
      </ns0:c>
      <ns0:c r="B202" s="71" t="s">
        <ns0:v>208</ns0:v>
      </ns0:c>
      <ns0:c r="C202" s="71">
        <ns0:v>1</ns0:v>
      </ns0:c>
      <ns0:c r="D202" s="71" t="s">
        <ns0:v>104</ns0:v>
      </ns0:c>
      <ns0:c r="E202" s="74">
        <ns0:v>2</ns0:v>
      </ns0:c>
      <ns0:c r="F202" s="72">
        <ns0:v>161.07</ns0:v>
      </ns0:c>
      <ns0:c r="G202" s="72">
        <ns0:v>41.1</ns0:v>
      </ns0:c>
      <ns0:c r="H202" s="72">
        <ns0:v>202.17</ns0:v>
      </ns0:c>
      <ns0:c r="I202" s="73">
        <ns0:v>768900</ns0:v>
      </ns0:c>
      <ns0:c r="J202" s="71">
        <ns0:v>2026</ns0:v>
      </ns0:c>
      <ns0:c r="K202" s="73">
        <ns0:v>4773.7008753957907</ns0:v>
      </ns0:c>
      <ns0:c r="L202" s="73">
        <ns0:v>3803.2349013206708</ns0:v>
      </ns0:c>
      <ns0:c r="M202" s="74" t="str">
        <ns0:f t="shared" si="33"/>
        <ns0:v>Ativo</ns0:v>
      </ns0:c>
      <ns0:c r="N202" s="74"/>
      <ns0:c r="O202" s="74"/>
      <ns0:c r="P202" s="77"/>
      <ns0:c r="Q202" s="74" t="s">
        <ns0:v>178</ns0:v>
      </ns0:c>
      <ns0:c r="R202" s="74"/>
      <ns0:c r="S202" s="74"/>
      <ns0:c r="T202" s="74"/>
      <ns0:c r="U202" s="74"/>
      <ns0:c r="V202" s="74"/>
      <ns0:c r="W202" s="76">
        <ns0:f t="shared" si="40"/>
        <ns0:v>0.7</ns0:v>
      </ns0:c>
      <ns0:c r="X202" s="74" t="str">
        <ns0:f t="shared" si="41"/>
        <ns0:v>B · Benchmark local</ns0:v>
      </ns0:c>
      <ns0:c r="Y202" s="74"/>
      <ns0:c r="Z202" s="74"/>
      <ns0:c r="AA202" s="74"/>
      <ns0:c r="AB202" s="74"/>
    </ns0:row>
    <ns0:row r="203">
      <ns0:c r="A203" s="71" t="s">
        <ns0:v>203</ns0:v>
      </ns0:c>
      <ns0:c r="B203" s="71" t="s">
        <ns0:v>209</ns0:v>
      </ns0:c>
      <ns0:c r="C203" s="71">
        <ns0:v>1</ns0:v>
      </ns0:c>
      <ns0:c r="D203" s="71" t="s">
        <ns0:v>64</ns0:v>
      </ns0:c>
      <ns0:c r="E203" s="74">
        <ns0:v>2</ns0:v>
      </ns0:c>
      <ns0:c r="F203" s="72">
        <ns0:v>130.81</ns0:v>
      </ns0:c>
      <ns0:c r="G203" s="72">
        <ns0:v>22.05</ns0:v>
      </ns0:c>
      <ns0:c r="H203" s="72">
        <ns0:v>152.86000000000001</ns0:v>
      </ns0:c>
      <ns0:c r="I203" s="73">
        <ns0:v>605000</ns0:v>
      </ns0:c>
      <ns0:c r="J203" s="71">
        <ns0:v>2026</ns0:v>
      </ns0:c>
      <ns0:c r="K203" s="73">
        <ns0:v>4625.0286675330635</ns0:v>
      </ns0:c>
      <ns0:c r="L203" s="73">
        <ns0:v>3957.8699463561425</ns0:v>
      </ns0:c>
      <ns0:c r="M203" s="74" t="str">
        <ns0:f t="shared" si="33"/>
        <ns0:v>Ativo</ns0:v>
      </ns0:c>
      <ns0:c r="N203" s="74"/>
      <ns0:c r="O203" s="74"/>
      <ns0:c r="P203" s="77"/>
      <ns0:c r="Q203" s="74" t="s">
        <ns0:v>178</ns0:v>
      </ns0:c>
      <ns0:c r="R203" s="74"/>
      <ns0:c r="S203" s="74"/>
      <ns0:c r="T203" s="74"/>
      <ns0:c r="U203" s="74"/>
      <ns0:c r="V203" s="74"/>
      <ns0:c r="W203" s="76">
        <ns0:f t="shared" si="40"/>
        <ns0:v>0.7</ns0:v>
      </ns0:c>
      <ns0:c r="X203" s="74" t="str">
        <ns0:f t="shared" si="41"/>
        <ns0:v>B · Benchmark local</ns0:v>
      </ns0:c>
      <ns0:c r="Y203" s="74"/>
      <ns0:c r="Z203" s="74"/>
      <ns0:c r="AA203" s="74"/>
      <ns0:c r="AB203" s="74"/>
    </ns0:row>
    <ns0:row r="204">
      <ns0:c r="A204" s="71" t="s">
        <ns0:v>203</ns0:v>
      </ns0:c>
      <ns0:c r="B204" s="71" t="s">
        <ns0:v>210</ns0:v>
      </ns0:c>
      <ns0:c r="C204" s="71">
        <ns0:v>1</ns0:v>
      </ns0:c>
      <ns0:c r="D204" s="71" t="s">
        <ns0:v>31</ns0:v>
      </ns0:c>
      <ns0:c r="E204" s="74">
        <ns0:v>3</ns0:v>
      </ns0:c>
      <ns0:c r="F204" s="72">
        <ns0:v>107.34</ns0:v>
      </ns0:c>
      <ns0:c r="G204" s="72">
        <ns0:v>24.78</ns0:v>
      </ns0:c>
      <ns0:c r="H204" s="72">
        <ns0:v>132.12</ns0:v>
      </ns0:c>
      <ns0:c r="I204" s="73">
        <ns0:v>506000</ns0:v>
      </ns0:c>
      <ns0:c r="J204" s="71">
        <ns0:v>2026</ns0:v>
      </ns0:c>
      <ns0:c r="K204" s="73">
        <ns0:v>4713.9929196944286</ns0:v>
      </ns0:c>
      <ns0:c r="L204" s="73">
        <ns0:v>3829.8516500151377</ns0:v>
      </ns0:c>
      <ns0:c r="M204" s="74" t="str">
        <ns0:f t="shared" si="33"/>
        <ns0:v>Ativo</ns0:v>
      </ns0:c>
      <ns0:c r="N204" s="74"/>
      <ns0:c r="O204" s="74"/>
      <ns0:c r="P204" s="77"/>
      <ns0:c r="Q204" s="74" t="s">
        <ns0:v>178</ns0:v>
      </ns0:c>
      <ns0:c r="R204" s="74"/>
      <ns0:c r="S204" s="74"/>
      <ns0:c r="T204" s="74"/>
      <ns0:c r="U204" s="74"/>
      <ns0:c r="V204" s="74"/>
      <ns0:c r="W204" s="76">
        <ns0:f t="shared" si="40"/>
        <ns0:v>0.7</ns0:v>
      </ns0:c>
      <ns0:c r="X204" s="74" t="str">
        <ns0:f t="shared" si="41"/>
        <ns0:v>B · Benchmark local</ns0:v>
      </ns0:c>
      <ns0:c r="Y204" s="74"/>
      <ns0:c r="Z204" s="74"/>
      <ns0:c r="AA204" s="74"/>
      <ns0:c r="AB204" s="74"/>
    </ns0:row>
    <ns0:row r="205">
      <ns0:c r="A205" s="71" t="s">
        <ns0:v>203</ns0:v>
      </ns0:c>
      <ns0:c r="B205" s="71" t="s">
        <ns0:v>211</ns0:v>
      </ns0:c>
      <ns0:c r="C205" s="71">
        <ns0:v>2</ns0:v>
      </ns0:c>
      <ns0:c r="D205" s="71" t="s">
        <ns0:v>104</ns0:v>
      </ns0:c>
      <ns0:c r="E205" s="74">
        <ns0:v>2</ns0:v>
      </ns0:c>
      <ns0:c r="F205" s="72">
        <ns0:v>161.07</ns0:v>
      </ns0:c>
      <ns0:c r="G205" s="72">
        <ns0:v>41.1</ns0:v>
      </ns0:c>
      <ns0:c r="H205" s="72">
        <ns0:v>202.17</ns0:v>
      </ns0:c>
      <ns0:c r="I205" s="73">
        <ns0:v>808500</ns0:v>
      </ns0:c>
      <ns0:c r="J205" s="71">
        <ns0:v>2026</ns0:v>
      </ns0:c>
      <ns0:c r="K205" s="73">
        <ns0:v>5019.5567144719689</ns0:v>
      </ns0:c>
      <ns0:c r="L205" s="73">
        <ns0:v>3999.1096601869717</ns0:v>
      </ns0:c>
      <ns0:c r="M205" s="74" t="str">
        <ns0:f t="shared" si="33"/>
        <ns0:v>Ativo</ns0:v>
      </ns0:c>
      <ns0:c r="N205" s="74"/>
      <ns0:c r="O205" s="74"/>
      <ns0:c r="P205" s="77"/>
      <ns0:c r="Q205" s="74" t="s">
        <ns0:v>178</ns0:v>
      </ns0:c>
      <ns0:c r="R205" s="74"/>
      <ns0:c r="S205" s="74"/>
      <ns0:c r="T205" s="74"/>
      <ns0:c r="U205" s="74"/>
      <ns0:c r="V205" s="74"/>
      <ns0:c r="W205" s="76">
        <ns0:f t="shared" si="40"/>
        <ns0:v>0.7</ns0:v>
      </ns0:c>
      <ns0:c r="X205" s="74" t="str">
        <ns0:f t="shared" si="41"/>
        <ns0:v>B · Benchmark local</ns0:v>
      </ns0:c>
      <ns0:c r="Y205" s="74"/>
      <ns0:c r="Z205" s="74"/>
      <ns0:c r="AA205" s="74"/>
      <ns0:c r="AB205" s="74"/>
    </ns0:row>
    <ns0:row r="206">
      <ns0:c r="A206" s="71" t="s">
        <ns0:v>203</ns0:v>
      </ns0:c>
      <ns0:c r="B206" s="71" t="s">
        <ns0:v>212</ns0:v>
      </ns0:c>
      <ns0:c r="C206" s="71">
        <ns0:v>2</ns0:v>
      </ns0:c>
      <ns0:c r="D206" s="71" t="s">
        <ns0:v>64</ns0:v>
      </ns0:c>
      <ns0:c r="E206" s="74">
        <ns0:v>2</ns0:v>
      </ns0:c>
      <ns0:c r="F206" s="72">
        <ns0:v>130.81</ns0:v>
      </ns0:c>
      <ns0:c r="G206" s="72">
        <ns0:v>22.05</ns0:v>
      </ns0:c>
      <ns0:c r="H206" s="72">
        <ns0:v>152.86000000000001</ns0:v>
      </ns0:c>
      <ns0:c r="I206" s="73">
        <ns0:v>632500</ns0:v>
      </ns0:c>
      <ns0:c r="J206" s="71">
        <ns0:v>2026</ns0:v>
      </ns0:c>
      <ns0:c r="K206" s="73">
        <ns0:v>4835.2572433300202</ns0:v>
      </ns0:c>
      <ns0:c r="L206" s="73">
        <ns0:v>4137.7731257359674</ns0:v>
      </ns0:c>
      <ns0:c r="M206" s="74" t="str">
        <ns0:f t="shared" si="33"/>
        <ns0:v>Ativo</ns0:v>
      </ns0:c>
      <ns0:c r="N206" s="74"/>
      <ns0:c r="O206" s="74"/>
      <ns0:c r="P206" s="77"/>
      <ns0:c r="Q206" s="74" t="s">
        <ns0:v>178</ns0:v>
      </ns0:c>
      <ns0:c r="R206" s="74"/>
      <ns0:c r="S206" s="74"/>
      <ns0:c r="T206" s="74"/>
      <ns0:c r="U206" s="74"/>
      <ns0:c r="V206" s="74"/>
      <ns0:c r="W206" s="76">
        <ns0:f t="shared" si="40"/>
        <ns0:v>0.7</ns0:v>
      </ns0:c>
      <ns0:c r="X206" s="74" t="str">
        <ns0:f t="shared" si="41"/>
        <ns0:v>B · Benchmark local</ns0:v>
      </ns0:c>
      <ns0:c r="Y206" s="74"/>
      <ns0:c r="Z206" s="74"/>
      <ns0:c r="AA206" s="74"/>
      <ns0:c r="AB206" s="74"/>
    </ns0:row>
    <ns0:row r="207">
      <ns0:c r="A207" s="71" t="s">
        <ns0:v>203</ns0:v>
      </ns0:c>
      <ns0:c r="B207" s="71" t="s">
        <ns0:v>213</ns0:v>
      </ns0:c>
      <ns0:c r="C207" s="71">
        <ns0:v>2</ns0:v>
      </ns0:c>
      <ns0:c r="D207" s="71" t="s">
        <ns0:v>31</ns0:v>
      </ns0:c>
      <ns0:c r="E207" s="74">
        <ns0:v>2</ns0:v>
      </ns0:c>
      <ns0:c r="F207" s="72">
        <ns0:v>107.34</ns0:v>
      </ns0:c>
      <ns0:c r="G207" s="72">
        <ns0:v>24.78</ns0:v>
      </ns0:c>
      <ns0:c r="H207" s="72">
        <ns0:v>132.12</ns0:v>
      </ns0:c>
      <ns0:c r="I207" s="73">
        <ns0:v>517500</ns0:v>
      </ns0:c>
      <ns0:c r="J207" s="71">
        <ns0:v>2026</ns0:v>
      </ns0:c>
      <ns0:c r="K207" s="73">
        <ns0:v>4821.1291224147571</ns0:v>
      </ns0:c>
      <ns0:c r="L207" s="73">
        <ns0:v>3916.893732970027</ns0:v>
      </ns0:c>
      <ns0:c r="M207" s="74" t="str">
        <ns0:f t="shared" si="33"/>
        <ns0:v>Ativo</ns0:v>
      </ns0:c>
      <ns0:c r="N207" s="74"/>
      <ns0:c r="O207" s="74"/>
      <ns0:c r="P207" s="77"/>
      <ns0:c r="Q207" s="74" t="s">
        <ns0:v>178</ns0:v>
      </ns0:c>
      <ns0:c r="R207" s="74"/>
      <ns0:c r="S207" s="74"/>
      <ns0:c r="T207" s="74"/>
      <ns0:c r="U207" s="74"/>
      <ns0:c r="V207" s="74"/>
      <ns0:c r="W207" s="76">
        <ns0:f t="shared" si="40"/>
        <ns0:v>0.7</ns0:v>
      </ns0:c>
      <ns0:c r="X207" s="74" t="str">
        <ns0:f t="shared" si="41"/>
        <ns0:v>B · Benchmark local</ns0:v>
      </ns0:c>
      <ns0:c r="Y207" s="74"/>
      <ns0:c r="Z207" s="74"/>
      <ns0:c r="AA207" s="74"/>
      <ns0:c r="AB207" s="74"/>
    </ns0:row>
    <ns0:row r="208">
      <ns0:c r="A208" s="71" t="s">
        <ns0:v>203</ns0:v>
      </ns0:c>
      <ns0:c r="B208" s="71" t="s">
        <ns0:v>214</ns0:v>
      </ns0:c>
      <ns0:c r="C208" s="71">
        <ns0:v>2</ns0:v>
      </ns0:c>
      <ns0:c r="D208" s="71" t="s">
        <ns0:v>207</ns0:v>
      </ns0:c>
      <ns0:c r="E208" s="74">
        <ns0:v>2</ns0:v>
      </ns0:c>
      <ns0:c r="F208" s="72">
        <ns0:v>109.82</ns0:v>
      </ns0:c>
      <ns0:c r="G208" s="72">
        <ns0:v>9.52</ns0:v>
      </ns0:c>
      <ns0:c r="H208" s="72">
        <ns0:v>119.33999999999999</ns0:v>
      </ns0:c>
      <ns0:c r="I208" s="73">
        <ns0:v>498400</ns0:v>
      </ns0:c>
      <ns0:c r="J208" s="71">
        <ns0:v>2026</ns0:v>
      </ns0:c>
      <ns0:c r="K208" s="73">
        <ns0:v>4538.3354580222185</ns0:v>
      </ns0:c>
      <ns0:c r="L208" s="73">
        <ns0:v>4176.3029998324118</ns0:v>
      </ns0:c>
      <ns0:c r="M208" s="74" t="str">
        <ns0:f t="shared" si="33"/>
        <ns0:v>Ativo</ns0:v>
      </ns0:c>
      <ns0:c r="N208" s="74"/>
      <ns0:c r="O208" s="74"/>
      <ns0:c r="P208" s="77"/>
      <ns0:c r="Q208" s="74" t="s">
        <ns0:v>178</ns0:v>
      </ns0:c>
      <ns0:c r="R208" s="74"/>
      <ns0:c r="S208" s="74"/>
      <ns0:c r="T208" s="74"/>
      <ns0:c r="U208" s="74"/>
      <ns0:c r="V208" s="74"/>
      <ns0:c r="W208" s="76">
        <ns0:f t="shared" si="40"/>
        <ns0:v>0.7</ns0:v>
      </ns0:c>
      <ns0:c r="X208" s="74" t="str">
        <ns0:f t="shared" si="41"/>
        <ns0:v>B · Benchmark local</ns0:v>
      </ns0:c>
      <ns0:c r="Y208" s="74"/>
      <ns0:c r="Z208" s="74"/>
      <ns0:c r="AA208" s="74"/>
      <ns0:c r="AB208" s="74"/>
    </ns0:row>
    <ns0:row r="209">
      <ns0:c r="A209" s="71" t="s">
        <ns0:v>203</ns0:v>
      </ns0:c>
      <ns0:c r="B209" s="71" t="s">
        <ns0:v>215</ns0:v>
      </ns0:c>
      <ns0:c r="C209" s="71">
        <ns0:v>3</ns0:v>
      </ns0:c>
      <ns0:c r="D209" s="71" t="s">
        <ns0:v>104</ns0:v>
      </ns0:c>
      <ns0:c r="E209" s="74">
        <ns0:v>2</ns0:v>
      </ns0:c>
      <ns0:c r="F209" s="72">
        <ns0:v>161.07</ns0:v>
      </ns0:c>
      <ns0:c r="G209" s="72">
        <ns0:v>41.1</ns0:v>
      </ns0:c>
      <ns0:c r="H209" s="72">
        <ns0:v>202.17</ns0:v>
      </ns0:c>
      <ns0:c r="I209" s="73">
        <ns0:v>823900</ns0:v>
      </ns0:c>
      <ns0:c r="J209" s="71">
        <ns0:v>2026</ns0:v>
      </ns0:c>
      <ns0:c r="K209" s="73">
        <ns0:v>5115.167318557149</ns0:v>
      </ns0:c>
      <ns0:c r="L209" s="73">
        <ns0:v>4075.2831775238665</ns0:v>
      </ns0:c>
      <ns0:c r="M209" s="74" t="str">
        <ns0:f t="shared" si="33"/>
        <ns0:v>Ativo</ns0:v>
      </ns0:c>
      <ns0:c r="N209" s="74"/>
      <ns0:c r="O209" s="74"/>
      <ns0:c r="P209" s="77"/>
      <ns0:c r="Q209" s="74" t="s">
        <ns0:v>178</ns0:v>
      </ns0:c>
      <ns0:c r="R209" s="74"/>
      <ns0:c r="S209" s="74"/>
      <ns0:c r="T209" s="74"/>
      <ns0:c r="U209" s="74"/>
      <ns0:c r="V209" s="74"/>
      <ns0:c r="W209" s="76">
        <ns0:f t="shared" si="40"/>
        <ns0:v>0.7</ns0:v>
      </ns0:c>
      <ns0:c r="X209" s="74" t="str">
        <ns0:f t="shared" si="41"/>
        <ns0:v>B · Benchmark local</ns0:v>
      </ns0:c>
      <ns0:c r="Y209" s="74"/>
      <ns0:c r="Z209" s="74"/>
      <ns0:c r="AA209" s="74"/>
      <ns0:c r="AB209" s="74"/>
    </ns0:row>
    <ns0:row r="210">
      <ns0:c r="A210" s="71" t="s">
        <ns0:v>203</ns0:v>
      </ns0:c>
      <ns0:c r="B210" s="71" t="s">
        <ns0:v>216</ns0:v>
      </ns0:c>
      <ns0:c r="C210" s="71">
        <ns0:v>3</ns0:v>
      </ns0:c>
      <ns0:c r="D210" s="71" t="s">
        <ns0:v>64</ns0:v>
      </ns0:c>
      <ns0:c r="E210" s="74">
        <ns0:v>2</ns0:v>
      </ns0:c>
      <ns0:c r="F210" s="72">
        <ns0:v>130.81</ns0:v>
      </ns0:c>
      <ns0:c r="G210" s="72">
        <ns0:v>22.05</ns0:v>
      </ns0:c>
      <ns0:c r="H210" s="72">
        <ns0:v>152.86000000000001</ns0:v>
      </ns0:c>
      <ns0:c r="I210" s="73">
        <ns0:v>654500</ns0:v>
      </ns0:c>
      <ns0:c r="J210" s="71">
        <ns0:v>2026</ns0:v>
      </ns0:c>
      <ns0:c r="K210" s="73">
        <ns0:v>5003.4401039675868</ns0:v>
      </ns0:c>
      <ns0:c r="L210" s="73">
        <ns0:v>4281.6956692398271</ns0:v>
      </ns0:c>
      <ns0:c r="M210" s="74" t="str">
        <ns0:f t="shared" si="33"/>
        <ns0:v>Ativo</ns0:v>
      </ns0:c>
      <ns0:c r="N210" s="74"/>
      <ns0:c r="O210" s="74"/>
      <ns0:c r="P210" s="77"/>
      <ns0:c r="Q210" s="74" t="s">
        <ns0:v>178</ns0:v>
      </ns0:c>
      <ns0:c r="R210" s="74"/>
      <ns0:c r="S210" s="74"/>
      <ns0:c r="T210" s="74"/>
      <ns0:c r="U210" s="74"/>
      <ns0:c r="V210" s="74"/>
      <ns0:c r="W210" s="76">
        <ns0:f t="shared" si="40"/>
        <ns0:v>0.7</ns0:v>
      </ns0:c>
      <ns0:c r="X210" s="74" t="str">
        <ns0:f t="shared" si="41"/>
        <ns0:v>B · Benchmark local</ns0:v>
      </ns0:c>
      <ns0:c r="Y210" s="74"/>
      <ns0:c r="Z210" s="74"/>
      <ns0:c r="AA210" s="74"/>
      <ns0:c r="AB210" s="74"/>
    </ns0:row>
    <ns0:row r="211">
      <ns0:c r="A211" s="71" t="s">
        <ns0:v>203</ns0:v>
      </ns0:c>
      <ns0:c r="B211" s="71" t="s">
        <ns0:v>217</ns0:v>
      </ns0:c>
      <ns0:c r="C211" s="71">
        <ns0:v>3</ns0:v>
      </ns0:c>
      <ns0:c r="D211" s="71" t="s">
        <ns0:v>31</ns0:v>
      </ns0:c>
      <ns0:c r="E211" s="74">
        <ns0:v>3</ns0:v>
      </ns0:c>
      <ns0:c r="F211" s="72">
        <ns0:v>107.34</ns0:v>
      </ns0:c>
      <ns0:c r="G211" s="72">
        <ns0:v>24.78</ns0:v>
      </ns0:c>
      <ns0:c r="H211" s="72">
        <ns0:v>132.12</ns0:v>
      </ns0:c>
      <ns0:c r="I211" s="73">
        <ns0:v>540500</ns0:v>
      </ns0:c>
      <ns0:c r="J211" s="71">
        <ns0:v>2026</ns0:v>
      </ns0:c>
      <ns0:c r="K211" s="73">
        <ns0:v>5035.4015278554125</ns0:v>
      </ns0:c>
      <ns0:c r="L211" s="73">
        <ns0:v>4090.9778988798062</ns0:v>
      </ns0:c>
      <ns0:c r="M211" s="74" t="str">
        <ns0:f t="shared" si="33"/>
        <ns0:v>Ativo</ns0:v>
      </ns0:c>
      <ns0:c r="N211" s="74"/>
      <ns0:c r="O211" s="74"/>
      <ns0:c r="P211" s="77"/>
      <ns0:c r="Q211" s="74" t="s">
        <ns0:v>178</ns0:v>
      </ns0:c>
      <ns0:c r="R211" s="74"/>
      <ns0:c r="S211" s="74"/>
      <ns0:c r="T211" s="74"/>
      <ns0:c r="U211" s="74"/>
      <ns0:c r="V211" s="74"/>
      <ns0:c r="W211" s="76">
        <ns0:f t="shared" si="40"/>
        <ns0:v>0.7</ns0:v>
      </ns0:c>
      <ns0:c r="X211" s="74" t="str">
        <ns0:f t="shared" si="41"/>
        <ns0:v>B · Benchmark local</ns0:v>
      </ns0:c>
      <ns0:c r="Y211" s="74"/>
      <ns0:c r="Z211" s="74"/>
      <ns0:c r="AA211" s="74"/>
      <ns0:c r="AB211" s="74"/>
    </ns0:row>
    <ns0:row r="212">
      <ns0:c r="A212" s="71" t="s">
        <ns0:v>203</ns0:v>
      </ns0:c>
      <ns0:c r="B212" s="71" t="s">
        <ns0:v>218</ns0:v>
      </ns0:c>
      <ns0:c r="C212" s="71">
        <ns0:v>4</ns0:v>
      </ns0:c>
      <ns0:c r="D212" s="71" t="s">
        <ns0:v>104</ns0:v>
      </ns0:c>
      <ns0:c r="E212" s="74">
        <ns0:v>2</ns0:v>
      </ns0:c>
      <ns0:c r="F212" s="72">
        <ns0:v>161.07</ns0:v>
      </ns0:c>
      <ns0:c r="G212" s="72">
        <ns0:v>41.1</ns0:v>
      </ns0:c>
      <ns0:c r="H212" s="72">
        <ns0:v>202.17</ns0:v>
      </ns0:c>
      <ns0:c r="I212" s="73">
        <ns0:v>845900</ns0:v>
      </ns0:c>
      <ns0:c r="J212" s="71">
        <ns0:v>2026</ns0:v>
      </ns0:c>
      <ns0:c r="K212" s="73">
        <ns0:v>5251.7538958216928</ns0:v>
      </ns0:c>
      <ns0:c r="L212" s="73">
        <ns0:v>4184.1024880051446</ns0:v>
      </ns0:c>
      <ns0:c r="M212" s="74" t="str">
        <ns0:f t="shared" si="33"/>
        <ns0:v>Ativo</ns0:v>
      </ns0:c>
      <ns0:c r="N212" s="74"/>
      <ns0:c r="O212" s="74"/>
      <ns0:c r="P212" s="77"/>
      <ns0:c r="Q212" s="74" t="s">
        <ns0:v>178</ns0:v>
      </ns0:c>
      <ns0:c r="R212" s="74"/>
      <ns0:c r="S212" s="74"/>
      <ns0:c r="T212" s="74"/>
      <ns0:c r="U212" s="74"/>
      <ns0:c r="V212" s="74"/>
      <ns0:c r="W212" s="76">
        <ns0:f t="shared" si="40"/>
        <ns0:v>0.7</ns0:v>
      </ns0:c>
      <ns0:c r="X212" s="74" t="str">
        <ns0:f t="shared" si="41"/>
        <ns0:v>B · Benchmark local</ns0:v>
      </ns0:c>
      <ns0:c r="Y212" s="74"/>
      <ns0:c r="Z212" s="74"/>
      <ns0:c r="AA212" s="74"/>
      <ns0:c r="AB212" s="74"/>
    </ns0:row>
    <ns0:row r="213">
      <ns0:c r="A213" s="71" t="s">
        <ns0:v>203</ns0:v>
      </ns0:c>
      <ns0:c r="B213" s="71" t="s">
        <ns0:v>219</ns0:v>
      </ns0:c>
      <ns0:c r="C213" s="71">
        <ns0:v>4</ns0:v>
      </ns0:c>
      <ns0:c r="D213" s="71" t="s">
        <ns0:v>64</ns0:v>
      </ns0:c>
      <ns0:c r="E213" s="74">
        <ns0:v>2</ns0:v>
      </ns0:c>
      <ns0:c r="F213" s="72">
        <ns0:v>130.81</ns0:v>
      </ns0:c>
      <ns0:c r="G213" s="72">
        <ns0:v>22.05</ns0:v>
      </ns0:c>
      <ns0:c r="H213" s="72">
        <ns0:v>152.86000000000001</ns0:v>
      </ns0:c>
      <ns0:c r="I213" s="73">
        <ns0:v>682000</ns0:v>
      </ns0:c>
      <ns0:c r="J213" s="71">
        <ns0:v>2026</ns0:v>
      </ns0:c>
      <ns0:c r="K213" s="73">
        <ns0:v>5213.6686797645443</ns0:v>
      </ns0:c>
      <ns0:c r="L213" s="73">
        <ns0:v>4461.598848619652</ns0:v>
      </ns0:c>
      <ns0:c r="M213" s="74" t="str">
        <ns0:f t="shared" si="33"/>
        <ns0:v>Ativo</ns0:v>
      </ns0:c>
      <ns0:c r="N213" s="74"/>
      <ns0:c r="O213" s="74"/>
      <ns0:c r="P213" s="77"/>
      <ns0:c r="Q213" s="74" t="s">
        <ns0:v>178</ns0:v>
      </ns0:c>
      <ns0:c r="R213" s="74"/>
      <ns0:c r="S213" s="74"/>
      <ns0:c r="T213" s="74"/>
      <ns0:c r="U213" s="74"/>
      <ns0:c r="V213" s="74"/>
      <ns0:c r="W213" s="76">
        <ns0:f t="shared" si="40"/>
        <ns0:v>0.7</ns0:v>
      </ns0:c>
      <ns0:c r="X213" s="74" t="str">
        <ns0:f t="shared" si="41"/>
        <ns0:v>B · Benchmark local</ns0:v>
      </ns0:c>
      <ns0:c r="Y213" s="74"/>
      <ns0:c r="Z213" s="74"/>
      <ns0:c r="AA213" s="74"/>
      <ns0:c r="AB213" s="74"/>
    </ns0:row>
    <ns0:row r="214">
      <ns0:c r="A214" s="71" t="s">
        <ns0:v>203</ns0:v>
      </ns0:c>
      <ns0:c r="B214" s="71" t="s">
        <ns0:v>220</ns0:v>
      </ns0:c>
      <ns0:c r="C214" s="71">
        <ns0:v>4</ns0:v>
      </ns0:c>
      <ns0:c r="D214" s="71" t="s">
        <ns0:v>31</ns0:v>
      </ns0:c>
      <ns0:c r="E214" s="74">
        <ns0:v>3</ns0:v>
      </ns0:c>
      <ns0:c r="F214" s="72">
        <ns0:v>107.34</ns0:v>
      </ns0:c>
      <ns0:c r="G214" s="72">
        <ns0:v>24.78</ns0:v>
      </ns0:c>
      <ns0:c r="H214" s="72">
        <ns0:v>132.12</ns0:v>
      </ns0:c>
      <ns0:c r="I214" s="73">
        <ns0:v>557750</ns0:v>
      </ns0:c>
      <ns0:c r="J214" s="71">
        <ns0:v>2026</ns0:v>
      </ns0:c>
      <ns0:c r="K214" s="73">
        <ns0:v>5196.1058319359045</ns0:v>
      </ns0:c>
      <ns0:c r="L214" s="73">
        <ns0:v>4221.5410233121402</ns0:v>
      </ns0:c>
      <ns0:c r="M214" s="74" t="str">
        <ns0:f t="shared" si="33"/>
        <ns0:v>Ativo</ns0:v>
      </ns0:c>
      <ns0:c r="N214" s="74"/>
      <ns0:c r="O214" s="74"/>
      <ns0:c r="P214" s="77"/>
      <ns0:c r="Q214" s="74" t="s">
        <ns0:v>178</ns0:v>
      </ns0:c>
      <ns0:c r="R214" s="74"/>
      <ns0:c r="S214" s="74"/>
      <ns0:c r="T214" s="74"/>
      <ns0:c r="U214" s="74"/>
      <ns0:c r="V214" s="74"/>
      <ns0:c r="W214" s="76">
        <ns0:f t="shared" si="40"/>
        <ns0:v>0.7</ns0:v>
      </ns0:c>
      <ns0:c r="X214" s="74" t="str">
        <ns0:f t="shared" si="41"/>
        <ns0:v>B · Benchmark local</ns0:v>
      </ns0:c>
      <ns0:c r="Y214" s="74"/>
      <ns0:c r="Z214" s="74"/>
      <ns0:c r="AA214" s="74"/>
      <ns0:c r="AB214" s="74"/>
    </ns0:row>
    <ns0:row r="215">
      <ns0:c r="A215" s="71" t="s">
        <ns0:v>203</ns0:v>
      </ns0:c>
      <ns0:c r="B215" s="71" t="s">
        <ns0:v>221</ns0:v>
      </ns0:c>
      <ns0:c r="C215" s="71">
        <ns0:v>4</ns0:v>
      </ns0:c>
      <ns0:c r="D215" s="71" t="s">
        <ns0:v>207</ns0:v>
      </ns0:c>
      <ns0:c r="E215" s="74">
        <ns0:v>2</ns0:v>
      </ns0:c>
      <ns0:c r="F215" s="72">
        <ns0:v>109.82</ns0:v>
      </ns0:c>
      <ns0:c r="G215" s="72">
        <ns0:v>9.52</ns0:v>
      </ns0:c>
      <ns0:c r="H215" s="72">
        <ns0:v>119.33999999999999</ns0:v>
      </ns0:c>
      <ns0:c r="I215" s="73">
        <ns0:v>510720</ns0:v>
      </ns0:c>
      <ns0:c r="J215" s="71">
        <ns0:v>2026</ns0:v>
      </ns0:c>
      <ns0:c r="K215" s="73">
        <ns0:v>4650.5190311418692</ns0:v>
      </ns0:c>
      <ns0:c r="L215" s="73">
        <ns0:v>4279.5374560080445</ns0:v>
      </ns0:c>
      <ns0:c r="M215" s="74" t="str">
        <ns0:f t="shared" si="33"/>
        <ns0:v>Ativo</ns0:v>
      </ns0:c>
      <ns0:c r="N215" s="74"/>
      <ns0:c r="O215" s="74"/>
      <ns0:c r="P215" s="77"/>
      <ns0:c r="Q215" s="74" t="s">
        <ns0:v>178</ns0:v>
      </ns0:c>
      <ns0:c r="R215" s="74"/>
      <ns0:c r="S215" s="74"/>
      <ns0:c r="T215" s="74"/>
      <ns0:c r="U215" s="74"/>
      <ns0:c r="V215" s="74"/>
      <ns0:c r="W215" s="76">
        <ns0:f t="shared" si="40"/>
        <ns0:v>0.7</ns0:v>
      </ns0:c>
      <ns0:c r="X215" s="74" t="str">
        <ns0:f t="shared" si="41"/>
        <ns0:v>B · Benchmark local</ns0:v>
      </ns0:c>
      <ns0:c r="Y215" s="74"/>
      <ns0:c r="Z215" s="74"/>
      <ns0:c r="AA215" s="74"/>
      <ns0:c r="AB215" s="74"/>
    </ns0:row>
    <ns0:row r="216">
      <ns0:c r="A216" s="71" t="s">
        <ns0:v>203</ns0:v>
      </ns0:c>
      <ns0:c r="B216" s="71" t="s">
        <ns0:v>222</ns0:v>
      </ns0:c>
      <ns0:c r="C216" s="71">
        <ns0:v>4</ns0:v>
      </ns0:c>
      <ns0:c r="D216" s="71" t="s">
        <ns0:v>64</ns0:v>
      </ns0:c>
      <ns0:c r="E216" s="74">
        <ns0:v>2</ns0:v>
      </ns0:c>
      <ns0:c r="F216" s="72">
        <ns0:v>122.15</ns0:v>
      </ns0:c>
      <ns0:c r="G216" s="72">
        <ns0:v>28.36</ns0:v>
      </ns0:c>
      <ns0:c r="H216" s="72">
        <ns0:v>150.51</ns0:v>
      </ns0:c>
      <ns0:c r="I216" s="73">
        <ns0:v>654500</ns0:v>
      </ns0:c>
      <ns0:c r="J216" s="71">
        <ns0:v>2026</ns0:v>
      </ns0:c>
      <ns0:c r="K216" s="73">
        <ns0:v>5358.1661891117474</ns0:v>
      </ns0:c>
      <ns0:c r="L216" s="73">
        <ns0:v>4348.5482692179921</ns0:v>
      </ns0:c>
      <ns0:c r="M216" s="74" t="str">
        <ns0:f t="shared" si="33"/>
        <ns0:v>Ativo</ns0:v>
      </ns0:c>
      <ns0:c r="N216" s="74"/>
      <ns0:c r="O216" s="74"/>
      <ns0:c r="P216" s="77"/>
      <ns0:c r="Q216" s="74" t="s">
        <ns0:v>178</ns0:v>
      </ns0:c>
      <ns0:c r="R216" s="74"/>
      <ns0:c r="S216" s="74"/>
      <ns0:c r="T216" s="74"/>
      <ns0:c r="U216" s="74"/>
      <ns0:c r="V216" s="74"/>
      <ns0:c r="W216" s="76">
        <ns0:f t="shared" si="40"/>
        <ns0:v>0.7</ns0:v>
      </ns0:c>
      <ns0:c r="X216" s="74" t="str">
        <ns0:f t="shared" si="41"/>
        <ns0:v>B · Benchmark local</ns0:v>
      </ns0:c>
      <ns0:c r="Y216" s="74"/>
      <ns0:c r="Z216" s="74"/>
      <ns0:c r="AA216" s="74"/>
      <ns0:c r="AB216" s="74"/>
    </ns0:row>
    <ns0:row r="217">
      <ns0:c r="A217" s="71" t="s">
        <ns0:v>203</ns0:v>
      </ns0:c>
      <ns0:c r="B217" s="71" t="s">
        <ns0:v>223</ns0:v>
      </ns0:c>
      <ns0:c r="C217" s="71">
        <ns0:v>5</ns0:v>
      </ns0:c>
      <ns0:c r="D217" s="71" t="s">
        <ns0:v>104</ns0:v>
      </ns0:c>
      <ns0:c r="E217" s="74">
        <ns0:v>2</ns0:v>
      </ns0:c>
      <ns0:c r="F217" s="72">
        <ns0:v>161.07</ns0:v>
      </ns0:c>
      <ns0:c r="G217" s="72">
        <ns0:v>41.1</ns0:v>
      </ns0:c>
      <ns0:c r="H217" s="72">
        <ns0:v>202.17</ns0:v>
      </ns0:c>
      <ns0:c r="I217" s="73">
        <ns0:v>867900</ns0:v>
      </ns0:c>
      <ns0:c r="J217" s="71">
        <ns0:v>2026</ns0:v>
      </ns0:c>
      <ns0:c r="K217" s="73">
        <ns0:v>5388.3404730862358</ns0:v>
      </ns0:c>
      <ns0:c r="L217" s="73">
        <ns0:v>4292.9217984864226</ns0:v>
      </ns0:c>
      <ns0:c r="M217" s="74" t="str">
        <ns0:f t="shared" si="33"/>
        <ns0:v>Ativo</ns0:v>
      </ns0:c>
      <ns0:c r="N217" s="74"/>
      <ns0:c r="O217" s="74"/>
      <ns0:c r="P217" s="77"/>
      <ns0:c r="Q217" s="74" t="s">
        <ns0:v>178</ns0:v>
      </ns0:c>
      <ns0:c r="R217" s="74"/>
      <ns0:c r="S217" s="74"/>
      <ns0:c r="T217" s="74"/>
      <ns0:c r="U217" s="74"/>
      <ns0:c r="V217" s="74"/>
      <ns0:c r="W217" s="76">
        <ns0:f t="shared" si="40"/>
        <ns0:v>0.7</ns0:v>
      </ns0:c>
      <ns0:c r="X217" s="74" t="str">
        <ns0:f t="shared" si="41"/>
        <ns0:v>B · Benchmark local</ns0:v>
      </ns0:c>
      <ns0:c r="Y217" s="74"/>
      <ns0:c r="Z217" s="74"/>
      <ns0:c r="AA217" s="74"/>
      <ns0:c r="AB217" s="74"/>
    </ns0:row>
    <ns0:row r="218">
      <ns0:c r="A218" s="71" t="s">
        <ns0:v>203</ns0:v>
      </ns0:c>
      <ns0:c r="B218" s="71" t="s">
        <ns0:v>224</ns0:v>
      </ns0:c>
      <ns0:c r="C218" s="71">
        <ns0:v>5</ns0:v>
      </ns0:c>
      <ns0:c r="D218" s="71" t="s">
        <ns0:v>64</ns0:v>
      </ns0:c>
      <ns0:c r="E218" s="74">
        <ns0:v>2</ns0:v>
      </ns0:c>
      <ns0:c r="F218" s="72">
        <ns0:v>130.81</ns0:v>
      </ns0:c>
      <ns0:c r="G218" s="72">
        <ns0:v>22.05</ns0:v>
      </ns0:c>
      <ns0:c r="H218" s="72">
        <ns0:v>152.86000000000001</ns0:v>
      </ns0:c>
      <ns0:c r="I218" s="73">
        <ns0:v>720500</ns0:v>
      </ns0:c>
      <ns0:c r="J218" s="71">
        <ns0:v>2026</ns0:v>
      </ns0:c>
      <ns0:c r="K218" s="73">
        <ns0:v>5507.9886858802847</ns0:v>
      </ns0:c>
      <ns0:c r="L218" s="73">
        <ns0:v>4713.4632997514063</ns0:v>
      </ns0:c>
      <ns0:c r="M218" s="74" t="str">
        <ns0:f t="shared" si="33"/>
        <ns0:v>Ativo</ns0:v>
      </ns0:c>
      <ns0:c r="N218" s="74"/>
      <ns0:c r="O218" s="74"/>
      <ns0:c r="P218" s="77"/>
      <ns0:c r="Q218" s="74" t="s">
        <ns0:v>178</ns0:v>
      </ns0:c>
      <ns0:c r="R218" s="74"/>
      <ns0:c r="S218" s="74"/>
      <ns0:c r="T218" s="74"/>
      <ns0:c r="U218" s="74"/>
      <ns0:c r="V218" s="74"/>
      <ns0:c r="W218" s="76">
        <ns0:f t="shared" si="40"/>
        <ns0:v>0.7</ns0:v>
      </ns0:c>
      <ns0:c r="X218" s="74" t="str">
        <ns0:f t="shared" si="41"/>
        <ns0:v>B · Benchmark local</ns0:v>
      </ns0:c>
      <ns0:c r="Y218" s="74"/>
      <ns0:c r="Z218" s="74"/>
      <ns0:c r="AA218" s="74"/>
      <ns0:c r="AB218" s="74"/>
    </ns0:row>
    <ns0:row r="219">
      <ns0:c r="A219" s="71" t="s">
        <ns0:v>203</ns0:v>
      </ns0:c>
      <ns0:c r="B219" s="71" t="s">
        <ns0:v>225</ns0:v>
      </ns0:c>
      <ns0:c r="C219" s="71">
        <ns0:v>5</ns0:v>
      </ns0:c>
      <ns0:c r="D219" s="71" t="s">
        <ns0:v>31</ns0:v>
      </ns0:c>
      <ns0:c r="E219" s="74">
        <ns0:v>3</ns0:v>
      </ns0:c>
      <ns0:c r="F219" s="72">
        <ns0:v>99.21</ns0:v>
      </ns0:c>
      <ns0:c r="G219" s="72">
        <ns0:v>28.64</ns0:v>
      </ns0:c>
      <ns0:c r="H219" s="72">
        <ns0:v>127.85</ns0:v>
      </ns0:c>
      <ns0:c r="I219" s="73">
        <ns0:v>534750</ns0:v>
      </ns0:c>
      <ns0:c r="J219" s="71">
        <ns0:v>2026</ns0:v>
      </ns0:c>
      <ns0:c r="K219" s="73">
        <ns0:v>5390.0816449954646</ns0:v>
      </ns0:c>
      <ns0:c r="L219" s="73">
        <ns0:v>4182.6359014470081</ns0:v>
      </ns0:c>
      <ns0:c r="M219" s="74" t="str">
        <ns0:f t="shared" si="33"/>
        <ns0:v>Ativo</ns0:v>
      </ns0:c>
      <ns0:c r="N219" s="74"/>
      <ns0:c r="O219" s="74"/>
      <ns0:c r="P219" s="77"/>
      <ns0:c r="Q219" s="74" t="s">
        <ns0:v>178</ns0:v>
      </ns0:c>
      <ns0:c r="R219" s="74"/>
      <ns0:c r="S219" s="74"/>
      <ns0:c r="T219" s="74"/>
      <ns0:c r="U219" s="74"/>
      <ns0:c r="V219" s="74"/>
      <ns0:c r="W219" s="76">
        <ns0:f t="shared" si="40"/>
        <ns0:v>0.7</ns0:v>
      </ns0:c>
      <ns0:c r="X219" s="74" t="str">
        <ns0:f t="shared" si="41"/>
        <ns0:v>B · Benchmark local</ns0:v>
      </ns0:c>
      <ns0:c r="Y219" s="74"/>
      <ns0:c r="Z219" s="74"/>
      <ns0:c r="AA219" s="74"/>
      <ns0:c r="AB219" s="74"/>
    </ns0:row>
    <ns0:row r="220">
      <ns0:c r="A220" s="71" t="s">
        <ns0:v>203</ns0:v>
      </ns0:c>
      <ns0:c r="B220" s="71" t="s">
        <ns0:v>226</ns0:v>
      </ns0:c>
      <ns0:c r="C220" s="71">
        <ns0:v>5</ns0:v>
      </ns0:c>
      <ns0:c r="D220" s="71" t="s">
        <ns0:v>31</ns0:v>
      </ns0:c>
      <ns0:c r="E220" s="74">
        <ns0:v>3</ns0:v>
      </ns0:c>
      <ns0:c r="F220" s="72">
        <ns0:v>99.9</ns0:v>
      </ns0:c>
      <ns0:c r="G220" s="72">
        <ns0:v>28.82</ns0:v>
      </ns0:c>
      <ns0:c r="H220" s="72">
        <ns0:v>128.72</ns0:v>
      </ns0:c>
      <ns0:c r="I220" s="73">
        <ns0:v>534750</ns0:v>
      </ns0:c>
      <ns0:c r="J220" s="71">
        <ns0:v>2026</ns0:v>
      </ns0:c>
      <ns0:c r="K220" s="73">
        <ns0:v>5352.8528528528523</ns0:v>
      </ns0:c>
      <ns0:c r="L220" s="73">
        <ns0:v>4154.3660658794279</ns0:v>
      </ns0:c>
      <ns0:c r="M220" s="74" t="str">
        <ns0:f t="shared" si="33"/>
        <ns0:v>Ativo</ns0:v>
      </ns0:c>
      <ns0:c r="N220" s="74"/>
      <ns0:c r="O220" s="74"/>
      <ns0:c r="P220" s="77"/>
      <ns0:c r="Q220" s="74" t="s">
        <ns0:v>178</ns0:v>
      </ns0:c>
      <ns0:c r="R220" s="74"/>
      <ns0:c r="S220" s="74"/>
      <ns0:c r="T220" s="74"/>
      <ns0:c r="U220" s="74"/>
      <ns0:c r="V220" s="74"/>
      <ns0:c r="W220" s="76">
        <ns0:f t="shared" si="40"/>
        <ns0:v>0.7</ns0:v>
      </ns0:c>
      <ns0:c r="X220" s="74" t="str">
        <ns0:f t="shared" si="41"/>
        <ns0:v>B · Benchmark local</ns0:v>
      </ns0:c>
      <ns0:c r="Y220" s="74"/>
      <ns0:c r="Z220" s="74"/>
      <ns0:c r="AA220" s="74"/>
      <ns0:c r="AB220" s="74"/>
    </ns0:row>
    <ns0:row r="221">
      <ns0:c r="A221" s="71" t="s">
        <ns0:v>203</ns0:v>
      </ns0:c>
      <ns0:c r="B221" s="71" t="s">
        <ns0:v>227</ns0:v>
      </ns0:c>
      <ns0:c r="C221" s="71">
        <ns0:v>5</ns0:v>
      </ns0:c>
      <ns0:c r="D221" s="71" t="s">
        <ns0:v>64</ns0:v>
      </ns0:c>
      <ns0:c r="E221" s="74">
        <ns0:v>2</ns0:v>
      </ns0:c>
      <ns0:c r="F221" s="72">
        <ns0:v>122.15</ns0:v>
      </ns0:c>
      <ns0:c r="G221" s="72">
        <ns0:v>28.36</ns0:v>
      </ns0:c>
      <ns0:c r="H221" s="72">
        <ns0:v>150.51</ns0:v>
      </ns0:c>
      <ns0:c r="I221" s="73">
        <ns0:v>676500</ns0:v>
      </ns0:c>
      <ns0:c r="J221" s="71">
        <ns0:v>2026</ns0:v>
      </ns0:c>
      <ns0:c r="K221" s="73">
        <ns0:v>5538.2726156365125</ns0:v>
      </ns0:c>
      <ns0:c r="L221" s="73">
        <ns0:v>4494.7179589396055</ns0:v>
      </ns0:c>
      <ns0:c r="M221" s="74" t="str">
        <ns0:f t="shared" si="33"/>
        <ns0:v>Ativo</ns0:v>
      </ns0:c>
      <ns0:c r="N221" s="74"/>
      <ns0:c r="O221" s="74"/>
      <ns0:c r="P221" s="77"/>
      <ns0:c r="Q221" s="74" t="s">
        <ns0:v>178</ns0:v>
      </ns0:c>
      <ns0:c r="R221" s="74"/>
      <ns0:c r="S221" s="74"/>
      <ns0:c r="T221" s="74"/>
      <ns0:c r="U221" s="74"/>
      <ns0:c r="V221" s="74"/>
      <ns0:c r="W221" s="76">
        <ns0:f t="shared" si="40"/>
        <ns0:v>0.7</ns0:v>
      </ns0:c>
      <ns0:c r="X221" s="74" t="str">
        <ns0:f t="shared" si="41"/>
        <ns0:v>B · Benchmark local</ns0:v>
      </ns0:c>
      <ns0:c r="Y221" s="74"/>
      <ns0:c r="Z221" s="74"/>
      <ns0:c r="AA221" s="74"/>
      <ns0:c r="AB221" s="74"/>
    </ns0:row>
    <ns0:row r="222">
      <ns0:c r="A222" s="71" t="s">
        <ns0:v>203</ns0:v>
      </ns0:c>
      <ns0:c r="B222" s="71" t="s">
        <ns0:v>228</ns0:v>
      </ns0:c>
      <ns0:c r="C222" s="71">
        <ns0:v>6</ns0:v>
      </ns0:c>
      <ns0:c r="D222" s="71" t="s">
        <ns0:v>104</ns0:v>
      </ns0:c>
      <ns0:c r="E222" s="74">
        <ns0:v>2</ns0:v>
      </ns0:c>
      <ns0:c r="F222" s="72">
        <ns0:v>161.07</ns0:v>
      </ns0:c>
      <ns0:c r="G222" s="72">
        <ns0:v>41.1</ns0:v>
      </ns0:c>
      <ns0:c r="H222" s="72">
        <ns0:v>202.17</ns0:v>
      </ns0:c>
      <ns0:c r="I222" s="73">
        <ns0:v>907500</ns0:v>
      </ns0:c>
      <ns0:c r="J222" s="71">
        <ns0:v>2026</ns0:v>
      </ns0:c>
      <ns0:c r="K222" s="73">
        <ns0:v>5634.196312162414</ns0:v>
      </ns0:c>
      <ns0:c r="L222" s="73">
        <ns0:v>4488.7965573527235</ns0:v>
      </ns0:c>
      <ns0:c r="M222" s="74" t="str">
        <ns0:f t="shared" si="33"/>
        <ns0:v>Ativo</ns0:v>
      </ns0:c>
      <ns0:c r="N222" s="74"/>
      <ns0:c r="O222" s="74"/>
      <ns0:c r="P222" s="77"/>
      <ns0:c r="Q222" s="74" t="s">
        <ns0:v>178</ns0:v>
      </ns0:c>
      <ns0:c r="R222" s="74"/>
      <ns0:c r="S222" s="74"/>
      <ns0:c r="T222" s="74"/>
      <ns0:c r="U222" s="74"/>
      <ns0:c r="V222" s="74"/>
      <ns0:c r="W222" s="76">
        <ns0:f t="shared" si="40"/>
        <ns0:v>0.7</ns0:v>
      </ns0:c>
      <ns0:c r="X222" s="74" t="str">
        <ns0:f t="shared" si="41"/>
        <ns0:v>B · Benchmark local</ns0:v>
      </ns0:c>
      <ns0:c r="Y222" s="74"/>
      <ns0:c r="Z222" s="74"/>
      <ns0:c r="AA222" s="74"/>
      <ns0:c r="AB222" s="74"/>
    </ns0:row>
    <ns0:row r="223">
      <ns0:c r="A223" s="71" t="s">
        <ns0:v>203</ns0:v>
      </ns0:c>
      <ns0:c r="B223" s="71" t="s">
        <ns0:v>229</ns0:v>
      </ns0:c>
      <ns0:c r="C223" s="71">
        <ns0:v>6</ns0:v>
      </ns0:c>
      <ns0:c r="D223" s="71" t="s">
        <ns0:v>64</ns0:v>
      </ns0:c>
      <ns0:c r="E223" s="74">
        <ns0:v>2</ns0:v>
      </ns0:c>
      <ns0:c r="F223" s="72">
        <ns0:v>130.81</ns0:v>
      </ns0:c>
      <ns0:c r="G223" s="72">
        <ns0:v>22.05</ns0:v>
      </ns0:c>
      <ns0:c r="H223" s="72">
        <ns0:v>152.86000000000001</ns0:v>
      </ns0:c>
      <ns0:c r="I223" s="73">
        <ns0:v>753500</ns0:v>
      </ns0:c>
      <ns0:c r="J223" s="71">
        <ns0:v>2026</ns0:v>
      </ns0:c>
      <ns0:c r="K223" s="73">
        <ns0:v>5760.2629768366332</ns0:v>
      </ns0:c>
      <ns0:c r="L223" s="73">
        <ns0:v>4929.3471150071955</ns0:v>
      </ns0:c>
      <ns0:c r="M223" s="74" t="str">
        <ns0:f t="shared" si="33"/>
        <ns0:v>Ativo</ns0:v>
      </ns0:c>
      <ns0:c r="N223" s="74"/>
      <ns0:c r="O223" s="74"/>
      <ns0:c r="P223" s="77"/>
      <ns0:c r="Q223" s="74" t="s">
        <ns0:v>178</ns0:v>
      </ns0:c>
      <ns0:c r="R223" s="74"/>
      <ns0:c r="S223" s="74"/>
      <ns0:c r="T223" s="74"/>
      <ns0:c r="U223" s="74"/>
      <ns0:c r="V223" s="74"/>
      <ns0:c r="W223" s="76">
        <ns0:f t="shared" si="40"/>
        <ns0:v>0.7</ns0:v>
      </ns0:c>
      <ns0:c r="X223" s="74" t="str">
        <ns0:f t="shared" si="41"/>
        <ns0:v>B · Benchmark local</ns0:v>
      </ns0:c>
      <ns0:c r="Y223" s="74"/>
      <ns0:c r="Z223" s="74"/>
      <ns0:c r="AA223" s="74"/>
      <ns0:c r="AB223" s="74"/>
    </ns0:row>
    <ns0:row r="224">
      <ns0:c r="A224" s="71" t="s">
        <ns0:v>203</ns0:v>
      </ns0:c>
      <ns0:c r="B224" s="71" t="s">
        <ns0:v>230</ns0:v>
      </ns0:c>
      <ns0:c r="C224" s="71">
        <ns0:v>6</ns0:v>
      </ns0:c>
      <ns0:c r="D224" s="71" t="s">
        <ns0:v>31</ns0:v>
      </ns0:c>
      <ns0:c r="E224" s="74">
        <ns0:v>3</ns0:v>
      </ns0:c>
      <ns0:c r="F224" s="72">
        <ns0:v>99.21</ns0:v>
      </ns0:c>
      <ns0:c r="G224" s="72">
        <ns0:v>28.64</ns0:v>
      </ns0:c>
      <ns0:c r="H224" s="72">
        <ns0:v>127.85</ns0:v>
      </ns0:c>
      <ns0:c r="I224" s="73">
        <ns0:v>552000</ns0:v>
      </ns0:c>
      <ns0:c r="J224" s="71">
        <ns0:v>2026</ns0:v>
      </ns0:c>
      <ns0:c r="K224" s="73">
        <ns0:v>5563.9552464469307</ns0:v>
      </ns0:c>
      <ns0:c r="L224" s="73">
        <ns0:v>4317.5596402033634</ns0:v>
      </ns0:c>
      <ns0:c r="M224" s="74" t="str">
        <ns0:f t="shared" si="33"/>
        <ns0:v>Ativo</ns0:v>
      </ns0:c>
      <ns0:c r="N224" s="74"/>
      <ns0:c r="O224" s="74"/>
      <ns0:c r="P224" s="77"/>
      <ns0:c r="Q224" s="74" t="s">
        <ns0:v>178</ns0:v>
      </ns0:c>
      <ns0:c r="R224" s="74"/>
      <ns0:c r="S224" s="74"/>
      <ns0:c r="T224" s="74"/>
      <ns0:c r="U224" s="74"/>
      <ns0:c r="V224" s="74"/>
      <ns0:c r="W224" s="76">
        <ns0:f t="shared" si="40"/>
        <ns0:v>0.7</ns0:v>
      </ns0:c>
      <ns0:c r="X224" s="74" t="str">
        <ns0:f t="shared" si="41"/>
        <ns0:v>B · Benchmark local</ns0:v>
      </ns0:c>
      <ns0:c r="Y224" s="74"/>
      <ns0:c r="Z224" s="74"/>
      <ns0:c r="AA224" s="74"/>
      <ns0:c r="AB224" s="74"/>
    </ns0:row>
    <ns0:row r="225">
      <ns0:c r="A225" s="71" t="s">
        <ns0:v>203</ns0:v>
      </ns0:c>
      <ns0:c r="B225" s="71" t="s">
        <ns0:v>231</ns0:v>
      </ns0:c>
      <ns0:c r="C225" s="71">
        <ns0:v>6</ns0:v>
      </ns0:c>
      <ns0:c r="D225" s="71" t="s">
        <ns0:v>31</ns0:v>
      </ns0:c>
      <ns0:c r="E225" s="74">
        <ns0:v>3</ns0:v>
      </ns0:c>
      <ns0:c r="F225" s="72">
        <ns0:v>99.9</ns0:v>
      </ns0:c>
      <ns0:c r="G225" s="72">
        <ns0:v>28.82</ns0:v>
      </ns0:c>
      <ns0:c r="H225" s="72">
        <ns0:v>128.72</ns0:v>
      </ns0:c>
      <ns0:c r="I225" s="73">
        <ns0:v>552000</ns0:v>
      </ns0:c>
      <ns0:c r="J225" s="71">
        <ns0:v>2026</ns0:v>
      </ns0:c>
      <ns0:c r="K225" s="73">
        <ns0:v>5525.5255255255252</ns0:v>
      </ns0:c>
      <ns0:c r="L225" s="73">
        <ns0:v>4288.3778744561841</ns0:v>
      </ns0:c>
      <ns0:c r="M225" s="74" t="str">
        <ns0:f t="shared" si="33"/>
        <ns0:v>Ativo</ns0:v>
      </ns0:c>
      <ns0:c r="N225" s="74"/>
      <ns0:c r="O225" s="74"/>
      <ns0:c r="P225" s="77"/>
      <ns0:c r="Q225" s="74" t="s">
        <ns0:v>178</ns0:v>
      </ns0:c>
      <ns0:c r="R225" s="74"/>
      <ns0:c r="S225" s="74"/>
      <ns0:c r="T225" s="74"/>
      <ns0:c r="U225" s="74"/>
      <ns0:c r="V225" s="74"/>
      <ns0:c r="W225" s="76">
        <ns0:f t="shared" si="40"/>
        <ns0:v>0.7</ns0:v>
      </ns0:c>
      <ns0:c r="X225" s="74" t="str">
        <ns0:f t="shared" si="41"/>
        <ns0:v>B · Benchmark local</ns0:v>
      </ns0:c>
      <ns0:c r="Y225" s="74"/>
      <ns0:c r="Z225" s="74"/>
      <ns0:c r="AA225" s="74"/>
      <ns0:c r="AB225" s="74"/>
    </ns0:row>
    <ns0:row r="226">
      <ns0:c r="A226" s="71" t="s">
        <ns0:v>203</ns0:v>
      </ns0:c>
      <ns0:c r="B226" s="71" t="s">
        <ns0:v>232</ns0:v>
      </ns0:c>
      <ns0:c r="C226" s="71">
        <ns0:v>6</ns0:v>
      </ns0:c>
      <ns0:c r="D226" s="71" t="s">
        <ns0:v>64</ns0:v>
      </ns0:c>
      <ns0:c r="E226" s="74">
        <ns0:v>2</ns0:v>
      </ns0:c>
      <ns0:c r="F226" s="72">
        <ns0:v>122.15</ns0:v>
      </ns0:c>
      <ns0:c r="G226" s="72">
        <ns0:v>28.36</ns0:v>
      </ns0:c>
      <ns0:c r="H226" s="72">
        <ns0:v>150.51</ns0:v>
      </ns0:c>
      <ns0:c r="I226" s="73">
        <ns0:v>709500</ns0:v>
      </ns0:c>
      <ns0:c r="J226" s="71">
        <ns0:v>2026</ns0:v>
      </ns0:c>
      <ns0:c r="K226" s="73">
        <ns0:v>5808.4322554236587</ns0:v>
      </ns0:c>
      <ns0:c r="L226" s="73">
        <ns0:v>4713.9724935220256</ns0:v>
      </ns0:c>
      <ns0:c r="M226" s="74" t="str">
        <ns0:f t="shared" ref="M226:M289" si="42">IF(A226="The View","Projeto",IF(J226&gt;=2026,"Ativo",IF(J226=2025,"Rever","Histórico")))</ns0:f>
        <ns0:v>Ativo</ns0:v>
      </ns0:c>
      <ns0:c r="N226" s="74"/>
      <ns0:c r="O226" s="74"/>
      <ns0:c r="P226" s="77"/>
      <ns0:c r="Q226" s="74" t="s">
        <ns0:v>178</ns0:v>
      </ns0:c>
      <ns0:c r="R226" s="74"/>
      <ns0:c r="S226" s="74"/>
      <ns0:c r="T226" s="74"/>
      <ns0:c r="U226" s="74"/>
      <ns0:c r="V226" s="74"/>
      <ns0:c r="W226" s="76">
        <ns0:f t="shared" si="40"/>
        <ns0:v>0.7</ns0:v>
      </ns0:c>
      <ns0:c r="X226" s="74" t="str">
        <ns0:f t="shared" si="41"/>
        <ns0:v>B · Benchmark local</ns0:v>
      </ns0:c>
      <ns0:c r="Y226" s="74"/>
      <ns0:c r="Z226" s="74"/>
      <ns0:c r="AA226" s="74"/>
      <ns0:c r="AB226" s="74"/>
    </ns0:row>
    <ns0:row r="227">
      <ns0:c r="A227" s="71" t="s">
        <ns0:v>203</ns0:v>
      </ns0:c>
      <ns0:c r="B227" s="71" t="s">
        <ns0:v>233</ns0:v>
      </ns0:c>
      <ns0:c r="C227" s="71">
        <ns0:v>7</ns0:v>
      </ns0:c>
      <ns0:c r="D227" s="71" t="s">
        <ns0:v>64</ns0:v>
      </ns0:c>
      <ns0:c r="E227" s="74">
        <ns0:v>2</ns0:v>
      </ns0:c>
      <ns0:c r="F227" s="72">
        <ns0:v>130.81</ns0:v>
      </ns0:c>
      <ns0:c r="G227" s="72">
        <ns0:v>22.05</ns0:v>
      </ns0:c>
      <ns0:c r="H227" s="72">
        <ns0:v>152.86000000000001</ns0:v>
      </ns0:c>
      <ns0:c r="I227" s="73">
        <ns0:v>768900</ns0:v>
      </ns0:c>
      <ns0:c r="J227" s="71">
        <ns0:v>2026</ns0:v>
      </ns0:c>
      <ns0:c r="K227" s="73">
        <ns0:v>5877.9909792829294</ns0:v>
      </ns0:c>
      <ns0:c r="L227" s="73">
        <ns0:v>5030.0928954598976</ns0:v>
      </ns0:c>
      <ns0:c r="M227" s="74" t="str">
        <ns0:f t="shared" si="42"/>
        <ns0:v>Ativo</ns0:v>
      </ns0:c>
      <ns0:c r="N227" s="74"/>
      <ns0:c r="O227" s="74"/>
      <ns0:c r="P227" s="77"/>
      <ns0:c r="Q227" s="74" t="s">
        <ns0:v>178</ns0:v>
      </ns0:c>
      <ns0:c r="R227" s="74"/>
      <ns0:c r="S227" s="74"/>
      <ns0:c r="T227" s="74"/>
      <ns0:c r="U227" s="74"/>
      <ns0:c r="V227" s="74"/>
      <ns0:c r="W227" s="76">
        <ns0:f t="shared" si="40"/>
        <ns0:v>0.7</ns0:v>
      </ns0:c>
      <ns0:c r="X227" s="74" t="str">
        <ns0:f t="shared" si="41"/>
        <ns0:v>B · Benchmark local</ns0:v>
      </ns0:c>
      <ns0:c r="Y227" s="74"/>
      <ns0:c r="Z227" s="74"/>
      <ns0:c r="AA227" s="74"/>
      <ns0:c r="AB227" s="74"/>
    </ns0:row>
    <ns0:row r="228">
      <ns0:c r="A228" s="71" t="s">
        <ns0:v>203</ns0:v>
      </ns0:c>
      <ns0:c r="B228" s="71" t="s">
        <ns0:v>234</ns0:v>
      </ns0:c>
      <ns0:c r="C228" s="71">
        <ns0:v>7</ns0:v>
      </ns0:c>
      <ns0:c r="D228" s="71" t="s">
        <ns0:v>31</ns0:v>
      </ns0:c>
      <ns0:c r="E228" s="74">
        <ns0:v>3</ns0:v>
      </ns0:c>
      <ns0:c r="F228" s="72">
        <ns0:v>99.21</ns0:v>
      </ns0:c>
      <ns0:c r="G228" s="72">
        <ns0:v>28.64</ns0:v>
      </ns0:c>
      <ns0:c r="H228" s="72">
        <ns0:v>127.85</ns0:v>
      </ns0:c>
      <ns0:c r="I228" s="73">
        <ns0:v>573850</ns0:v>
      </ns0:c>
      <ns0:c r="J228" s="71">
        <ns0:v>2026</ns0:v>
      </ns0:c>
      <ns0:c r="K228" s="73">
        <ns0:v>5784.1951416187885</ns0:v>
      </ns0:c>
      <ns0:c r="L228" s="73">
        <ns0:v>4488.4630426280801</ns0:v>
      </ns0:c>
      <ns0:c r="M228" s="74" t="str">
        <ns0:f t="shared" si="42"/>
        <ns0:v>Ativo</ns0:v>
      </ns0:c>
      <ns0:c r="N228" s="74"/>
      <ns0:c r="O228" s="74"/>
      <ns0:c r="P228" s="77"/>
      <ns0:c r="Q228" s="74" t="s">
        <ns0:v>178</ns0:v>
      </ns0:c>
      <ns0:c r="R228" s="74"/>
      <ns0:c r="S228" s="74"/>
      <ns0:c r="T228" s="74"/>
      <ns0:c r="U228" s="74"/>
      <ns0:c r="V228" s="74"/>
      <ns0:c r="W228" s="76">
        <ns0:f t="shared" si="40"/>
        <ns0:v>0.7</ns0:v>
      </ns0:c>
      <ns0:c r="X228" s="74" t="str">
        <ns0:f t="shared" si="41"/>
        <ns0:v>B · Benchmark local</ns0:v>
      </ns0:c>
      <ns0:c r="Y228" s="74"/>
      <ns0:c r="Z228" s="74"/>
      <ns0:c r="AA228" s="74"/>
      <ns0:c r="AB228" s="74"/>
    </ns0:row>
    <ns0:row r="229">
      <ns0:c r="A229" s="71" t="s">
        <ns0:v>203</ns0:v>
      </ns0:c>
      <ns0:c r="B229" s="71" t="s">
        <ns0:v>235</ns0:v>
      </ns0:c>
      <ns0:c r="C229" s="71">
        <ns0:v>7</ns0:v>
      </ns0:c>
      <ns0:c r="D229" s="71" t="s">
        <ns0:v>31</ns0:v>
      </ns0:c>
      <ns0:c r="E229" s="74">
        <ns0:v>3</ns0:v>
      </ns0:c>
      <ns0:c r="F229" s="72">
        <ns0:v>99.9</ns0:v>
      </ns0:c>
      <ns0:c r="G229" s="72">
        <ns0:v>28.82</ns0:v>
      </ns0:c>
      <ns0:c r="H229" s="72">
        <ns0:v>128.72</ns0:v>
      </ns0:c>
      <ns0:c r="I229" s="73">
        <ns0:v>573850</ns0:v>
      </ns0:c>
      <ns0:c r="J229" s="71">
        <ns0:v>2026</ns0:v>
      </ns0:c>
      <ns0:c r="K229" s="73">
        <ns0:v>5744.2442442442443</ns0:v>
      </ns0:c>
      <ns0:c r="L229" s="73">
        <ns0:v>4458.1261653200745</ns0:v>
      </ns0:c>
      <ns0:c r="M229" s="74" t="str">
        <ns0:f t="shared" si="42"/>
        <ns0:v>Ativo</ns0:v>
      </ns0:c>
      <ns0:c r="N229" s="74"/>
      <ns0:c r="O229" s="74"/>
      <ns0:c r="P229" s="77"/>
      <ns0:c r="Q229" s="74" t="s">
        <ns0:v>178</ns0:v>
      </ns0:c>
      <ns0:c r="R229" s="74"/>
      <ns0:c r="S229" s="74"/>
      <ns0:c r="T229" s="74"/>
      <ns0:c r="U229" s="74"/>
      <ns0:c r="V229" s="74"/>
      <ns0:c r="W229" s="76">
        <ns0:f t="shared" si="40"/>
        <ns0:v>0.7</ns0:v>
      </ns0:c>
      <ns0:c r="X229" s="74" t="str">
        <ns0:f t="shared" si="41"/>
        <ns0:v>B · Benchmark local</ns0:v>
      </ns0:c>
      <ns0:c r="Y229" s="74"/>
      <ns0:c r="Z229" s="74"/>
      <ns0:c r="AA229" s="74"/>
      <ns0:c r="AB229" s="74"/>
    </ns0:row>
    <ns0:row r="230">
      <ns0:c r="A230" s="71" t="s">
        <ns0:v>236</ns0:v>
      </ns0:c>
      <ns0:c r="B230" s="71" t="s">
        <ns0:v>237</ns0:v>
      </ns0:c>
      <ns0:c r="C230" s="71">
        <ns0:v>0</ns0:v>
      </ns0:c>
      <ns0:c r="D230" s="71" t="s">
        <ns0:v>64</ns0:v>
      </ns0:c>
      <ns0:c r="E230" s="74">
        <ns0:v>2</ns0:v>
      </ns0:c>
      <ns0:c r="F230" s="72">
        <ns0:v>121.75</ns0:v>
      </ns0:c>
      <ns0:c r="G230" s="72">
        <ns0:v>36.15</ns0:v>
      </ns0:c>
      <ns0:c r="H230" s="72">
        <ns0:v>166.6</ns0:v>
      </ns0:c>
      <ns0:c r="I230" s="73">
        <ns0:v>530000</ns0:v>
      </ns0:c>
      <ns0:c r="J230" s="71">
        <ns0:v>2026</ns0:v>
      </ns0:c>
      <ns0:c r="K230" s="73" t="n">
        <ns0:f t="shared" ref="K230:K293" si="43">IFERROR(I230/F230,"")</ns0:f>
        <ns0:v>4353.182751540041</ns0:v>
      </ns0:c>
      <ns0:c r="L230" s="73" t="n">
        <ns0:f t="shared" ref="L230:L293" si="44">IFERROR(I230/H230,"")</ns0:f>
        <ns0:v>3181.2725090036015</ns0:v>
      </ns0:c>
      <ns0:c r="M230" s="74" t="str">
        <ns0:f t="shared" si="42"/>
        <ns0:v>Ativo</ns0:v>
      </ns0:c>
      <ns0:c r="N230" s="74"/>
      <ns0:c r="O230" s="74"/>
      <ns0:c r="P230" s="77"/>
      <ns0:c r="Q230" s="74" t="s">
        <ns0:v>238</ns0:v>
      </ns0:c>
      <ns0:c r="R230" s="74"/>
      <ns0:c r="S230" s="74"/>
      <ns0:c r="T230" s="74"/>
      <ns0:c r="U230" s="74"/>
      <ns0:c r="V230" s="74"/>
      <ns0:c r="W230" s="76">
        <ns0:f t="shared" si="40"/>
        <ns0:v>1</ns0:v>
      </ns0:c>
      <ns0:c r="X230" s="74" t="str">
        <ns0:f t="shared" si="41"/>
        <ns0:v>A · Premium ativo</ns0:v>
      </ns0:c>
      <ns0:c r="Y230" s="74"/>
      <ns0:c r="Z230" s="74"/>
      <ns0:c r="AA230" s="74"/>
      <ns0:c r="AB230" s="74"/>
    </ns0:row>
    <ns0:row r="231">
      <ns0:c r="A231" s="71" t="s">
        <ns0:v>236</ns0:v>
      </ns0:c>
      <ns0:c r="B231" s="71" t="s">
        <ns0:v>239</ns0:v>
      </ns0:c>
      <ns0:c r="C231" s="71">
        <ns0:v>0</ns0:v>
      </ns0:c>
      <ns0:c r="D231" s="71" t="s">
        <ns0:v>42</ns0:v>
      </ns0:c>
      <ns0:c r="E231" s="74">
        <ns0:v>2</ns0:v>
      </ns0:c>
      <ns0:c r="F231" s="72">
        <ns0:v>59.01</ns0:v>
      </ns0:c>
      <ns0:c r="G231" s="72">
        <ns0:v>46.6</ns0:v>
      </ns0:c>
      <ns0:c r="H231" s="72">
        <ns0:v>107.31</ns0:v>
      </ns0:c>
      <ns0:c r="I231" s="73">
        <ns0:v>329000</ns0:v>
      </ns0:c>
      <ns0:c r="J231" s="71">
        <ns0:v>2026</ns0:v>
      </ns0:c>
      <ns0:c r="K231" s="73">
        <ns0:f t="shared" si="43"/>
        <ns0:v>5575.3262158956113</ns0:v>
      </ns0:c>
      <ns0:c r="L231" s="73">
        <ns0:f t="shared" si="44"/>
        <ns0:v>3065.8838878016959</ns0:v>
      </ns0:c>
      <ns0:c r="M231" s="74" t="str">
        <ns0:f t="shared" si="42"/>
        <ns0:v>Ativo</ns0:v>
      </ns0:c>
      <ns0:c r="N231" s="74"/>
      <ns0:c r="O231" s="74"/>
      <ns0:c r="P231" s="77"/>
      <ns0:c r="Q231" s="74" t="s">
        <ns0:v>238</ns0:v>
      </ns0:c>
      <ns0:c r="R231" s="74"/>
      <ns0:c r="S231" s="74"/>
      <ns0:c r="T231" s="74"/>
      <ns0:c r="U231" s="74"/>
      <ns0:c r="V231" s="74"/>
      <ns0:c r="W231" s="76">
        <ns0:f t="shared" si="40"/>
        <ns0:v>1</ns0:v>
      </ns0:c>
      <ns0:c r="X231" s="74" t="str">
        <ns0:f t="shared" si="41"/>
        <ns0:v>A · Premium ativo</ns0:v>
      </ns0:c>
      <ns0:c r="Y231" s="74"/>
      <ns0:c r="Z231" s="74"/>
      <ns0:c r="AA231" s="74"/>
      <ns0:c r="AB231" s="74"/>
    </ns0:row>
    <ns0:row r="232">
      <ns0:c r="A232" s="71" t="s">
        <ns0:v>236</ns0:v>
      </ns0:c>
      <ns0:c r="B232" s="71" t="s">
        <ns0:v>240</ns0:v>
      </ns0:c>
      <ns0:c r="C232" s="71">
        <ns0:v>1</ns0:v>
      </ns0:c>
      <ns0:c r="D232" s="71" t="s">
        <ns0:v>64</ns0:v>
      </ns0:c>
      <ns0:c r="E232" s="74">
        <ns0:v>2</ns0:v>
      </ns0:c>
      <ns0:c r="F232" s="72">
        <ns0:v>137.16</ns0:v>
      </ns0:c>
      <ns0:c r="G232" s="72">
        <ns0:v>30.73</ns0:v>
      </ns0:c>
      <ns0:c r="H232" s="72">
        <ns0:v>173.69</ns0:v>
      </ns0:c>
      <ns0:c r="I232" s="73">
        <ns0:v>610000</ns0:v>
      </ns0:c>
      <ns0:c r="J232" s="71">
        <ns0:v>2026</ns0:v>
      </ns0:c>
      <ns0:c r="K232" s="73">
        <ns0:f t="shared" si="43"/>
        <ns0:v>4447.3607465733448</ns0:v>
      </ns0:c>
      <ns0:c r="L232" s="73">
        <ns0:f t="shared" si="44"/>
        <ns0:v>3512.0041453163681</ns0:v>
      </ns0:c>
      <ns0:c r="M232" s="74" t="str">
        <ns0:f t="shared" si="42"/>
        <ns0:v>Ativo</ns0:v>
      </ns0:c>
      <ns0:c r="N232" s="74"/>
      <ns0:c r="O232" s="74"/>
      <ns0:c r="P232" s="77"/>
      <ns0:c r="Q232" s="74" t="s">
        <ns0:v>238</ns0:v>
      </ns0:c>
      <ns0:c r="R232" s="74"/>
      <ns0:c r="S232" s="74"/>
      <ns0:c r="T232" s="74"/>
      <ns0:c r="U232" s="74"/>
      <ns0:c r="V232" s="74"/>
      <ns0:c r="W232" s="76">
        <ns0:f t="shared" si="40"/>
        <ns0:v>1</ns0:v>
      </ns0:c>
      <ns0:c r="X232" s="74" t="str">
        <ns0:f t="shared" si="41"/>
        <ns0:v>A · Premium ativo</ns0:v>
      </ns0:c>
      <ns0:c r="Y232" s="74"/>
      <ns0:c r="Z232" s="74"/>
      <ns0:c r="AA232" s="74"/>
      <ns0:c r="AB232" s="74"/>
    </ns0:row>
    <ns0:row r="233">
      <ns0:c r="A233" s="71" t="s">
        <ns0:v>236</ns0:v>
      </ns0:c>
      <ns0:c r="B233" s="71" t="s">
        <ns0:v>241</ns0:v>
      </ns0:c>
      <ns0:c r="C233" s="71">
        <ns0:v>1</ns0:v>
      </ns0:c>
      <ns0:c r="D233" s="71" t="s">
        <ns0:v>42</ns0:v>
      </ns0:c>
      <ns0:c r="E233" s="74">
        <ns0:v>2</ns0:v>
      </ns0:c>
      <ns0:c r="F233" s="72">
        <ns0:v>59.01</ns0:v>
      </ns0:c>
      <ns0:c r="G233" s="72">
        <ns0:v>20.11</ns0:v>
      </ns0:c>
      <ns0:c r="H233" s="72">
        <ns0:v>81.89</ns0:v>
      </ns0:c>
      <ns0:c r="I233" s="73">
        <ns0:v>329000</ns0:v>
      </ns0:c>
      <ns0:c r="J233" s="71">
        <ns0:v>2026</ns0:v>
      </ns0:c>
      <ns0:c r="K233" s="73">
        <ns0:f t="shared" si="43"/>
        <ns0:v>5575.3262158956113</ns0:v>
      </ns0:c>
      <ns0:c r="L233" s="73">
        <ns0:f t="shared" si="44"/>
        <ns0:v>4017.5845646599096</ns0:v>
      </ns0:c>
      <ns0:c r="M233" s="74" t="str">
        <ns0:f t="shared" si="42"/>
        <ns0:v>Ativo</ns0:v>
      </ns0:c>
      <ns0:c r="N233" s="74"/>
      <ns0:c r="O233" s="74"/>
      <ns0:c r="P233" s="77"/>
      <ns0:c r="Q233" s="74" t="s">
        <ns0:v>238</ns0:v>
      </ns0:c>
      <ns0:c r="R233" s="74"/>
      <ns0:c r="S233" s="74"/>
      <ns0:c r="T233" s="74"/>
      <ns0:c r="U233" s="74"/>
      <ns0:c r="V233" s="74"/>
      <ns0:c r="W233" s="76">
        <ns0:f t="shared" si="40"/>
        <ns0:v>1</ns0:v>
      </ns0:c>
      <ns0:c r="X233" s="74" t="str">
        <ns0:f t="shared" si="41"/>
        <ns0:v>A · Premium ativo</ns0:v>
      </ns0:c>
      <ns0:c r="Y233" s="74"/>
      <ns0:c r="Z233" s="74"/>
      <ns0:c r="AA233" s="74"/>
      <ns0:c r="AB233" s="74"/>
    </ns0:row>
    <ns0:row r="234">
      <ns0:c r="A234" s="71" t="s">
        <ns0:v>236</ns0:v>
      </ns0:c>
      <ns0:c r="B234" s="71" t="s">
        <ns0:v>242</ns0:v>
      </ns0:c>
      <ns0:c r="C234" s="71">
        <ns0:v>2</ns0:v>
      </ns0:c>
      <ns0:c r="D234" s="71" t="s">
        <ns0:v>64</ns0:v>
      </ns0:c>
      <ns0:c r="E234" s="74">
        <ns0:v>2</ns0:v>
      </ns0:c>
      <ns0:c r="F234" s="72">
        <ns0:v>137.16</ns0:v>
      </ns0:c>
      <ns0:c r="G234" s="72">
        <ns0:v>44.72</ns0:v>
      </ns0:c>
      <ns0:c r="H234" s="72">
        <ns0:v>228.78</ns0:v>
      </ns0:c>
      <ns0:c r="I234" s="73">
        <ns0:v>658000</ns0:v>
      </ns0:c>
      <ns0:c r="J234" s="71">
        <ns0:v>2026</ns0:v>
      </ns0:c>
      <ns0:c r="K234" s="73">
        <ns0:f t="shared" si="43"/>
        <ns0:v>4797.3170020414118</ns0:v>
      </ns0:c>
      <ns0:c r="L234" s="73">
        <ns0:f t="shared" si="44"/>
        <ns0:v>2876.1255354489031</ns0:v>
      </ns0:c>
      <ns0:c r="M234" s="74" t="str">
        <ns0:f t="shared" si="42"/>
        <ns0:v>Ativo</ns0:v>
      </ns0:c>
      <ns0:c r="N234" s="74"/>
      <ns0:c r="O234" s="74"/>
      <ns0:c r="P234" s="77"/>
      <ns0:c r="Q234" s="74" t="s">
        <ns0:v>238</ns0:v>
      </ns0:c>
      <ns0:c r="R234" s="74"/>
      <ns0:c r="S234" s="74"/>
      <ns0:c r="T234" s="74"/>
      <ns0:c r="U234" s="74"/>
      <ns0:c r="V234" s="74"/>
      <ns0:c r="W234" s="76">
        <ns0:f t="shared" si="40"/>
        <ns0:v>1</ns0:v>
      </ns0:c>
      <ns0:c r="X234" s="74" t="str">
        <ns0:f t="shared" si="41"/>
        <ns0:v>A · Premium ativo</ns0:v>
      </ns0:c>
      <ns0:c r="Y234" s="74"/>
      <ns0:c r="Z234" s="74"/>
      <ns0:c r="AA234" s="74"/>
      <ns0:c r="AB234" s="74"/>
    </ns0:row>
    <ns0:row r="235">
      <ns0:c r="A235" s="71" t="s">
        <ns0:v>236</ns0:v>
      </ns0:c>
      <ns0:c r="B235" s="71" t="s">
        <ns0:v>243</ns0:v>
      </ns0:c>
      <ns0:c r="C235" s="71">
        <ns0:v>2</ns0:v>
      </ns0:c>
      <ns0:c r="D235" s="71" t="s">
        <ns0:v>42</ns0:v>
      </ns0:c>
      <ns0:c r="E235" s="74">
        <ns0:v>2</ns0:v>
      </ns0:c>
      <ns0:c r="F235" s="72">
        <ns0:v>59.01</ns0:v>
      </ns0:c>
      <ns0:c r="G235" s="72">
        <ns0:v>20.58</ns0:v>
      </ns0:c>
      <ns0:c r="H235" s="72">
        <ns0:v>82.3</ns0:v>
      </ns0:c>
      <ns0:c r="I235" s="73">
        <ns0:v>335000</ns0:v>
      </ns0:c>
      <ns0:c r="J235" s="71">
        <ns0:v>2026</ns0:v>
      </ns0:c>
      <ns0:c r="K235" s="73">
        <ns0:f t="shared" si="43"/>
        <ns0:v>5677.0038976444675</ns0:v>
      </ns0:c>
      <ns0:c r="L235" s="73">
        <ns0:f t="shared" si="44"/>
        <ns0:v>4070.4738760631835</ns0:v>
      </ns0:c>
      <ns0:c r="M235" s="74" t="str">
        <ns0:f t="shared" si="42"/>
        <ns0:v>Ativo</ns0:v>
      </ns0:c>
      <ns0:c r="N235" s="74"/>
      <ns0:c r="O235" s="74"/>
      <ns0:c r="P235" s="77"/>
      <ns0:c r="Q235" s="74" t="s">
        <ns0:v>238</ns0:v>
      </ns0:c>
      <ns0:c r="R235" s="74"/>
      <ns0:c r="S235" s="74"/>
      <ns0:c r="T235" s="74"/>
      <ns0:c r="U235" s="74"/>
      <ns0:c r="V235" s="74"/>
      <ns0:c r="W235" s="76">
        <ns0:f t="shared" si="40"/>
        <ns0:v>1</ns0:v>
      </ns0:c>
      <ns0:c r="X235" s="74" t="str">
        <ns0:f t="shared" si="41"/>
        <ns0:v>A · Premium ativo</ns0:v>
      </ns0:c>
      <ns0:c r="Y235" s="74"/>
      <ns0:c r="Z235" s="74"/>
      <ns0:c r="AA235" s="74"/>
      <ns0:c r="AB235" s="74"/>
    </ns0:row>
    <ns0:row r="236">
      <ns0:c r="A236" s="71" t="s">
        <ns0:v>236</ns0:v>
      </ns0:c>
      <ns0:c r="B236" s="71" t="s">
        <ns0:v>244</ns0:v>
      </ns0:c>
      <ns0:c r="C236" s="71">
        <ns0:v>2</ns0:v>
      </ns0:c>
      <ns0:c r="D236" s="71" t="s">
        <ns0:v>31</ns0:v>
      </ns0:c>
      <ns0:c r="E236" s="74">
        <ns0:v>2</ns0:v>
      </ns0:c>
      <ns0:c r="F236" s="72">
        <ns0:v>93.06</ns0:v>
      </ns0:c>
      <ns0:c r="G236" s="72">
        <ns0:v>24.81</ns0:v>
      </ns0:c>
      <ns0:c r="H236" s="72">
        <ns0:v>121.17</ns0:v>
      </ns0:c>
      <ns0:c r="I236" s="73">
        <ns0:v>498000</ns0:v>
      </ns0:c>
      <ns0:c r="J236" s="71">
        <ns0:v>2026</ns0:v>
      </ns0:c>
      <ns0:c r="K236" s="73">
        <ns0:f t="shared" si="43"/>
        <ns0:v>5351.3862024500322</ns0:v>
      </ns0:c>
      <ns0:c r="L236" s="73">
        <ns0:f t="shared" si="44"/>
        <ns0:v>4109.9282000495168</ns0:v>
      </ns0:c>
      <ns0:c r="M236" s="74" t="str">
        <ns0:f t="shared" si="42"/>
        <ns0:v>Ativo</ns0:v>
      </ns0:c>
      <ns0:c r="N236" s="74"/>
      <ns0:c r="O236" s="74"/>
      <ns0:c r="P236" s="77"/>
      <ns0:c r="Q236" s="74" t="s">
        <ns0:v>238</ns0:v>
      </ns0:c>
      <ns0:c r="R236" s="74"/>
      <ns0:c r="S236" s="74"/>
      <ns0:c r="T236" s="74"/>
      <ns0:c r="U236" s="74"/>
      <ns0:c r="V236" s="74"/>
      <ns0:c r="W236" s="76">
        <ns0:f t="shared" si="40"/>
        <ns0:v>1</ns0:v>
      </ns0:c>
      <ns0:c r="X236" s="74" t="str">
        <ns0:f t="shared" si="41"/>
        <ns0:v>A · Premium ativo</ns0:v>
      </ns0:c>
      <ns0:c r="Y236" s="74"/>
      <ns0:c r="Z236" s="74"/>
      <ns0:c r="AA236" s="74"/>
      <ns0:c r="AB236" s="74"/>
    </ns0:row>
    <ns0:row r="237">
      <ns0:c r="A237" s="71" t="s">
        <ns0:v>236</ns0:v>
      </ns0:c>
      <ns0:c r="B237" s="71" t="s">
        <ns0:v>245</ns0:v>
      </ns0:c>
      <ns0:c r="C237" s="71">
        <ns0:v>3</ns0:v>
      </ns0:c>
      <ns0:c r="D237" s="71" t="s">
        <ns0:v>64</ns0:v>
      </ns0:c>
      <ns0:c r="E237" s="74">
        <ns0:v>2</ns0:v>
      </ns0:c>
      <ns0:c r="F237" s="72">
        <ns0:v>137.16</ns0:v>
      </ns0:c>
      <ns0:c r="G237" s="72">
        <ns0:v>44.94</ns0:v>
      </ns0:c>
      <ns0:c r="H237" s="72">
        <ns0:v>229.7</ns0:v>
      </ns0:c>
      <ns0:c r="I237" s="73">
        <ns0:v>680000</ns0:v>
      </ns0:c>
      <ns0:c r="J237" s="71">
        <ns0:v>2026</ns0:v>
      </ns0:c>
      <ns0:c r="K237" s="73">
        <ns0:f t="shared" si="43"/>
        <ns0:v>4957.7136191309419</ns0:v>
      </ns0:c>
      <ns0:c r="L237" s="73">
        <ns0:f t="shared" si="44"/>
        <ns0:v>2960.383108402264</ns0:v>
      </ns0:c>
      <ns0:c r="M237" s="74" t="str">
        <ns0:f t="shared" si="42"/>
        <ns0:v>Ativo</ns0:v>
      </ns0:c>
      <ns0:c r="N237" s="74"/>
      <ns0:c r="O237" s="74"/>
      <ns0:c r="P237" s="77"/>
      <ns0:c r="Q237" s="74" t="s">
        <ns0:v>238</ns0:v>
      </ns0:c>
      <ns0:c r="R237" s="74"/>
      <ns0:c r="S237" s="74"/>
      <ns0:c r="T237" s="74"/>
      <ns0:c r="U237" s="74"/>
      <ns0:c r="V237" s="74"/>
      <ns0:c r="W237" s="76">
        <ns0:f t="shared" si="40"/>
        <ns0:v>1</ns0:v>
      </ns0:c>
      <ns0:c r="X237" s="74" t="str">
        <ns0:f t="shared" si="41"/>
        <ns0:v>A · Premium ativo</ns0:v>
      </ns0:c>
      <ns0:c r="Y237" s="74"/>
      <ns0:c r="Z237" s="74"/>
      <ns0:c r="AA237" s="74"/>
      <ns0:c r="AB237" s="74"/>
    </ns0:row>
    <ns0:row r="238">
      <ns0:c r="A238" s="71" t="s">
        <ns0:v>236</ns0:v>
      </ns0:c>
      <ns0:c r="B238" s="71" t="s">
        <ns0:v>246</ns0:v>
      </ns0:c>
      <ns0:c r="C238" s="71">
        <ns0:v>3</ns0:v>
      </ns0:c>
      <ns0:c r="D238" s="71" t="s">
        <ns0:v>42</ns0:v>
      </ns0:c>
      <ns0:c r="E238" s="74">
        <ns0:v>2</ns0:v>
      </ns0:c>
      <ns0:c r="F238" s="72">
        <ns0:v>59.01</ns0:v>
      </ns0:c>
      <ns0:c r="G238" s="72">
        <ns0:v>20.11</ns0:v>
      </ns0:c>
      <ns0:c r="H238" s="72">
        <ns0:v>81.89</ns0:v>
      </ns0:c>
      <ns0:c r="I238" s="73">
        <ns0:v>345000</ns0:v>
      </ns0:c>
      <ns0:c r="J238" s="71">
        <ns0:v>2026</ns0:v>
      </ns0:c>
      <ns0:c r="K238" s="73">
        <ns0:f t="shared" si="43"/>
        <ns0:v>5846.4667005592273</ns0:v>
      </ns0:c>
      <ns0:c r="L238" s="73">
        <ns0:f t="shared" si="44"/>
        <ns0:v>4212.9686164366831</ns0:v>
      </ns0:c>
      <ns0:c r="M238" s="74" t="str">
        <ns0:f t="shared" si="42"/>
        <ns0:v>Ativo</ns0:v>
      </ns0:c>
      <ns0:c r="N238" s="74"/>
      <ns0:c r="O238" s="74"/>
      <ns0:c r="P238" s="77"/>
      <ns0:c r="Q238" s="74" t="s">
        <ns0:v>238</ns0:v>
      </ns0:c>
      <ns0:c r="R238" s="74"/>
      <ns0:c r="S238" s="74"/>
      <ns0:c r="T238" s="74"/>
      <ns0:c r="U238" s="74"/>
      <ns0:c r="V238" s="74"/>
      <ns0:c r="W238" s="76" t="n">
        <ns0:f t="shared" ref="W238:W301" si="45">IF(A238="The View",1,MAX(0.25,MIN(1,IF(J238&gt;=2026,1,IF(J238=2025,0.8,IF(J238=2024,0.45,0.3)))*IF(Q238="Premium waterfront/marina",1,IF(Q238="Benchmark local",0.7,0.6))*IF(M238="Vendido",0.65,IF(M238="Reservado",0.8,IF(M238="Histórico",0.55,1))))))</ns0:f>
        <ns0:v>1</ns0:v>
      </ns0:c>
      <ns0:c r="X238" s="74" t="str">
        <ns0:f t="shared" ref="X238:X301" si="46">IF(A238="The View","Projeto",IF(W238&gt;=0.85,"A · Premium ativo",IF(W238&gt;=0.55,"B · Benchmark local","C · Histórico/secundário")))</ns0:f>
        <ns0:v>A · Premium ativo</ns0:v>
      </ns0:c>
      <ns0:c r="Y238" s="74"/>
      <ns0:c r="Z238" s="74"/>
      <ns0:c r="AA238" s="74"/>
      <ns0:c r="AB238" s="74"/>
    </ns0:row>
    <ns0:row r="239">
      <ns0:c r="A239" s="71" t="s">
        <ns0:v>236</ns0:v>
      </ns0:c>
      <ns0:c r="B239" s="71" t="s">
        <ns0:v>247</ns0:v>
      </ns0:c>
      <ns0:c r="C239" s="71">
        <ns0:v>3</ns0:v>
      </ns0:c>
      <ns0:c r="D239" s="71" t="s">
        <ns0:v>31</ns0:v>
      </ns0:c>
      <ns0:c r="E239" s="74">
        <ns0:v>2</ns0:v>
      </ns0:c>
      <ns0:c r="F239" s="72">
        <ns0:v>93.06</ns0:v>
      </ns0:c>
      <ns0:c r="G239" s="72">
        <ns0:v>24.81</ns0:v>
      </ns0:c>
      <ns0:c r="H239" s="72">
        <ns0:v>120.97</ns0:v>
      </ns0:c>
      <ns0:c r="I239" s="73">
        <ns0:v>509000</ns0:v>
      </ns0:c>
      <ns0:c r="J239" s="71">
        <ns0:v>2026</ns0:v>
      </ns0:c>
      <ns0:c r="K239" s="73">
        <ns0:f t="shared" si="43"/>
        <ns0:v>5469.5895121427038</ns0:v>
      </ns0:c>
      <ns0:c r="L239" s="73">
        <ns0:f t="shared" si="44"/>
        <ns0:v>4207.6547904439121</ns0:v>
      </ns0:c>
      <ns0:c r="M239" s="74" t="str">
        <ns0:f t="shared" si="42"/>
        <ns0:v>Ativo</ns0:v>
      </ns0:c>
      <ns0:c r="N239" s="74"/>
      <ns0:c r="O239" s="74"/>
      <ns0:c r="P239" s="77"/>
      <ns0:c r="Q239" s="74" t="s">
        <ns0:v>238</ns0:v>
      </ns0:c>
      <ns0:c r="R239" s="74"/>
      <ns0:c r="S239" s="74"/>
      <ns0:c r="T239" s="74"/>
      <ns0:c r="U239" s="74"/>
      <ns0:c r="V239" s="74"/>
      <ns0:c r="W239" s="76">
        <ns0:f t="shared" si="45"/>
        <ns0:v>1</ns0:v>
      </ns0:c>
      <ns0:c r="X239" s="74" t="str">
        <ns0:f t="shared" si="46"/>
        <ns0:v>A · Premium ativo</ns0:v>
      </ns0:c>
      <ns0:c r="Y239" s="74"/>
      <ns0:c r="Z239" s="74"/>
      <ns0:c r="AA239" s="74"/>
      <ns0:c r="AB239" s="74"/>
    </ns0:row>
    <ns0:row r="240">
      <ns0:c r="A240" s="71" t="s">
        <ns0:v>236</ns0:v>
      </ns0:c>
      <ns0:c r="B240" s="71" t="s">
        <ns0:v>248</ns0:v>
      </ns0:c>
      <ns0:c r="C240" s="71">
        <ns0:v>4</ns0:v>
      </ns0:c>
      <ns0:c r="D240" s="71" t="s">
        <ns0:v>64</ns0:v>
      </ns0:c>
      <ns0:c r="E240" s="74">
        <ns0:v>2</ns0:v>
      </ns0:c>
      <ns0:c r="F240" s="72">
        <ns0:v>137.16</ns0:v>
      </ns0:c>
      <ns0:c r="G240" s="72">
        <ns0:v>44.72</ns0:v>
      </ns0:c>
      <ns0:c r="H240" s="72">
        <ns0:v>231.18</ns0:v>
      </ns0:c>
      <ns0:c r="I240" s="73">
        <ns0:v>690000</ns0:v>
      </ns0:c>
      <ns0:c r="J240" s="71">
        <ns0:v>2026</ns0:v>
      </ns0:c>
      <ns0:c r="K240" s="73">
        <ns0:f t="shared" si="43"/>
        <ns0:v>5030.6211723534561</ns0:v>
      </ns0:c>
      <ns0:c r="L240" s="73">
        <ns0:f t="shared" si="44"/>
        <ns0:v>2984.6872566831039</ns0:v>
      </ns0:c>
      <ns0:c r="M240" s="74" t="str">
        <ns0:f t="shared" si="42"/>
        <ns0:v>Ativo</ns0:v>
      </ns0:c>
      <ns0:c r="N240" s="74"/>
      <ns0:c r="O240" s="74"/>
      <ns0:c r="P240" s="77"/>
      <ns0:c r="Q240" s="74" t="s">
        <ns0:v>238</ns0:v>
      </ns0:c>
      <ns0:c r="R240" s="74"/>
      <ns0:c r="S240" s="74"/>
      <ns0:c r="T240" s="74"/>
      <ns0:c r="U240" s="74"/>
      <ns0:c r="V240" s="74"/>
      <ns0:c r="W240" s="76">
        <ns0:f t="shared" si="45"/>
        <ns0:v>1</ns0:v>
      </ns0:c>
      <ns0:c r="X240" s="74" t="str">
        <ns0:f t="shared" si="46"/>
        <ns0:v>A · Premium ativo</ns0:v>
      </ns0:c>
      <ns0:c r="Y240" s="74"/>
      <ns0:c r="Z240" s="74"/>
      <ns0:c r="AA240" s="74"/>
      <ns0:c r="AB240" s="74"/>
    </ns0:row>
    <ns0:row r="241">
      <ns0:c r="A241" s="71" t="s">
        <ns0:v>236</ns0:v>
      </ns0:c>
      <ns0:c r="B241" s="71" t="s">
        <ns0:v>249</ns0:v>
      </ns0:c>
      <ns0:c r="C241" s="71">
        <ns0:v>4</ns0:v>
      </ns0:c>
      <ns0:c r="D241" s="71" t="s">
        <ns0:v>42</ns0:v>
      </ns0:c>
      <ns0:c r="E241" s="74">
        <ns0:v>2</ns0:v>
      </ns0:c>
      <ns0:c r="F241" s="72">
        <ns0:v>59.01</ns0:v>
      </ns0:c>
      <ns0:c r="G241" s="72">
        <ns0:v>20.58</ns0:v>
      </ns0:c>
      <ns0:c r="H241" s="72">
        <ns0:v>82.39</ns0:v>
      </ns0:c>
      <ns0:c r="I241" s="73">
        <ns0:v>355000</ns0:v>
      </ns0:c>
      <ns0:c r="J241" s="71">
        <ns0:v>2026</ns0:v>
      </ns0:c>
      <ns0:c r="K241" s="73">
        <ns0:f t="shared" si="43"/>
        <ns0:v>6015.929503473988</ns0:v>
      </ns0:c>
      <ns0:c r="L241" s="73">
        <ns0:f t="shared" si="44"/>
        <ns0:v>4308.7753368127196</ns0:v>
      </ns0:c>
      <ns0:c r="M241" s="74" t="str">
        <ns0:f t="shared" si="42"/>
        <ns0:v>Ativo</ns0:v>
      </ns0:c>
      <ns0:c r="N241" s="74"/>
      <ns0:c r="O241" s="74"/>
      <ns0:c r="P241" s="77"/>
      <ns0:c r="Q241" s="74" t="s">
        <ns0:v>238</ns0:v>
      </ns0:c>
      <ns0:c r="R241" s="74"/>
      <ns0:c r="S241" s="74"/>
      <ns0:c r="T241" s="74"/>
      <ns0:c r="U241" s="74"/>
      <ns0:c r="V241" s="74"/>
      <ns0:c r="W241" s="76">
        <ns0:f t="shared" si="45"/>
        <ns0:v>1</ns0:v>
      </ns0:c>
      <ns0:c r="X241" s="74" t="str">
        <ns0:f t="shared" si="46"/>
        <ns0:v>A · Premium ativo</ns0:v>
      </ns0:c>
      <ns0:c r="Y241" s="74"/>
      <ns0:c r="Z241" s="74"/>
      <ns0:c r="AA241" s="74"/>
      <ns0:c r="AB241" s="74"/>
    </ns0:row>
    <ns0:row r="242">
      <ns0:c r="A242" s="71" t="s">
        <ns0:v>236</ns0:v>
      </ns0:c>
      <ns0:c r="B242" s="71" t="s">
        <ns0:v>250</ns0:v>
      </ns0:c>
      <ns0:c r="C242" s="71">
        <ns0:v>4</ns0:v>
      </ns0:c>
      <ns0:c r="D242" s="71" t="s">
        <ns0:v>31</ns0:v>
      </ns0:c>
      <ns0:c r="E242" s="74">
        <ns0:v>2</ns0:v>
      </ns0:c>
      <ns0:c r="F242" s="72">
        <ns0:v>93.06</ns0:v>
      </ns0:c>
      <ns0:c r="G242" s="72">
        <ns0:v>24.81</ns0:v>
      </ns0:c>
      <ns0:c r="H242" s="72">
        <ns0:v>122.27</ns0:v>
      </ns0:c>
      <ns0:c r="I242" s="73">
        <ns0:v>520000</ns0:v>
      </ns0:c>
      <ns0:c r="J242" s="71">
        <ns0:v>2026</ns0:v>
      </ns0:c>
      <ns0:c r="K242" s="73">
        <ns0:f t="shared" si="43"/>
        <ns0:v>5587.7928218353745</ns0:v>
      </ns0:c>
      <ns0:c r="L242" s="73">
        <ns0:f t="shared" si="44"/>
        <ns0:v>4252.8829639322812</ns0:v>
      </ns0:c>
      <ns0:c r="M242" s="74" t="str">
        <ns0:f t="shared" si="42"/>
        <ns0:v>Ativo</ns0:v>
      </ns0:c>
      <ns0:c r="N242" s="74"/>
      <ns0:c r="O242" s="74"/>
      <ns0:c r="P242" s="77"/>
      <ns0:c r="Q242" s="74" t="s">
        <ns0:v>238</ns0:v>
      </ns0:c>
      <ns0:c r="R242" s="74"/>
      <ns0:c r="S242" s="74"/>
      <ns0:c r="T242" s="74"/>
      <ns0:c r="U242" s="74"/>
      <ns0:c r="V242" s="74"/>
      <ns0:c r="W242" s="76">
        <ns0:f t="shared" si="45"/>
        <ns0:v>1</ns0:v>
      </ns0:c>
      <ns0:c r="X242" s="74" t="str">
        <ns0:f t="shared" si="46"/>
        <ns0:v>A · Premium ativo</ns0:v>
      </ns0:c>
      <ns0:c r="Y242" s="74"/>
      <ns0:c r="Z242" s="74"/>
      <ns0:c r="AA242" s="74"/>
      <ns0:c r="AB242" s="74"/>
    </ns0:row>
    <ns0:row r="243">
      <ns0:c r="A243" s="71" t="s">
        <ns0:v>236</ns0:v>
      </ns0:c>
      <ns0:c r="B243" s="71" t="s">
        <ns0:v>251</ns0:v>
      </ns0:c>
      <ns0:c r="C243" s="71">
        <ns0:v>5</ns0:v>
      </ns0:c>
      <ns0:c r="D243" s="71" t="s">
        <ns0:v>252</ns0:v>
      </ns0:c>
      <ns0:c r="E243" s="74">
        <ns0:v>2</ns0:v>
      </ns0:c>
      <ns0:c r="F243" s="72">
        <ns0:v>161.78</ns0:v>
      </ns0:c>
      <ns0:c r="G243" s="72">
        <ns0:v>227.4</ns0:v>
      </ns0:c>
      <ns0:c r="H243" s="72">
        <ns0:v>439.78</ns0:v>
      </ns0:c>
      <ns0:c r="I243" s="73">
        <ns0:v>1002000</ns0:v>
      </ns0:c>
      <ns0:c r="J243" s="71">
        <ns0:v>2026</ns0:v>
      </ns0:c>
      <ns0:c r="K243" s="73">
        <ns0:f t="shared" si="43"/>
        <ns0:v>6193.5962418098652</ns0:v>
      </ns0:c>
      <ns0:c r="L243" s="73">
        <ns0:f t="shared" si="44"/>
        <ns0:v>2278.411933239347</ns0:v>
      </ns0:c>
      <ns0:c r="M243" s="74" t="str">
        <ns0:f t="shared" si="42"/>
        <ns0:v>Ativo</ns0:v>
      </ns0:c>
      <ns0:c r="N243" s="74"/>
      <ns0:c r="O243" s="74"/>
      <ns0:c r="P243" s="77"/>
      <ns0:c r="Q243" s="74" t="s">
        <ns0:v>238</ns0:v>
      </ns0:c>
      <ns0:c r="R243" s="74"/>
      <ns0:c r="S243" s="74"/>
      <ns0:c r="T243" s="74"/>
      <ns0:c r="U243" s="74"/>
      <ns0:c r="V243" s="74"/>
      <ns0:c r="W243" s="76">
        <ns0:f t="shared" si="45"/>
        <ns0:v>1</ns0:v>
      </ns0:c>
      <ns0:c r="X243" s="74" t="str">
        <ns0:f t="shared" si="46"/>
        <ns0:v>A · Premium ativo</ns0:v>
      </ns0:c>
      <ns0:c r="Y243" s="74"/>
      <ns0:c r="Z243" s="74"/>
      <ns0:c r="AA243" s="74"/>
      <ns0:c r="AB243" s="74"/>
    </ns0:row>
    <ns0:row r="244">
      <ns0:c r="A244" s="71" t="s">
        <ns0:v>236</ns0:v>
      </ns0:c>
      <ns0:c r="B244" s="71" t="s">
        <ns0:v>253</ns0:v>
      </ns0:c>
      <ns0:c r="C244" s="71">
        <ns0:v>5</ns0:v>
      </ns0:c>
      <ns0:c r="D244" s="71" t="s">
        <ns0:v>252</ns0:v>
      </ns0:c>
      <ns0:c r="E244" s="74">
        <ns0:v>2</ns0:v>
      </ns0:c>
      <ns0:c r="F244" s="72">
        <ns0:v>128.44999999999999</ns0:v>
      </ns0:c>
      <ns0:c r="G244" s="72">
        <ns0:v>201.33</ns0:v>
      </ns0:c>
      <ns0:c r="H244" s="72">
        <ns0:v>330.58</ns0:v>
      </ns0:c>
      <ns0:c r="I244" s="73">
        <ns0:v>843000</ns0:v>
      </ns0:c>
      <ns0:c r="J244" s="71">
        <ns0:v>2026</ns0:v>
      </ns0:c>
      <ns0:c r="K244" s="73">
        <ns0:f t="shared" si="43"/>
        <ns0:v>6562.8649279875444</ns0:v>
      </ns0:c>
      <ns0:c r="L244" s="73">
        <ns0:f t="shared" si="44"/>
        <ns0:v>2550.063524714139</ns0:v>
      </ns0:c>
      <ns0:c r="M244" s="74" t="str">
        <ns0:f t="shared" si="42"/>
        <ns0:v>Ativo</ns0:v>
      </ns0:c>
      <ns0:c r="N244" s="74"/>
      <ns0:c r="O244" s="74"/>
      <ns0:c r="P244" s="77"/>
      <ns0:c r="Q244" s="74" t="s">
        <ns0:v>238</ns0:v>
      </ns0:c>
      <ns0:c r="R244" s="74"/>
      <ns0:c r="S244" s="74"/>
      <ns0:c r="T244" s="74"/>
      <ns0:c r="U244" s="74"/>
      <ns0:c r="V244" s="74"/>
      <ns0:c r="W244" s="76">
        <ns0:f t="shared" si="45"/>
        <ns0:v>1</ns0:v>
      </ns0:c>
      <ns0:c r="X244" s="74" t="str">
        <ns0:f t="shared" si="46"/>
        <ns0:v>A · Premium ativo</ns0:v>
      </ns0:c>
      <ns0:c r="Y244" s="74"/>
      <ns0:c r="Z244" s="74"/>
      <ns0:c r="AA244" s="74"/>
      <ns0:c r="AB244" s="74"/>
    </ns0:row>
    <ns0:row r="245">
      <ns0:c r="A245" s="71" t="s">
        <ns0:v>236</ns0:v>
      </ns0:c>
      <ns0:c r="B245" s="71" t="s">
        <ns0:v>254</ns0:v>
      </ns0:c>
      <ns0:c r="C245" s="71">
        <ns0:v>0</ns0:v>
      </ns0:c>
      <ns0:c r="D245" s="71" t="s">
        <ns0:v>31</ns0:v>
      </ns0:c>
      <ns0:c r="E245" s="74">
        <ns0:v>2</ns0:v>
      </ns0:c>
      <ns0:c r="F245" s="72">
        <ns0:v>87.11</ns0:v>
      </ns0:c>
      <ns0:c r="G245" s="72">
        <ns0:v>37.89</ns0:v>
      </ns0:c>
      <ns0:c r="H245" s="72">
        <ns0:v>127.7</ns0:v>
      </ns0:c>
      <ns0:c r="I245" s="73">
        <ns0:v>461000</ns0:v>
      </ns0:c>
      <ns0:c r="J245" s="71">
        <ns0:v>2026</ns0:v>
      </ns0:c>
      <ns0:c r="K245" s="73">
        <ns0:f t="shared" si="43"/>
        <ns0:v>5292.1593387670764</ns0:v>
      </ns0:c>
      <ns0:c r="L245" s="73">
        <ns0:f t="shared" si="44"/>
        <ns0:v>3610.0234925606892</ns0:v>
      </ns0:c>
      <ns0:c r="M245" s="74" t="str">
        <ns0:f t="shared" si="42"/>
        <ns0:v>Ativo</ns0:v>
      </ns0:c>
      <ns0:c r="N245" s="74"/>
      <ns0:c r="O245" s="74"/>
      <ns0:c r="P245" s="77"/>
      <ns0:c r="Q245" s="74" t="s">
        <ns0:v>238</ns0:v>
      </ns0:c>
      <ns0:c r="R245" s="74"/>
      <ns0:c r="S245" s="74"/>
      <ns0:c r="T245" s="74"/>
      <ns0:c r="U245" s="74"/>
      <ns0:c r="V245" s="74"/>
      <ns0:c r="W245" s="76">
        <ns0:f t="shared" si="45"/>
        <ns0:v>1</ns0:v>
      </ns0:c>
      <ns0:c r="X245" s="74" t="str">
        <ns0:f t="shared" si="46"/>
        <ns0:v>A · Premium ativo</ns0:v>
      </ns0:c>
      <ns0:c r="Y245" s="74"/>
      <ns0:c r="Z245" s="74"/>
      <ns0:c r="AA245" s="74"/>
      <ns0:c r="AB245" s="74"/>
    </ns0:row>
    <ns0:row r="246">
      <ns0:c r="A246" s="71" t="s">
        <ns0:v>236</ns0:v>
      </ns0:c>
      <ns0:c r="B246" s="71" t="s">
        <ns0:v>255</ns0:v>
      </ns0:c>
      <ns0:c r="C246" s="71">
        <ns0:v>1</ns0:v>
      </ns0:c>
      <ns0:c r="D246" s="71" t="s">
        <ns0:v>31</ns0:v>
      </ns0:c>
      <ns0:c r="E246" s="74">
        <ns0:v>2</ns0:v>
      </ns0:c>
      <ns0:c r="F246" s="72">
        <ns0:v>87.11</ns0:v>
      </ns0:c>
      <ns0:c r="G246" s="72">
        <ns0:v>11.2</ns0:v>
      </ns0:c>
      <ns0:c r="H246" s="72">
        <ns0:v>101.01</ns0:v>
      </ns0:c>
      <ns0:c r="I246" s="73">
        <ns0:v>446000</ns0:v>
      </ns0:c>
      <ns0:c r="J246" s="71">
        <ns0:v>2026</ns0:v>
      </ns0:c>
      <ns0:c r="K246" s="73">
        <ns0:f t="shared" si="43"/>
        <ns0:v>5119.9632648375618</ns0:v>
      </ns0:c>
      <ns0:c r="L246" s="73">
        <ns0:f t="shared" si="44"/>
        <ns0:v>4415.404415404415</ns0:v>
      </ns0:c>
      <ns0:c r="M246" s="74" t="str">
        <ns0:f t="shared" si="42"/>
        <ns0:v>Ativo</ns0:v>
      </ns0:c>
      <ns0:c r="N246" s="74"/>
      <ns0:c r="O246" s="74"/>
      <ns0:c r="P246" s="77"/>
      <ns0:c r="Q246" s="74" t="s">
        <ns0:v>238</ns0:v>
      </ns0:c>
      <ns0:c r="R246" s="74"/>
      <ns0:c r="S246" s="74"/>
      <ns0:c r="T246" s="74"/>
      <ns0:c r="U246" s="74"/>
      <ns0:c r="V246" s="74"/>
      <ns0:c r="W246" s="76">
        <ns0:f t="shared" si="45"/>
        <ns0:v>1</ns0:v>
      </ns0:c>
      <ns0:c r="X246" s="74" t="str">
        <ns0:f t="shared" si="46"/>
        <ns0:v>A · Premium ativo</ns0:v>
      </ns0:c>
      <ns0:c r="Y246" s="74"/>
      <ns0:c r="Z246" s="74"/>
      <ns0:c r="AA246" s="74"/>
      <ns0:c r="AB246" s="74"/>
    </ns0:row>
    <ns0:row r="247">
      <ns0:c r="A247" s="71" t="s">
        <ns0:v>236</ns0:v>
      </ns0:c>
      <ns0:c r="B247" s="71" t="s">
        <ns0:v>256</ns0:v>
      </ns0:c>
      <ns0:c r="C247" s="71">
        <ns0:v>2</ns0:v>
      </ns0:c>
      <ns0:c r="D247" s="71" t="s">
        <ns0:v>31</ns0:v>
      </ns0:c>
      <ns0:c r="E247" s="74">
        <ns0:v>2</ns0:v>
      </ns0:c>
      <ns0:c r="F247" s="72">
        <ns0:v>87.11</ns0:v>
      </ns0:c>
      <ns0:c r="G247" s="72">
        <ns0:v>23.58</ns0:v>
      </ns0:c>
      <ns0:c r="H247" s="72">
        <ns0:v>113.46</ns0:v>
      </ns0:c>
      <ns0:c r="I247" s="73">
        <ns0:v>467000</ns0:v>
      </ns0:c>
      <ns0:c r="J247" s="71">
        <ns0:v>2026</ns0:v>
      </ns0:c>
      <ns0:c r="K247" s="73">
        <ns0:f t="shared" si="43"/>
        <ns0:v>5361.0377683388815</ns0:v>
      </ns0:c>
      <ns0:c r="L247" s="73">
        <ns0:f t="shared" si="44"/>
        <ns0:v>4115.9880133967918</ns0:v>
      </ns0:c>
      <ns0:c r="M247" s="74" t="str">
        <ns0:f t="shared" si="42"/>
        <ns0:v>Ativo</ns0:v>
      </ns0:c>
      <ns0:c r="N247" s="74"/>
      <ns0:c r="O247" s="74"/>
      <ns0:c r="P247" s="77"/>
      <ns0:c r="Q247" s="74" t="s">
        <ns0:v>238</ns0:v>
      </ns0:c>
      <ns0:c r="R247" s="74"/>
      <ns0:c r="S247" s="74"/>
      <ns0:c r="T247" s="74"/>
      <ns0:c r="U247" s="74"/>
      <ns0:c r="V247" s="74"/>
      <ns0:c r="W247" s="76">
        <ns0:f t="shared" si="45"/>
        <ns0:v>1</ns0:v>
      </ns0:c>
      <ns0:c r="X247" s="74" t="str">
        <ns0:f t="shared" si="46"/>
        <ns0:v>A · Premium ativo</ns0:v>
      </ns0:c>
      <ns0:c r="Y247" s="74"/>
      <ns0:c r="Z247" s="74"/>
      <ns0:c r="AA247" s="74"/>
      <ns0:c r="AB247" s="74"/>
    </ns0:row>
    <ns0:row r="248">
      <ns0:c r="A248" s="71" t="s">
        <ns0:v>236</ns0:v>
      </ns0:c>
      <ns0:c r="B248" s="71" t="s">
        <ns0:v>257</ns0:v>
      </ns0:c>
      <ns0:c r="C248" s="71">
        <ns0:v>2</ns0:v>
      </ns0:c>
      <ns0:c r="D248" s="71" t="s">
        <ns0:v>31</ns0:v>
      </ns0:c>
      <ns0:c r="E248" s="74">
        <ns0:v>2</ns0:v>
      </ns0:c>
      <ns0:c r="F248" s="72">
        <ns0:v>82.28</ns0:v>
      </ns0:c>
      <ns0:c r="G248" s="72">
        <ns0:v>31.7</ns0:v>
      </ns0:c>
      <ns0:c r="H248" s="72">
        <ns0:v>116.78</ns0:v>
      </ns0:c>
      <ns0:c r="I248" s="73">
        <ns0:v>451000</ns0:v>
      </ns0:c>
      <ns0:c r="J248" s="71">
        <ns0:v>2026</ns0:v>
      </ns0:c>
      <ns0:c r="K248" s="73">
        <ns0:f t="shared" si="43"/>
        <ns0:v>5481.2834224598928</ns0:v>
      </ns0:c>
      <ns0:c r="L248" s="73">
        <ns0:f t="shared" si="44"/>
        <ns0:v>3861.9626648398698</ns0:v>
      </ns0:c>
      <ns0:c r="M248" s="74" t="str">
        <ns0:f t="shared" si="42"/>
        <ns0:v>Ativo</ns0:v>
      </ns0:c>
      <ns0:c r="N248" s="74"/>
      <ns0:c r="O248" s="74"/>
      <ns0:c r="P248" s="77"/>
      <ns0:c r="Q248" s="74" t="s">
        <ns0:v>238</ns0:v>
      </ns0:c>
      <ns0:c r="R248" s="74"/>
      <ns0:c r="S248" s="74"/>
      <ns0:c r="T248" s="74"/>
      <ns0:c r="U248" s="74"/>
      <ns0:c r="V248" s="74"/>
      <ns0:c r="W248" s="76">
        <ns0:f t="shared" si="45"/>
        <ns0:v>1</ns0:v>
      </ns0:c>
      <ns0:c r="X248" s="74" t="str">
        <ns0:f t="shared" si="46"/>
        <ns0:v>A · Premium ativo</ns0:v>
      </ns0:c>
      <ns0:c r="Y248" s="74"/>
      <ns0:c r="Z248" s="74"/>
      <ns0:c r="AA248" s="74"/>
      <ns0:c r="AB248" s="74"/>
    </ns0:row>
    <ns0:row r="249">
      <ns0:c r="A249" s="71" t="s">
        <ns0:v>236</ns0:v>
      </ns0:c>
      <ns0:c r="B249" s="71" t="s">
        <ns0:v>258</ns0:v>
      </ns0:c>
      <ns0:c r="C249" s="71">
        <ns0:v>3</ns0:v>
      </ns0:c>
      <ns0:c r="D249" s="71" t="s">
        <ns0:v>31</ns0:v>
      </ns0:c>
      <ns0:c r="E249" s="74">
        <ns0:v>2</ns0:v>
      </ns0:c>
      <ns0:c r="F249" s="72">
        <ns0:v>87.11</ns0:v>
      </ns0:c>
      <ns0:c r="G249" s="72">
        <ns0:v>23.66</ns0:v>
      </ns0:c>
      <ns0:c r="H249" s="72">
        <ns0:v>113.77</ns0:v>
      </ns0:c>
      <ns0:c r="I249" s="73">
        <ns0:v>478000</ns0:v>
      </ns0:c>
      <ns0:c r="J249" s="71">
        <ns0:v>2026</ns0:v>
      </ns0:c>
      <ns0:c r="K249" s="73">
        <ns0:f t="shared" si="43"/>
        <ns0:v>5487.3148892205254</ns0:v>
      </ns0:c>
      <ns0:c r="L249" s="73">
        <ns0:f t="shared" si="44"/>
        <ns0:v>4201.4590841170784</ns0:v>
      </ns0:c>
      <ns0:c r="M249" s="74" t="str">
        <ns0:f t="shared" si="42"/>
        <ns0:v>Ativo</ns0:v>
      </ns0:c>
      <ns0:c r="N249" s="74"/>
      <ns0:c r="O249" s="74"/>
      <ns0:c r="P249" s="77"/>
      <ns0:c r="Q249" s="74" t="s">
        <ns0:v>238</ns0:v>
      </ns0:c>
      <ns0:c r="R249" s="74"/>
      <ns0:c r="S249" s="74"/>
      <ns0:c r="T249" s="74"/>
      <ns0:c r="U249" s="74"/>
      <ns0:c r="V249" s="74"/>
      <ns0:c r="W249" s="76">
        <ns0:f t="shared" si="45"/>
        <ns0:v>1</ns0:v>
      </ns0:c>
      <ns0:c r="X249" s="74" t="str">
        <ns0:f t="shared" si="46"/>
        <ns0:v>A · Premium ativo</ns0:v>
      </ns0:c>
      <ns0:c r="Y249" s="74"/>
      <ns0:c r="Z249" s="74"/>
      <ns0:c r="AA249" s="74"/>
      <ns0:c r="AB249" s="74"/>
    </ns0:row>
    <ns0:row r="250">
      <ns0:c r="A250" s="71" t="s">
        <ns0:v>236</ns0:v>
      </ns0:c>
      <ns0:c r="B250" s="71" t="s">
        <ns0:v>259</ns0:v>
      </ns0:c>
      <ns0:c r="C250" s="71">
        <ns0:v>3</ns0:v>
      </ns0:c>
      <ns0:c r="D250" s="71" t="s">
        <ns0:v>31</ns0:v>
      </ns0:c>
      <ns0:c r="E250" s="74">
        <ns0:v>2</ns0:v>
      </ns0:c>
      <ns0:c r="F250" s="72">
        <ns0:v>82.28</ns0:v>
      </ns0:c>
      <ns0:c r="G250" s="72">
        <ns0:v>31.75</ns0:v>
      </ns0:c>
      <ns0:c r="H250" s="72">
        <ns0:v>116.83</ns0:v>
      </ns0:c>
      <ns0:c r="I250" s="73">
        <ns0:v>461000</ns0:v>
      </ns0:c>
      <ns0:c r="J250" s="71">
        <ns0:v>2026</ns0:v>
      </ns0:c>
      <ns0:c r="K250" s="73">
        <ns0:f t="shared" si="43"/>
        <ns0:v>5602.8196402527956</ns0:v>
      </ns0:c>
      <ns0:c r="L250" s="73">
        <ns0:f t="shared" si="44"/>
        <ns0:v>3945.9043054010099</ns0:v>
      </ns0:c>
      <ns0:c r="M250" s="74" t="str">
        <ns0:f t="shared" si="42"/>
        <ns0:v>Ativo</ns0:v>
      </ns0:c>
      <ns0:c r="N250" s="74"/>
      <ns0:c r="O250" s="74"/>
      <ns0:c r="P250" s="77"/>
      <ns0:c r="Q250" s="74" t="s">
        <ns0:v>238</ns0:v>
      </ns0:c>
      <ns0:c r="R250" s="74"/>
      <ns0:c r="S250" s="74"/>
      <ns0:c r="T250" s="74"/>
      <ns0:c r="U250" s="74"/>
      <ns0:c r="V250" s="74"/>
      <ns0:c r="W250" s="76">
        <ns0:f t="shared" si="45"/>
        <ns0:v>1</ns0:v>
      </ns0:c>
      <ns0:c r="X250" s="74" t="str">
        <ns0:f t="shared" si="46"/>
        <ns0:v>A · Premium ativo</ns0:v>
      </ns0:c>
      <ns0:c r="Y250" s="74"/>
      <ns0:c r="Z250" s="74"/>
      <ns0:c r="AA250" s="74"/>
      <ns0:c r="AB250" s="74"/>
    </ns0:row>
    <ns0:row r="251">
      <ns0:c r="A251" s="71" t="s">
        <ns0:v>236</ns0:v>
      </ns0:c>
      <ns0:c r="B251" s="71" t="s">
        <ns0:v>260</ns0:v>
      </ns0:c>
      <ns0:c r="C251" s="71">
        <ns0:v>4</ns0:v>
      </ns0:c>
      <ns0:c r="D251" s="71" t="s">
        <ns0:v>31</ns0:v>
      </ns0:c>
      <ns0:c r="E251" s="74">
        <ns0:v>2</ns0:v>
      </ns0:c>
      <ns0:c r="F251" s="72">
        <ns0:v>87.11</ns0:v>
      </ns0:c>
      <ns0:c r="G251" s="72">
        <ns0:v>23.58</ns0:v>
      </ns0:c>
      <ns0:c r="H251" s="72">
        <ns0:v>114.09</ns0:v>
      </ns0:c>
      <ns0:c r="I251" s="73">
        <ns0:v>483000</ns0:v>
      </ns0:c>
      <ns0:c r="J251" s="71">
        <ns0:v>2026</ns0:v>
      </ns0:c>
      <ns0:c r="K251" s="73">
        <ns0:f t="shared" si="43"/>
        <ns0:v>5544.7135805303642</ns0:v>
      </ns0:c>
      <ns0:c r="L251" s="73">
        <ns0:f t="shared" si="44"/>
        <ns0:v>4233.4998685248484</ns0:v>
      </ns0:c>
      <ns0:c r="M251" s="74" t="str">
        <ns0:f t="shared" si="42"/>
        <ns0:v>Ativo</ns0:v>
      </ns0:c>
      <ns0:c r="N251" s="74"/>
      <ns0:c r="O251" s="74"/>
      <ns0:c r="P251" s="77"/>
      <ns0:c r="Q251" s="74" t="s">
        <ns0:v>238</ns0:v>
      </ns0:c>
      <ns0:c r="R251" s="74"/>
      <ns0:c r="S251" s="74"/>
      <ns0:c r="T251" s="74"/>
      <ns0:c r="U251" s="74"/>
      <ns0:c r="V251" s="74"/>
      <ns0:c r="W251" s="76">
        <ns0:f t="shared" si="45"/>
        <ns0:v>1</ns0:v>
      </ns0:c>
      <ns0:c r="X251" s="74" t="str">
        <ns0:f t="shared" si="46"/>
        <ns0:v>A · Premium ativo</ns0:v>
      </ns0:c>
      <ns0:c r="Y251" s="74"/>
      <ns0:c r="Z251" s="74"/>
      <ns0:c r="AA251" s="74"/>
      <ns0:c r="AB251" s="74"/>
    </ns0:row>
    <ns0:row r="252">
      <ns0:c r="A252" s="71" t="s">
        <ns0:v>236</ns0:v>
      </ns0:c>
      <ns0:c r="B252" s="71" t="s">
        <ns0:v>261</ns0:v>
      </ns0:c>
      <ns0:c r="C252" s="71">
        <ns0:v>4</ns0:v>
      </ns0:c>
      <ns0:c r="D252" s="71" t="s">
        <ns0:v>31</ns0:v>
      </ns0:c>
      <ns0:c r="E252" s="74">
        <ns0:v>2</ns0:v>
      </ns0:c>
      <ns0:c r="F252" s="72">
        <ns0:v>82.28</ns0:v>
      </ns0:c>
      <ns0:c r="G252" s="72">
        <ns0:v>31.7</ns0:v>
      </ns0:c>
      <ns0:c r="H252" s="72">
        <ns0:v>116.75</ns0:v>
      </ns0:c>
      <ns0:c r="I252" s="73">
        <ns0:v>472000</ns0:v>
      </ns0:c>
      <ns0:c r="J252" s="71">
        <ns0:v>2026</ns0:v>
      </ns0:c>
      <ns0:c r="K252" s="73">
        <ns0:f t="shared" si="43"/>
        <ns0:v>5736.5094798249875</ns0:v>
      </ns0:c>
      <ns0:c r="L252" s="73">
        <ns0:f t="shared" si="44"/>
        <ns0:v>4042.8265524625267</ns0:v>
      </ns0:c>
      <ns0:c r="M252" s="74" t="str">
        <ns0:f t="shared" si="42"/>
        <ns0:v>Ativo</ns0:v>
      </ns0:c>
      <ns0:c r="N252" s="74"/>
      <ns0:c r="O252" s="74"/>
      <ns0:c r="P252" s="77"/>
      <ns0:c r="Q252" s="74" t="s">
        <ns0:v>238</ns0:v>
      </ns0:c>
      <ns0:c r="R252" s="74"/>
      <ns0:c r="S252" s="74"/>
      <ns0:c r="T252" s="74"/>
      <ns0:c r="U252" s="74"/>
      <ns0:c r="V252" s="74"/>
      <ns0:c r="W252" s="76">
        <ns0:f t="shared" si="45"/>
        <ns0:v>1</ns0:v>
      </ns0:c>
      <ns0:c r="X252" s="74" t="str">
        <ns0:f t="shared" si="46"/>
        <ns0:v>A · Premium ativo</ns0:v>
      </ns0:c>
      <ns0:c r="Y252" s="74"/>
      <ns0:c r="Z252" s="74"/>
      <ns0:c r="AA252" s="74"/>
      <ns0:c r="AB252" s="74"/>
    </ns0:row>
    <ns0:row r="253">
      <ns0:c r="A253" s="71" t="s">
        <ns0:v>236</ns0:v>
      </ns0:c>
      <ns0:c r="B253" s="71" t="s">
        <ns0:v>262</ns0:v>
      </ns0:c>
      <ns0:c r="C253" s="71">
        <ns0:v>5</ns0:v>
      </ns0:c>
      <ns0:c r="D253" s="71" t="s">
        <ns0:v>31</ns0:v>
      </ns0:c>
      <ns0:c r="E253" s="74">
        <ns0:v>2</ns0:v>
      </ns0:c>
      <ns0:c r="F253" s="72">
        <ns0:v>87.11</ns0:v>
      </ns0:c>
      <ns0:c r="G253" s="72">
        <ns0:v>66.34</ns0:v>
      </ns0:c>
      <ns0:c r="H253" s="72">
        <ns0:v>159</ns0:v>
      </ns0:c>
      <ns0:c r="I253" s="73">
        <ns0:v>631000</ns0:v>
      </ns0:c>
      <ns0:c r="J253" s="71">
        <ns0:v>2026</ns0:v>
      </ns0:c>
      <ns0:c r="K253" s="73">
        <ns0:f t="shared" si="43"/>
        <ns0:v>7243.7148433015727</ns0:v>
      </ns0:c>
      <ns0:c r="L253" s="73">
        <ns0:f t="shared" si="44"/>
        <ns0:v>3968.5534591194969</ns0:v>
      </ns0:c>
      <ns0:c r="M253" s="74" t="str">
        <ns0:f t="shared" si="42"/>
        <ns0:v>Ativo</ns0:v>
      </ns0:c>
      <ns0:c r="N253" s="74"/>
      <ns0:c r="O253" s="74"/>
      <ns0:c r="P253" s="77"/>
      <ns0:c r="Q253" s="74" t="s">
        <ns0:v>238</ns0:v>
      </ns0:c>
      <ns0:c r="R253" s="74"/>
      <ns0:c r="S253" s="74"/>
      <ns0:c r="T253" s="74"/>
      <ns0:c r="U253" s="74"/>
      <ns0:c r="V253" s="74"/>
      <ns0:c r="W253" s="76">
        <ns0:f t="shared" si="45"/>
        <ns0:v>1</ns0:v>
      </ns0:c>
      <ns0:c r="X253" s="74" t="str">
        <ns0:f t="shared" si="46"/>
        <ns0:v>A · Premium ativo</ns0:v>
      </ns0:c>
      <ns0:c r="Y253" s="74"/>
      <ns0:c r="Z253" s="74"/>
      <ns0:c r="AA253" s="74"/>
      <ns0:c r="AB253" s="74"/>
    </ns0:row>
    <ns0:row r="254">
      <ns0:c r="A254" s="71" t="s">
        <ns0:v>236</ns0:v>
      </ns0:c>
      <ns0:c r="B254" s="71" t="s">
        <ns0:v>263</ns0:v>
      </ns0:c>
      <ns0:c r="C254" s="71">
        <ns0:v>5</ns0:v>
      </ns0:c>
      <ns0:c r="D254" s="71" t="s">
        <ns0:v>31</ns0:v>
      </ns0:c>
      <ns0:c r="E254" s="74">
        <ns0:v>2</ns0:v>
      </ns0:c>
      <ns0:c r="F254" s="72">
        <ns0:v>82.28</ns0:v>
      </ns0:c>
      <ns0:c r="G254" s="72">
        <ns0:v>31.75</ns0:v>
      </ns0:c>
      <ns0:c r="H254" s="72">
        <ns0:v>117.33</ns0:v>
      </ns0:c>
      <ns0:c r="I254" s="73">
        <ns0:v>488000</ns0:v>
      </ns0:c>
      <ns0:c r="J254" s="71">
        <ns0:v>2026</ns0:v>
      </ns0:c>
      <ns0:c r="K254" s="73">
        <ns0:f t="shared" si="43"/>
        <ns0:v>5930.9674282936312</ns0:v>
      </ns0:c>
      <ns0:c r="L254" s="73">
        <ns0:f t="shared" si="44"/>
        <ns0:v>4159.2090684394443</ns0:v>
      </ns0:c>
      <ns0:c r="M254" s="74" t="str">
        <ns0:f t="shared" si="42"/>
        <ns0:v>Ativo</ns0:v>
      </ns0:c>
      <ns0:c r="N254" s="74"/>
      <ns0:c r="O254" s="74"/>
      <ns0:c r="P254" s="77"/>
      <ns0:c r="Q254" s="74" t="s">
        <ns0:v>238</ns0:v>
      </ns0:c>
      <ns0:c r="R254" s="74"/>
      <ns0:c r="S254" s="74"/>
      <ns0:c r="T254" s="74"/>
      <ns0:c r="U254" s="74"/>
      <ns0:c r="V254" s="74"/>
      <ns0:c r="W254" s="76">
        <ns0:f t="shared" si="45"/>
        <ns0:v>1</ns0:v>
      </ns0:c>
      <ns0:c r="X254" s="74" t="str">
        <ns0:f t="shared" si="46"/>
        <ns0:v>A · Premium ativo</ns0:v>
      </ns0:c>
      <ns0:c r="Y254" s="74"/>
      <ns0:c r="Z254" s="74"/>
      <ns0:c r="AA254" s="74"/>
      <ns0:c r="AB254" s="74"/>
    </ns0:row>
    <ns0:row r="255">
      <ns0:c r="A255" s="71" t="s">
        <ns0:v>236</ns0:v>
      </ns0:c>
      <ns0:c r="B255" s="71" t="s">
        <ns0:v>264</ns0:v>
      </ns0:c>
      <ns0:c r="C255" s="71">
        <ns0:v>0</ns0:v>
      </ns0:c>
      <ns0:c r="D255" s="71" t="s">
        <ns0:v>64</ns0:v>
      </ns0:c>
      <ns0:c r="E255" s="74">
        <ns0:v>2</ns0:v>
      </ns0:c>
      <ns0:c r="F255" s="72">
        <ns0:v>125.2</ns0:v>
      </ns0:c>
      <ns0:c r="G255" s="72">
        <ns0:v>50.68</ns0:v>
      </ns0:c>
      <ns0:c r="H255" s="72">
        <ns0:v>179.68</ns0:v>
      </ns0:c>
      <ns0:c r="I255" s="73">
        <ns0:v>546000</ns0:v>
      </ns0:c>
      <ns0:c r="J255" s="71">
        <ns0:v>2026</ns0:v>
      </ns0:c>
      <ns0:c r="K255" s="73">
        <ns0:f t="shared" si="43"/>
        <ns0:v>4361.0223642172523</ns0:v>
      </ns0:c>
      <ns0:c r="L255" s="73">
        <ns0:f t="shared" si="44"/>
        <ns0:v>3038.7355298308103</ns0:v>
      </ns0:c>
      <ns0:c r="M255" s="74" t="str">
        <ns0:f t="shared" si="42"/>
        <ns0:v>Ativo</ns0:v>
      </ns0:c>
      <ns0:c r="N255" s="74"/>
      <ns0:c r="O255" s="74"/>
      <ns0:c r="P255" s="77"/>
      <ns0:c r="Q255" s="74" t="s">
        <ns0:v>238</ns0:v>
      </ns0:c>
      <ns0:c r="R255" s="74"/>
      <ns0:c r="S255" s="74"/>
      <ns0:c r="T255" s="74"/>
      <ns0:c r="U255" s="74"/>
      <ns0:c r="V255" s="74"/>
      <ns0:c r="W255" s="76">
        <ns0:f t="shared" si="45"/>
        <ns0:v>1</ns0:v>
      </ns0:c>
      <ns0:c r="X255" s="74" t="str">
        <ns0:f t="shared" si="46"/>
        <ns0:v>A · Premium ativo</ns0:v>
      </ns0:c>
      <ns0:c r="Y255" s="74"/>
      <ns0:c r="Z255" s="74"/>
      <ns0:c r="AA255" s="74"/>
      <ns0:c r="AB255" s="74"/>
    </ns0:row>
    <ns0:row r="256">
      <ns0:c r="A256" s="71" t="s">
        <ns0:v>236</ns0:v>
      </ns0:c>
      <ns0:c r="B256" s="71" t="s">
        <ns0:v>265</ns0:v>
      </ns0:c>
      <ns0:c r="C256" s="71">
        <ns0:v>0</ns0:v>
      </ns0:c>
      <ns0:c r="D256" s="71" t="s">
        <ns0:v>42</ns0:v>
      </ns0:c>
      <ns0:c r="E256" s="74">
        <ns0:v>2</ns0:v>
      </ns0:c>
      <ns0:c r="F256" s="72">
        <ns0:v>69.72</ns0:v>
      </ns0:c>
      <ns0:c r="G256" s="72">
        <ns0:v>42.37</ns0:v>
      </ns0:c>
      <ns0:c r="H256" s="72">
        <ns0:v>114.86</ns0:v>
      </ns0:c>
      <ns0:c r="I256" s="73">
        <ns0:v>341000</ns0:v>
      </ns0:c>
      <ns0:c r="J256" s="71">
        <ns0:v>2026</ns0:v>
      </ns0:c>
      <ns0:c r="K256" s="73">
        <ns0:f t="shared" si="43"/>
        <ns0:v>4890.992541594951</ns0:v>
      </ns0:c>
      <ns0:c r="L256" s="73">
        <ns0:f t="shared" si="44"/>
        <ns0:v>2968.8316211039528</ns0:v>
      </ns0:c>
      <ns0:c r="M256" s="74" t="str">
        <ns0:f t="shared" si="42"/>
        <ns0:v>Ativo</ns0:v>
      </ns0:c>
      <ns0:c r="N256" s="74"/>
      <ns0:c r="O256" s="74"/>
      <ns0:c r="P256" s="77"/>
      <ns0:c r="Q256" s="74" t="s">
        <ns0:v>238</ns0:v>
      </ns0:c>
      <ns0:c r="R256" s="74"/>
      <ns0:c r="S256" s="74"/>
      <ns0:c r="T256" s="74"/>
      <ns0:c r="U256" s="74"/>
      <ns0:c r="V256" s="74"/>
      <ns0:c r="W256" s="76">
        <ns0:f t="shared" si="45"/>
        <ns0:v>1</ns0:v>
      </ns0:c>
      <ns0:c r="X256" s="74" t="str">
        <ns0:f t="shared" si="46"/>
        <ns0:v>A · Premium ativo</ns0:v>
      </ns0:c>
      <ns0:c r="Y256" s="74"/>
      <ns0:c r="Z256" s="74"/>
      <ns0:c r="AA256" s="74"/>
      <ns0:c r="AB256" s="74"/>
    </ns0:row>
    <ns0:row r="257">
      <ns0:c r="A257" s="71" t="s">
        <ns0:v>236</ns0:v>
      </ns0:c>
      <ns0:c r="B257" s="71" t="s">
        <ns0:v>266</ns0:v>
      </ns0:c>
      <ns0:c r="C257" s="71">
        <ns0:v>1</ns0:v>
      </ns0:c>
      <ns0:c r="D257" s="71" t="s">
        <ns0:v>64</ns0:v>
      </ns0:c>
      <ns0:c r="E257" s="74">
        <ns0:v>2</ns0:v>
      </ns0:c>
      <ns0:c r="F257" s="72">
        <ns0:v>125.2</ns0:v>
      </ns0:c>
      <ns0:c r="G257" s="72">
        <ns0:v>36.85</ns0:v>
      </ns0:c>
      <ns0:c r="H257" s="72">
        <ns0:v>170.75</ns0:v>
      </ns0:c>
      <ns0:c r="I257" s="73">
        <ns0:v>573000</ns0:v>
      </ns0:c>
      <ns0:c r="J257" s="71">
        <ns0:v>2026</ns0:v>
      </ns0:c>
      <ns0:c r="K257" s="73">
        <ns0:f t="shared" si="43"/>
        <ns0:v>4576.6773162939298</ns0:v>
      </ns0:c>
      <ns0:c r="L257" s="73">
        <ns0:f t="shared" si="44"/>
        <ns0:v>3355.7833089311857</ns0:v>
      </ns0:c>
      <ns0:c r="M257" s="74" t="str">
        <ns0:f t="shared" si="42"/>
        <ns0:v>Ativo</ns0:v>
      </ns0:c>
      <ns0:c r="N257" s="74"/>
      <ns0:c r="O257" s="74"/>
      <ns0:c r="P257" s="77"/>
      <ns0:c r="Q257" s="74" t="s">
        <ns0:v>238</ns0:v>
      </ns0:c>
      <ns0:c r="R257" s="74"/>
      <ns0:c r="S257" s="74"/>
      <ns0:c r="T257" s="74"/>
      <ns0:c r="U257" s="74"/>
      <ns0:c r="V257" s="74"/>
      <ns0:c r="W257" s="76">
        <ns0:f t="shared" si="45"/>
        <ns0:v>1</ns0:v>
      </ns0:c>
      <ns0:c r="X257" s="74" t="str">
        <ns0:f t="shared" si="46"/>
        <ns0:v>A · Premium ativo</ns0:v>
      </ns0:c>
      <ns0:c r="Y257" s="74"/>
      <ns0:c r="Z257" s="74"/>
      <ns0:c r="AA257" s="74"/>
      <ns0:c r="AB257" s="74"/>
    </ns0:row>
    <ns0:row r="258">
      <ns0:c r="A258" s="71" t="s">
        <ns0:v>236</ns0:v>
      </ns0:c>
      <ns0:c r="B258" s="71" t="s">
        <ns0:v>267</ns0:v>
      </ns0:c>
      <ns0:c r="C258" s="71">
        <ns0:v>1</ns0:v>
      </ns0:c>
      <ns0:c r="D258" s="71" t="s">
        <ns0:v>31</ns0:v>
      </ns0:c>
      <ns0:c r="E258" s="74">
        <ns0:v>2</ns0:v>
      </ns0:c>
      <ns0:c r="F258" s="72">
        <ns0:v>86.2</ns0:v>
      </ns0:c>
      <ns0:c r="G258" s="72">
        <ns0:v>24.33</ns0:v>
      </ns0:c>
      <ns0:c r="H258" s="72">
        <ns0:v>113.23</ns0:v>
      </ns0:c>
      <ns0:c r="I258" s="73">
        <ns0:v>450000</ns0:v>
      </ns0:c>
      <ns0:c r="J258" s="71">
        <ns0:v>2026</ns0:v>
      </ns0:c>
      <ns0:c r="K258" s="73">
        <ns0:f t="shared" si="43"/>
        <ns0:v>5220.4176334106724</ns0:v>
      </ns0:c>
      <ns0:c r="L258" s="73">
        <ns0:f t="shared" si="44"/>
        <ns0:v>3974.211781330036</ns0:v>
      </ns0:c>
      <ns0:c r="M258" s="74" t="str">
        <ns0:f t="shared" si="42"/>
        <ns0:v>Ativo</ns0:v>
      </ns0:c>
      <ns0:c r="N258" s="74"/>
      <ns0:c r="O258" s="74"/>
      <ns0:c r="P258" s="77"/>
      <ns0:c r="Q258" s="74" t="s">
        <ns0:v>238</ns0:v>
      </ns0:c>
      <ns0:c r="R258" s="74"/>
      <ns0:c r="S258" s="74"/>
      <ns0:c r="T258" s="74"/>
      <ns0:c r="U258" s="74"/>
      <ns0:c r="V258" s="74"/>
      <ns0:c r="W258" s="76">
        <ns0:f t="shared" si="45"/>
        <ns0:v>1</ns0:v>
      </ns0:c>
      <ns0:c r="X258" s="74" t="str">
        <ns0:f t="shared" si="46"/>
        <ns0:v>A · Premium ativo</ns0:v>
      </ns0:c>
      <ns0:c r="Y258" s="74"/>
      <ns0:c r="Z258" s="74"/>
      <ns0:c r="AA258" s="74"/>
      <ns0:c r="AB258" s="74"/>
    </ns0:row>
    <ns0:row r="259">
      <ns0:c r="A259" s="71" t="s">
        <ns0:v>236</ns0:v>
      </ns0:c>
      <ns0:c r="B259" s="71" t="s">
        <ns0:v>268</ns0:v>
      </ns0:c>
      <ns0:c r="C259" s="71">
        <ns0:v>2</ns0:v>
      </ns0:c>
      <ns0:c r="D259" s="71" t="s">
        <ns0:v>64</ns0:v>
      </ns0:c>
      <ns0:c r="E259" s="74">
        <ns0:v>2</ns0:v>
      </ns0:c>
      <ns0:c r="F259" s="72">
        <ns0:v>125.2</ns0:v>
      </ns0:c>
      <ns0:c r="G259" s="72">
        <ns0:v>37.46</ns0:v>
      </ns0:c>
      <ns0:c r="H259" s="72">
        <ns0:v>168.28</ns0:v>
      </ns0:c>
      <ns0:c r="I259" s="73">
        <ns0:v>589000</ns0:v>
      </ns0:c>
      <ns0:c r="J259" s="71">
        <ns0:v>2026</ns0:v>
      </ns0:c>
      <ns0:c r="K259" s="73">
        <ns0:f t="shared" si="43"/>
        <ns0:v>4704.4728434504796</ns0:v>
      </ns0:c>
      <ns0:c r="L259" s="73">
        <ns0:f t="shared" si="44"/>
        <ns0:v>3500.1188495364868</ns0:v>
      </ns0:c>
      <ns0:c r="M259" s="74" t="str">
        <ns0:f t="shared" si="42"/>
        <ns0:v>Ativo</ns0:v>
      </ns0:c>
      <ns0:c r="N259" s="74"/>
      <ns0:c r="O259" s="74"/>
      <ns0:c r="P259" s="77"/>
      <ns0:c r="Q259" s="74" t="s">
        <ns0:v>238</ns0:v>
      </ns0:c>
      <ns0:c r="R259" s="74"/>
      <ns0:c r="S259" s="74"/>
      <ns0:c r="T259" s="74"/>
      <ns0:c r="U259" s="74"/>
      <ns0:c r="V259" s="74"/>
      <ns0:c r="W259" s="76">
        <ns0:f t="shared" si="45"/>
        <ns0:v>1</ns0:v>
      </ns0:c>
      <ns0:c r="X259" s="74" t="str">
        <ns0:f t="shared" si="46"/>
        <ns0:v>A · Premium ativo</ns0:v>
      </ns0:c>
      <ns0:c r="Y259" s="74"/>
      <ns0:c r="Z259" s="74"/>
      <ns0:c r="AA259" s="74"/>
      <ns0:c r="AB259" s="74"/>
    </ns0:row>
    <ns0:row r="260">
      <ns0:c r="A260" s="71" t="s">
        <ns0:v>236</ns0:v>
      </ns0:c>
      <ns0:c r="B260" s="71" t="s">
        <ns0:v>269</ns0:v>
      </ns0:c>
      <ns0:c r="C260" s="71">
        <ns0:v>2</ns0:v>
      </ns0:c>
      <ns0:c r="D260" s="71" t="s">
        <ns0:v>31</ns0:v>
      </ns0:c>
      <ns0:c r="E260" s="74">
        <ns0:v>2</ns0:v>
      </ns0:c>
      <ns0:c r="F260" s="72">
        <ns0:v>86.2</ns0:v>
      </ns0:c>
      <ns0:c r="G260" s="72">
        <ns0:v>23.77</ns0:v>
      </ns0:c>
      <ns0:c r="H260" s="72">
        <ns0:v>112.67</ns0:v>
      </ns0:c>
      <ns0:c r="I260" s="73">
        <ns0:v>464000</ns0:v>
      </ns0:c>
      <ns0:c r="J260" s="71">
        <ns0:v>2026</ns0:v>
      </ns0:c>
      <ns0:c r="K260" s="73">
        <ns0:f t="shared" si="43"/>
        <ns0:v>5382.8306264501161</ns0:v>
      </ns0:c>
      <ns0:c r="L260" s="73">
        <ns0:f t="shared" si="44"/>
        <ns0:v>4118.2213543977987</ns0:v>
      </ns0:c>
      <ns0:c r="M260" s="74" t="str">
        <ns0:f t="shared" si="42"/>
        <ns0:v>Ativo</ns0:v>
      </ns0:c>
      <ns0:c r="N260" s="74"/>
      <ns0:c r="O260" s="74"/>
      <ns0:c r="P260" s="77"/>
      <ns0:c r="Q260" s="74" t="s">
        <ns0:v>238</ns0:v>
      </ns0:c>
      <ns0:c r="R260" s="74"/>
      <ns0:c r="S260" s="74"/>
      <ns0:c r="T260" s="74"/>
      <ns0:c r="U260" s="74"/>
      <ns0:c r="V260" s="74"/>
      <ns0:c r="W260" s="76">
        <ns0:f t="shared" si="45"/>
        <ns0:v>1</ns0:v>
      </ns0:c>
      <ns0:c r="X260" s="74" t="str">
        <ns0:f t="shared" si="46"/>
        <ns0:v>A · Premium ativo</ns0:v>
      </ns0:c>
      <ns0:c r="Y260" s="74"/>
      <ns0:c r="Z260" s="74"/>
      <ns0:c r="AA260" s="74"/>
      <ns0:c r="AB260" s="74"/>
    </ns0:row>
    <ns0:row r="261">
      <ns0:c r="A261" s="71" t="s">
        <ns0:v>236</ns0:v>
      </ns0:c>
      <ns0:c r="B261" s="71" t="s">
        <ns0:v>270</ns0:v>
      </ns0:c>
      <ns0:c r="C261" s="71">
        <ns0:v>3</ns0:v>
      </ns0:c>
      <ns0:c r="D261" s="71" t="s">
        <ns0:v>64</ns0:v>
      </ns0:c>
      <ns0:c r="E261" s="74">
        <ns0:v>2</ns0:v>
      </ns0:c>
      <ns0:c r="F261" s="72">
        <ns0:v>125.2</ns0:v>
      </ns0:c>
      <ns0:c r="G261" s="72">
        <ns0:v>36.85</ns0:v>
      </ns0:c>
      <ns0:c r="H261" s="72">
        <ns0:v>176.85</ns0:v>
      </ns0:c>
      <ns0:c r="I261" s="73">
        <ns0:v>605000</ns0:v>
      </ns0:c>
      <ns0:c r="J261" s="71">
        <ns0:v>2026</ns0:v>
      </ns0:c>
      <ns0:c r="K261" s="73">
        <ns0:f t="shared" si="43"/>
        <ns0:v>4832.2683706070284</ns0:v>
      </ns0:c>
      <ns0:c r="L261" s="73">
        <ns0:f t="shared" si="44"/>
        <ns0:v>3420.9782301385358</ns0:v>
      </ns0:c>
      <ns0:c r="M261" s="74" t="str">
        <ns0:f t="shared" si="42"/>
        <ns0:v>Ativo</ns0:v>
      </ns0:c>
      <ns0:c r="N261" s="74"/>
      <ns0:c r="O261" s="74"/>
      <ns0:c r="P261" s="77"/>
      <ns0:c r="Q261" s="74" t="s">
        <ns0:v>238</ns0:v>
      </ns0:c>
      <ns0:c r="R261" s="74"/>
      <ns0:c r="S261" s="74"/>
      <ns0:c r="T261" s="74"/>
      <ns0:c r="U261" s="74"/>
      <ns0:c r="V261" s="74"/>
      <ns0:c r="W261" s="76">
        <ns0:f t="shared" si="45"/>
        <ns0:v>1</ns0:v>
      </ns0:c>
      <ns0:c r="X261" s="74" t="str">
        <ns0:f t="shared" si="46"/>
        <ns0:v>A · Premium ativo</ns0:v>
      </ns0:c>
      <ns0:c r="Y261" s="74"/>
      <ns0:c r="Z261" s="74"/>
      <ns0:c r="AA261" s="74"/>
      <ns0:c r="AB261" s="74"/>
    </ns0:row>
    <ns0:row r="262">
      <ns0:c r="A262" s="71" t="s">
        <ns0:v>236</ns0:v>
      </ns0:c>
      <ns0:c r="B262" s="71" t="s">
        <ns0:v>271</ns0:v>
      </ns0:c>
      <ns0:c r="C262" s="71">
        <ns0:v>3</ns0:v>
      </ns0:c>
      <ns0:c r="D262" s="71" t="s">
        <ns0:v>31</ns0:v>
      </ns0:c>
      <ns0:c r="E262" s="74">
        <ns0:v>2</ns0:v>
      </ns0:c>
      <ns0:c r="F262" s="72">
        <ns0:v>86.2</ns0:v>
      </ns0:c>
      <ns0:c r="G262" s="72">
        <ns0:v>24.33</ns0:v>
      </ns0:c>
      <ns0:c r="H262" s="72">
        <ns0:v>113.63</ns0:v>
      </ns0:c>
      <ns0:c r="I262" s="73">
        <ns0:v>475000</ns0:v>
      </ns0:c>
      <ns0:c r="J262" s="71">
        <ns0:v>2026</ns0:v>
      </ns0:c>
      <ns0:c r="K262" s="73">
        <ns0:f t="shared" si="43"/>
        <ns0:v>5510.4408352668215</ns0:v>
      </ns0:c>
      <ns0:c r="L262" s="73">
        <ns0:f t="shared" si="44"/>
        <ns0:v>4180.234093109214</ns0:v>
      </ns0:c>
      <ns0:c r="M262" s="74" t="str">
        <ns0:f t="shared" si="42"/>
        <ns0:v>Ativo</ns0:v>
      </ns0:c>
      <ns0:c r="N262" s="74"/>
      <ns0:c r="O262" s="74"/>
      <ns0:c r="P262" s="77"/>
      <ns0:c r="Q262" s="74" t="s">
        <ns0:v>238</ns0:v>
      </ns0:c>
      <ns0:c r="R262" s="74"/>
      <ns0:c r="S262" s="74"/>
      <ns0:c r="T262" s="74"/>
      <ns0:c r="U262" s="74"/>
      <ns0:c r="V262" s="74"/>
      <ns0:c r="W262" s="76">
        <ns0:f t="shared" si="45"/>
        <ns0:v>1</ns0:v>
      </ns0:c>
      <ns0:c r="X262" s="74" t="str">
        <ns0:f t="shared" si="46"/>
        <ns0:v>A · Premium ativo</ns0:v>
      </ns0:c>
      <ns0:c r="Y262" s="74"/>
      <ns0:c r="Z262" s="74"/>
      <ns0:c r="AA262" s="74"/>
      <ns0:c r="AB262" s="74"/>
    </ns0:row>
    <ns0:row r="263">
      <ns0:c r="A263" s="71" t="s">
        <ns0:v>236</ns0:v>
      </ns0:c>
      <ns0:c r="B263" s="71" t="s">
        <ns0:v>272</ns0:v>
      </ns0:c>
      <ns0:c r="C263" s="71">
        <ns0:v>4</ns0:v>
      </ns0:c>
      <ns0:c r="D263" s="71" t="s">
        <ns0:v>64</ns0:v>
      </ns0:c>
      <ns0:c r="E263" s="74">
        <ns0:v>2</ns0:v>
      </ns0:c>
      <ns0:c r="F263" s="72">
        <ns0:v>125.2</ns0:v>
      </ns0:c>
      <ns0:c r="G263" s="72">
        <ns0:v>37.46</ns0:v>
      </ns0:c>
      <ns0:c r="H263" s="72">
        <ns0:v>168.46</ns0:v>
      </ns0:c>
      <ns0:c r="I263" s="73">
        <ns0:v>621000</ns0:v>
      </ns0:c>
      <ns0:c r="J263" s="71">
        <ns0:v>2026</ns0:v>
      </ns0:c>
      <ns0:c r="K263" s="73">
        <ns0:f t="shared" si="43"/>
        <ns0:v>4960.0638977635781</ns0:v>
      </ns0:c>
      <ns0:c r="L263" s="73">
        <ns0:f t="shared" si="44"/>
        <ns0:v>3686.3350350231508</ns0:v>
      </ns0:c>
      <ns0:c r="M263" s="74" t="str">
        <ns0:f t="shared" si="42"/>
        <ns0:v>Ativo</ns0:v>
      </ns0:c>
      <ns0:c r="N263" s="74"/>
      <ns0:c r="O263" s="74"/>
      <ns0:c r="P263" s="77"/>
      <ns0:c r="Q263" s="74" t="s">
        <ns0:v>238</ns0:v>
      </ns0:c>
      <ns0:c r="R263" s="74"/>
      <ns0:c r="S263" s="74"/>
      <ns0:c r="T263" s="74"/>
      <ns0:c r="U263" s="74"/>
      <ns0:c r="V263" s="74"/>
      <ns0:c r="W263" s="76">
        <ns0:f t="shared" si="45"/>
        <ns0:v>1</ns0:v>
      </ns0:c>
      <ns0:c r="X263" s="74" t="str">
        <ns0:f t="shared" si="46"/>
        <ns0:v>A · Premium ativo</ns0:v>
      </ns0:c>
      <ns0:c r="Y263" s="74"/>
      <ns0:c r="Z263" s="74"/>
      <ns0:c r="AA263" s="74"/>
      <ns0:c r="AB263" s="74"/>
    </ns0:row>
    <ns0:row r="264">
      <ns0:c r="A264" s="71" t="s">
        <ns0:v>236</ns0:v>
      </ns0:c>
      <ns0:c r="B264" s="71" t="s">
        <ns0:v>273</ns0:v>
      </ns0:c>
      <ns0:c r="C264" s="71">
        <ns0:v>4</ns0:v>
      </ns0:c>
      <ns0:c r="D264" s="71" t="s">
        <ns0:v>31</ns0:v>
      </ns0:c>
      <ns0:c r="E264" s="74">
        <ns0:v>2</ns0:v>
      </ns0:c>
      <ns0:c r="F264" s="72">
        <ns0:v>86.2</ns0:v>
      </ns0:c>
      <ns0:c r="G264" s="72">
        <ns0:v>23.77</ns0:v>
      </ns0:c>
      <ns0:c r="H264" s="72">
        <ns0:v>112.97</ns0:v>
      </ns0:c>
      <ns0:c r="I264" s="73">
        <ns0:v>488000</ns0:v>
      </ns0:c>
      <ns0:c r="J264" s="71">
        <ns0:v>2026</ns0:v>
      </ns0:c>
      <ns0:c r="K264" s="73">
        <ns0:f t="shared" si="43"/>
        <ns0:v>5661.252900232018</ns0:v>
      </ns0:c>
      <ns0:c r="L264" s="73">
        <ns0:f t="shared" si="44"/>
        <ns0:v>4319.7309020093835</ns0:v>
      </ns0:c>
      <ns0:c r="M264" s="74" t="str">
        <ns0:f t="shared" si="42"/>
        <ns0:v>Ativo</ns0:v>
      </ns0:c>
      <ns0:c r="N264" s="74"/>
      <ns0:c r="O264" s="74"/>
      <ns0:c r="P264" s="77"/>
      <ns0:c r="Q264" s="74" t="s">
        <ns0:v>238</ns0:v>
      </ns0:c>
      <ns0:c r="R264" s="74"/>
      <ns0:c r="S264" s="74"/>
      <ns0:c r="T264" s="74"/>
      <ns0:c r="U264" s="74"/>
      <ns0:c r="V264" s="74"/>
      <ns0:c r="W264" s="76">
        <ns0:f t="shared" si="45"/>
        <ns0:v>1</ns0:v>
      </ns0:c>
      <ns0:c r="X264" s="74" t="str">
        <ns0:f t="shared" si="46"/>
        <ns0:v>A · Premium ativo</ns0:v>
      </ns0:c>
      <ns0:c r="Y264" s="74"/>
      <ns0:c r="Z264" s="74"/>
      <ns0:c r="AA264" s="74"/>
      <ns0:c r="AB264" s="74"/>
    </ns0:row>
    <ns0:row r="265">
      <ns0:c r="A265" s="71" t="s">
        <ns0:v>236</ns0:v>
      </ns0:c>
      <ns0:c r="B265" s="71" t="s">
        <ns0:v>274</ns0:v>
      </ns0:c>
      <ns0:c r="C265" s="71">
        <ns0:v>5</ns0:v>
      </ns0:c>
      <ns0:c r="D265" s="71" t="s">
        <ns0:v>64</ns0:v>
      </ns0:c>
      <ns0:c r="E265" s="74">
        <ns0:v>2</ns0:v>
      </ns0:c>
      <ns0:c r="F265" s="72">
        <ns0:v>125.2</ns0:v>
      </ns0:c>
      <ns0:c r="G265" s="72">
        <ns0:v>184.35999999999999</ns0:v>
      </ns0:c>
      <ns0:c r="H265" s="72">
        <ns0:v>358.88</ns0:v>
      </ns0:c>
      <ns0:c r="I265" s="73">
        <ns0:v>844000</ns0:v>
      </ns0:c>
      <ns0:c r="J265" s="71">
        <ns0:v>2026</ns0:v>
      </ns0:c>
      <ns0:c r="K265" s="73">
        <ns0:f t="shared" si="43"/>
        <ns0:v>6741.2140575079875</ns0:v>
      </ns0:c>
      <ns0:c r="L265" s="73">
        <ns0:f t="shared" si="44"/>
        <ns0:v>2351.7610343290235</ns0:v>
      </ns0:c>
      <ns0:c r="M265" s="74" t="str">
        <ns0:f t="shared" si="42"/>
        <ns0:v>Ativo</ns0:v>
      </ns0:c>
      <ns0:c r="N265" s="74"/>
      <ns0:c r="O265" s="74"/>
      <ns0:c r="P265" s="77"/>
      <ns0:c r="Q265" s="74" t="s">
        <ns0:v>238</ns0:v>
      </ns0:c>
      <ns0:c r="R265" s="74"/>
      <ns0:c r="S265" s="74"/>
      <ns0:c r="T265" s="74"/>
      <ns0:c r="U265" s="74"/>
      <ns0:c r="V265" s="74"/>
      <ns0:c r="W265" s="76">
        <ns0:f t="shared" si="45"/>
        <ns0:v>1</ns0:v>
      </ns0:c>
      <ns0:c r="X265" s="74" t="str">
        <ns0:f t="shared" si="46"/>
        <ns0:v>A · Premium ativo</ns0:v>
      </ns0:c>
      <ns0:c r="Y265" s="74"/>
      <ns0:c r="Z265" s="74"/>
      <ns0:c r="AA265" s="74"/>
      <ns0:c r="AB265" s="74"/>
    </ns0:row>
    <ns0:row r="266">
      <ns0:c r="A266" s="71" t="s">
        <ns0:v>236</ns0:v>
      </ns0:c>
      <ns0:c r="B266" s="71" t="s">
        <ns0:v>275</ns0:v>
      </ns0:c>
      <ns0:c r="C266" s="71">
        <ns0:v>5</ns0:v>
      </ns0:c>
      <ns0:c r="D266" s="71" t="s">
        <ns0:v>31</ns0:v>
      </ns0:c>
      <ns0:c r="E266" s="74">
        <ns0:v>2</ns0:v>
      </ns0:c>
      <ns0:c r="F266" s="72">
        <ns0:v>86.2</ns0:v>
      </ns0:c>
      <ns0:c r="G266" s="72">
        <ns0:v>88.34</ns0:v>
      </ns0:c>
      <ns0:c r="H266" s="72">
        <ns0:v>179.13</ns0:v>
      </ns0:c>
      <ns0:c r="I266" s="73">
        <ns0:v>658000</ns0:v>
      </ns0:c>
      <ns0:c r="J266" s="71">
        <ns0:v>2026</ns0:v>
      </ns0:c>
      <ns0:c r="K266" s="73">
        <ns0:f t="shared" si="43"/>
        <ns0:v>7633.4106728538281</ns0:v>
      </ns0:c>
      <ns0:c r="L266" s="73">
        <ns0:f t="shared" si="44"/>
        <ns0:v>3673.3098866744822</ns0:v>
      </ns0:c>
      <ns0:c r="M266" s="74" t="str">
        <ns0:f t="shared" si="42"/>
        <ns0:v>Ativo</ns0:v>
      </ns0:c>
      <ns0:c r="N266" s="74"/>
      <ns0:c r="O266" s="74"/>
      <ns0:c r="P266" s="77"/>
      <ns0:c r="Q266" s="74" t="s">
        <ns0:v>238</ns0:v>
      </ns0:c>
      <ns0:c r="R266" s="74"/>
      <ns0:c r="S266" s="74"/>
      <ns0:c r="T266" s="74"/>
      <ns0:c r="U266" s="74"/>
      <ns0:c r="V266" s="74"/>
      <ns0:c r="W266" s="76">
        <ns0:f t="shared" si="45"/>
        <ns0:v>1</ns0:v>
      </ns0:c>
      <ns0:c r="X266" s="74" t="str">
        <ns0:f t="shared" si="46"/>
        <ns0:v>A · Premium ativo</ns0:v>
      </ns0:c>
      <ns0:c r="Y266" s="74"/>
      <ns0:c r="Z266" s="74"/>
      <ns0:c r="AA266" s="74"/>
      <ns0:c r="AB266" s="74"/>
    </ns0:row>
    <ns0:row r="267">
      <ns0:c r="A267" s="71" t="s">
        <ns0:v>236</ns0:v>
      </ns0:c>
      <ns0:c r="B267" s="71" t="s">
        <ns0:v>276</ns0:v>
      </ns0:c>
      <ns0:c r="C267" s="71">
        <ns0:v>0</ns0:v>
      </ns0:c>
      <ns0:c r="D267" s="71" t="s">
        <ns0:v>252</ns0:v>
      </ns0:c>
      <ns0:c r="E267" s="74">
        <ns0:v>2</ns0:v>
      </ns0:c>
      <ns0:c r="F267" s="72">
        <ns0:v>132.11000000000001</ns0:v>
      </ns0:c>
      <ns0:c r="G267" s="72">
        <ns0:v>72.98</ns0:v>
      </ns0:c>
      <ns0:c r="H267" s="72">
        <ns0:v>207.59</ns0:v>
      </ns0:c>
      <ns0:c r="I267" s="73">
        <ns0:v>647000</ns0:v>
      </ns0:c>
      <ns0:c r="J267" s="71">
        <ns0:v>2026</ns0:v>
      </ns0:c>
      <ns0:c r="K267" s="73">
        <ns0:f t="shared" si="43"/>
        <ns0:v>4897.4339565513583</ns0:v>
      </ns0:c>
      <ns0:c r="L267" s="73">
        <ns0:f t="shared" si="44"/>
        <ns0:v>3116.7204585962713</ns0:v>
      </ns0:c>
      <ns0:c r="M267" s="74" t="str">
        <ns0:f t="shared" si="42"/>
        <ns0:v>Ativo</ns0:v>
      </ns0:c>
      <ns0:c r="N267" s="74"/>
      <ns0:c r="O267" s="74"/>
      <ns0:c r="P267" s="77"/>
      <ns0:c r="Q267" s="74" t="s">
        <ns0:v>238</ns0:v>
      </ns0:c>
      <ns0:c r="R267" s="74"/>
      <ns0:c r="S267" s="74"/>
      <ns0:c r="T267" s="74"/>
      <ns0:c r="U267" s="74"/>
      <ns0:c r="V267" s="74"/>
      <ns0:c r="W267" s="76">
        <ns0:f t="shared" si="45"/>
        <ns0:v>1</ns0:v>
      </ns0:c>
      <ns0:c r="X267" s="74" t="str">
        <ns0:f t="shared" si="46"/>
        <ns0:v>A · Premium ativo</ns0:v>
      </ns0:c>
      <ns0:c r="Y267" s="74"/>
      <ns0:c r="Z267" s="74"/>
      <ns0:c r="AA267" s="74"/>
      <ns0:c r="AB267" s="74"/>
    </ns0:row>
    <ns0:row r="268">
      <ns0:c r="A268" s="71" t="s">
        <ns0:v>236</ns0:v>
      </ns0:c>
      <ns0:c r="B268" s="71" t="s">
        <ns0:v>277</ns0:v>
      </ns0:c>
      <ns0:c r="C268" s="71">
        <ns0:v>0</ns0:v>
      </ns0:c>
      <ns0:c r="D268" s="71" t="s">
        <ns0:v>31</ns0:v>
      </ns0:c>
      <ns0:c r="E268" s="74">
        <ns0:v>2</ns0:v>
      </ns0:c>
      <ns0:c r="F268" s="72">
        <ns0:v>104.85</ns0:v>
      </ns0:c>
      <ns0:c r="G268" s="72" t="n">
        <ns0:f>16.63+26.18</ns0:f>
        <ns0:v>42.81</ns0:v>
      </ns0:c>
      <ns0:c r="H268" s="72">
        <ns0:v>150.56</ns0:v>
      </ns0:c>
      <ns0:c r="I268" s="73">
        <ns0:v>504000</ns0:v>
      </ns0:c>
      <ns0:c r="J268" s="71">
        <ns0:v>2026</ns0:v>
      </ns0:c>
      <ns0:c r="K268" s="73">
        <ns0:f t="shared" si="43"/>
        <ns0:v>4806.8669527897</ns0:v>
      </ns0:c>
      <ns0:c r="L268" s="73">
        <ns0:f t="shared" si="44"/>
        <ns0:v>3347.5026567481405</ns0:v>
      </ns0:c>
      <ns0:c r="M268" s="74" t="str">
        <ns0:f t="shared" si="42"/>
        <ns0:v>Ativo</ns0:v>
      </ns0:c>
      <ns0:c r="N268" s="74"/>
      <ns0:c r="O268" s="74"/>
      <ns0:c r="P268" s="77"/>
      <ns0:c r="Q268" s="74" t="s">
        <ns0:v>238</ns0:v>
      </ns0:c>
      <ns0:c r="R268" s="74"/>
      <ns0:c r="S268" s="74"/>
      <ns0:c r="T268" s="74"/>
      <ns0:c r="U268" s="74"/>
      <ns0:c r="V268" s="74"/>
      <ns0:c r="W268" s="76">
        <ns0:f t="shared" si="45"/>
        <ns0:v>1</ns0:v>
      </ns0:c>
      <ns0:c r="X268" s="74" t="str">
        <ns0:f t="shared" si="46"/>
        <ns0:v>A · Premium ativo</ns0:v>
      </ns0:c>
      <ns0:c r="Y268" s="74"/>
      <ns0:c r="Z268" s="74"/>
      <ns0:c r="AA268" s="74"/>
      <ns0:c r="AB268" s="74"/>
    </ns0:row>
    <ns0:row r="269">
      <ns0:c r="A269" s="71" t="s">
        <ns0:v>236</ns0:v>
      </ns0:c>
      <ns0:c r="B269" s="71" t="s">
        <ns0:v>278</ns0:v>
      </ns0:c>
      <ns0:c r="C269" s="71">
        <ns0:v>1</ns0:v>
      </ns0:c>
      <ns0:c r="D269" s="71" t="s">
        <ns0:v>252</ns0:v>
      </ns0:c>
      <ns0:c r="E269" s="74">
        <ns0:v>2</ns0:v>
      </ns0:c>
      <ns0:c r="F269" s="72">
        <ns0:v>134.34</ns0:v>
      </ns0:c>
      <ns0:c r="G269" s="72">
        <ns0:v>47.17</ns0:v>
      </ns0:c>
      <ns0:c r="H269" s="72">
        <ns0:v>185.61</ns0:v>
      </ns0:c>
      <ns0:c r="I269" s="73">
        <ns0:v>652000</ns0:v>
      </ns0:c>
      <ns0:c r="J269" s="71">
        <ns0:v>2026</ns0:v>
      </ns0:c>
      <ns0:c r="K269" s="73">
        <ns0:f t="shared" si="43"/>
        <ns0:v>4853.3571534911416</ns0:v>
      </ns0:c>
      <ns0:c r="L269" s="73">
        <ns0:f t="shared" si="44"/>
        <ns0:v>3512.741770378751</ns0:v>
      </ns0:c>
      <ns0:c r="M269" s="74" t="str">
        <ns0:f t="shared" si="42"/>
        <ns0:v>Ativo</ns0:v>
      </ns0:c>
      <ns0:c r="N269" s="74"/>
      <ns0:c r="O269" s="74"/>
      <ns0:c r="P269" s="77"/>
      <ns0:c r="Q269" s="74" t="s">
        <ns0:v>238</ns0:v>
      </ns0:c>
      <ns0:c r="R269" s="74"/>
      <ns0:c r="S269" s="74"/>
      <ns0:c r="T269" s="74"/>
      <ns0:c r="U269" s="74"/>
      <ns0:c r="V269" s="74"/>
      <ns0:c r="W269" s="76">
        <ns0:f t="shared" si="45"/>
        <ns0:v>1</ns0:v>
      </ns0:c>
      <ns0:c r="X269" s="74" t="str">
        <ns0:f t="shared" si="46"/>
        <ns0:v>A · Premium ativo</ns0:v>
      </ns0:c>
      <ns0:c r="Y269" s="74"/>
      <ns0:c r="Z269" s="74"/>
      <ns0:c r="AA269" s="74"/>
      <ns0:c r="AB269" s="74"/>
    </ns0:row>
    <ns0:row r="270">
      <ns0:c r="A270" s="71" t="s">
        <ns0:v>236</ns0:v>
      </ns0:c>
      <ns0:c r="B270" s="71" t="s">
        <ns0:v>279</ns0:v>
      </ns0:c>
      <ns0:c r="C270" s="71">
        <ns0:v>1</ns0:v>
      </ns0:c>
      <ns0:c r="D270" s="71" t="s">
        <ns0:v>42</ns0:v>
      </ns0:c>
      <ns0:c r="E270" s="74">
        <ns0:v>2</ns0:v>
      </ns0:c>
      <ns0:c r="F270" s="72">
        <ns0:v>59.63</ns0:v>
      </ns0:c>
      <ns0:c r="G270" s="72">
        <ns0:v>15.97</ns0:v>
      </ns0:c>
      <ns0:c r="H270" s="72">
        <ns0:v>78.5</ns0:v>
      </ns0:c>
      <ns0:c r="I270" s="73">
        <ns0:v>329000</ns0:v>
      </ns0:c>
      <ns0:c r="J270" s="71">
        <ns0:v>2026</ns0:v>
      </ns0:c>
      <ns0:c r="K270" s="73">
        <ns0:f t="shared" si="43"/>
        <ns0:v>5517.357035049472</ns0:v>
      </ns0:c>
      <ns0:c r="L270" s="73">
        <ns0:f t="shared" si="44"/>
        <ns0:v>4191.0828025477704</ns0:v>
      </ns0:c>
      <ns0:c r="M270" s="74" t="str">
        <ns0:f t="shared" si="42"/>
        <ns0:v>Ativo</ns0:v>
      </ns0:c>
      <ns0:c r="N270" s="74"/>
      <ns0:c r="O270" s="74"/>
      <ns0:c r="P270" s="77"/>
      <ns0:c r="Q270" s="74" t="s">
        <ns0:v>238</ns0:v>
      </ns0:c>
      <ns0:c r="R270" s="74"/>
      <ns0:c r="S270" s="74"/>
      <ns0:c r="T270" s="74"/>
      <ns0:c r="U270" s="74"/>
      <ns0:c r="V270" s="74"/>
      <ns0:c r="W270" s="76">
        <ns0:f t="shared" si="45"/>
        <ns0:v>1</ns0:v>
      </ns0:c>
      <ns0:c r="X270" s="74" t="str">
        <ns0:f t="shared" si="46"/>
        <ns0:v>A · Premium ativo</ns0:v>
      </ns0:c>
      <ns0:c r="Y270" s="74"/>
      <ns0:c r="Z270" s="74"/>
      <ns0:c r="AA270" s="74"/>
      <ns0:c r="AB270" s="74"/>
    </ns0:row>
    <ns0:row r="271">
      <ns0:c r="A271" s="71" t="s">
        <ns0:v>236</ns0:v>
      </ns0:c>
      <ns0:c r="B271" s="71" t="s">
        <ns0:v>280</ns0:v>
      </ns0:c>
      <ns0:c r="C271" s="71">
        <ns0:v>1</ns0:v>
      </ns0:c>
      <ns0:c r="D271" s="71" t="s">
        <ns0:v>42</ns0:v>
      </ns0:c>
      <ns0:c r="E271" s="74">
        <ns0:v>2</ns0:v>
      </ns0:c>
      <ns0:c r="F271" s="72">
        <ns0:v>62.96</ns0:v>
      </ns0:c>
      <ns0:c r="G271" s="72">
        <ns0:v>16.079999999999998</ns0:v>
      </ns0:c>
      <ns0:c r="H271" s="72">
        <ns0:v>81.64</ns0:v>
      </ns0:c>
      <ns0:c r="I271" s="73">
        <ns0:v>331000</ns0:v>
      </ns0:c>
      <ns0:c r="J271" s="71">
        <ns0:v>2026</ns0:v>
      </ns0:c>
      <ns0:c r="K271" s="73">
        <ns0:f t="shared" si="43"/>
        <ns0:v>5257.3062261753494</ns0:v>
      </ns0:c>
      <ns0:c r="L271" s="73">
        <ns0:f t="shared" si="44"/>
        <ns0:v>4054.3851053405192</ns0:v>
      </ns0:c>
      <ns0:c r="M271" s="74" t="str">
        <ns0:f t="shared" si="42"/>
        <ns0:v>Ativo</ns0:v>
      </ns0:c>
      <ns0:c r="N271" s="74"/>
      <ns0:c r="O271" s="74"/>
      <ns0:c r="P271" s="77"/>
      <ns0:c r="Q271" s="74" t="s">
        <ns0:v>238</ns0:v>
      </ns0:c>
      <ns0:c r="R271" s="74"/>
      <ns0:c r="S271" s="74"/>
      <ns0:c r="T271" s="74"/>
      <ns0:c r="U271" s="74"/>
      <ns0:c r="V271" s="74"/>
      <ns0:c r="W271" s="76">
        <ns0:f t="shared" si="45"/>
        <ns0:v>1</ns0:v>
      </ns0:c>
      <ns0:c r="X271" s="74" t="str">
        <ns0:f t="shared" si="46"/>
        <ns0:v>A · Premium ativo</ns0:v>
      </ns0:c>
      <ns0:c r="Y271" s="74"/>
      <ns0:c r="Z271" s="74"/>
      <ns0:c r="AA271" s="74"/>
      <ns0:c r="AB271" s="74"/>
    </ns0:row>
    <ns0:row r="272">
      <ns0:c r="A272" s="71" t="s">
        <ns0:v>236</ns0:v>
      </ns0:c>
      <ns0:c r="B272" s="71" t="s">
        <ns0:v>281</ns0:v>
      </ns0:c>
      <ns0:c r="C272" s="71">
        <ns0:v>2</ns0:v>
      </ns0:c>
      <ns0:c r="D272" s="71" t="s">
        <ns0:v>252</ns0:v>
      </ns0:c>
      <ns0:c r="E272" s="74">
        <ns0:v>2</ns0:v>
      </ns0:c>
      <ns0:c r="F272" s="72">
        <ns0:v>134.34</ns0:v>
      </ns0:c>
      <ns0:c r="G272" s="72">
        <ns0:v>46.65</ns0:v>
      </ns0:c>
      <ns0:c r="H272" s="72">
        <ns0:v>183.39</ns0:v>
      </ns0:c>
      <ns0:c r="I272" s="73">
        <ns0:v>668000</ns0:v>
      </ns0:c>
      <ns0:c r="J272" s="71">
        <ns0:v>2026</ns0:v>
      </ns0:c>
      <ns0:c r="K272" s="73">
        <ns0:f t="shared" si="43"/>
        <ns0:v>4972.4579425338688</ns0:v>
      </ns0:c>
      <ns0:c r="L272" s="73">
        <ns0:f t="shared" si="44"/>
        <ns0:v>3642.5104967555485</ns0:v>
      </ns0:c>
      <ns0:c r="M272" s="74" t="str">
        <ns0:f t="shared" si="42"/>
        <ns0:v>Ativo</ns0:v>
      </ns0:c>
      <ns0:c r="N272" s="74"/>
      <ns0:c r="O272" s="74"/>
      <ns0:c r="P272" s="77"/>
      <ns0:c r="Q272" s="74" t="s">
        <ns0:v>238</ns0:v>
      </ns0:c>
      <ns0:c r="R272" s="74"/>
      <ns0:c r="S272" s="74"/>
      <ns0:c r="T272" s="74"/>
      <ns0:c r="U272" s="74"/>
      <ns0:c r="V272" s="74"/>
      <ns0:c r="W272" s="76">
        <ns0:f t="shared" si="45"/>
        <ns0:v>1</ns0:v>
      </ns0:c>
      <ns0:c r="X272" s="74" t="str">
        <ns0:f t="shared" si="46"/>
        <ns0:v>A · Premium ativo</ns0:v>
      </ns0:c>
      <ns0:c r="Y272" s="74"/>
      <ns0:c r="Z272" s="74"/>
      <ns0:c r="AA272" s="74"/>
      <ns0:c r="AB272" s="74"/>
    </ns0:row>
    <ns0:row r="273">
      <ns0:c r="A273" s="71" t="s">
        <ns0:v>236</ns0:v>
      </ns0:c>
      <ns0:c r="B273" s="71" t="s">
        <ns0:v>282</ns0:v>
      </ns0:c>
      <ns0:c r="C273" s="71">
        <ns0:v>2</ns0:v>
      </ns0:c>
      <ns0:c r="D273" s="71" t="s">
        <ns0:v>42</ns0:v>
      </ns0:c>
      <ns0:c r="E273" s="74">
        <ns0:v>2</ns0:v>
      </ns0:c>
      <ns0:c r="F273" s="72">
        <ns0:v>59.93</ns0:v>
      </ns0:c>
      <ns0:c r="G273" s="72">
        <ns0:v>16.649999999999999</ns0:v>
      </ns0:c>
      <ns0:c r="H273" s="72">
        <ns0:v>79.08</ns0:v>
      </ns0:c>
      <ns0:c r="I273" s="73">
        <ns0:v>335000</ns0:v>
      </ns0:c>
      <ns0:c r="J273" s="71">
        <ns0:v>2026</ns0:v>
      </ns0:c>
      <ns0:c r="K273" s="73">
        <ns0:f t="shared" si="43"/>
        <ns0:v>5589.8548306357416</ns0:v>
      </ns0:c>
      <ns0:c r="L273" s="73">
        <ns0:f t="shared" si="44"/>
        <ns0:v>4236.216489630754</ns0:v>
      </ns0:c>
      <ns0:c r="M273" s="74" t="str">
        <ns0:f t="shared" si="42"/>
        <ns0:v>Ativo</ns0:v>
      </ns0:c>
      <ns0:c r="N273" s="74"/>
      <ns0:c r="O273" s="74"/>
      <ns0:c r="P273" s="77"/>
      <ns0:c r="Q273" s="74" t="s">
        <ns0:v>238</ns0:v>
      </ns0:c>
      <ns0:c r="R273" s="74"/>
      <ns0:c r="S273" s="74"/>
      <ns0:c r="T273" s="74"/>
      <ns0:c r="U273" s="74"/>
      <ns0:c r="V273" s="74"/>
      <ns0:c r="W273" s="76">
        <ns0:f t="shared" si="45"/>
        <ns0:v>1</ns0:v>
      </ns0:c>
      <ns0:c r="X273" s="74" t="str">
        <ns0:f t="shared" si="46"/>
        <ns0:v>A · Premium ativo</ns0:v>
      </ns0:c>
      <ns0:c r="Y273" s="74"/>
      <ns0:c r="Z273" s="74"/>
      <ns0:c r="AA273" s="74"/>
      <ns0:c r="AB273" s="74"/>
    </ns0:row>
    <ns0:row r="274">
      <ns0:c r="A274" s="71" t="s">
        <ns0:v>236</ns0:v>
      </ns0:c>
      <ns0:c r="B274" s="71" t="s">
        <ns0:v>283</ns0:v>
      </ns0:c>
      <ns0:c r="C274" s="71">
        <ns0:v>2</ns0:v>
      </ns0:c>
      <ns0:c r="D274" s="71" t="s">
        <ns0:v>42</ns0:v>
      </ns0:c>
      <ns0:c r="E274" s="74">
        <ns0:v>2</ns0:v>
      </ns0:c>
      <ns0:c r="F274" s="72">
        <ns0:v>62.96</ns0:v>
      </ns0:c>
      <ns0:c r="G274" s="72">
        <ns0:v>16.079999999999998</ns0:v>
      </ns0:c>
      <ns0:c r="H274" s="72">
        <ns0:v>81.94</ns0:v>
      </ns0:c>
      <ns0:c r="I274" s="73">
        <ns0:v>347000</ns0:v>
      </ns0:c>
      <ns0:c r="J274" s="71">
        <ns0:v>2026</ns0:v>
      </ns0:c>
      <ns0:c r="K274" s="73">
        <ns0:f t="shared" si="43"/>
        <ns0:v>5511.4358322744602</ns0:v>
      </ns0:c>
      <ns0:c r="L274" s="73">
        <ns0:f t="shared" si="44"/>
        <ns0:v>4234.8059555772516</ns0:v>
      </ns0:c>
      <ns0:c r="M274" s="74" t="str">
        <ns0:f t="shared" si="42"/>
        <ns0:v>Ativo</ns0:v>
      </ns0:c>
      <ns0:c r="N274" s="74"/>
      <ns0:c r="O274" s="74"/>
      <ns0:c r="P274" s="77"/>
      <ns0:c r="Q274" s="74" t="s">
        <ns0:v>238</ns0:v>
      </ns0:c>
      <ns0:c r="R274" s="74"/>
      <ns0:c r="S274" s="74"/>
      <ns0:c r="T274" s="74"/>
      <ns0:c r="U274" s="74"/>
      <ns0:c r="V274" s="74"/>
      <ns0:c r="W274" s="76">
        <ns0:f t="shared" si="45"/>
        <ns0:v>1</ns0:v>
      </ns0:c>
      <ns0:c r="X274" s="74" t="str">
        <ns0:f t="shared" si="46"/>
        <ns0:v>A · Premium ativo</ns0:v>
      </ns0:c>
      <ns0:c r="Y274" s="74"/>
      <ns0:c r="Z274" s="74"/>
      <ns0:c r="AA274" s="74"/>
      <ns0:c r="AB274" s="74"/>
    </ns0:row>
    <ns0:row r="275">
      <ns0:c r="A275" s="71" t="s">
        <ns0:v>236</ns0:v>
      </ns0:c>
      <ns0:c r="B275" s="71" t="s">
        <ns0:v>284</ns0:v>
      </ns0:c>
      <ns0:c r="C275" s="71">
        <ns0:v>3</ns0:v>
      </ns0:c>
      <ns0:c r="D275" s="71" t="s">
        <ns0:v>252</ns0:v>
      </ns0:c>
      <ns0:c r="E275" s="74">
        <ns0:v>2</ns0:v>
      </ns0:c>
      <ns0:c r="F275" s="72">
        <ns0:v>134.34</ns0:v>
      </ns0:c>
      <ns0:c r="G275" s="72">
        <ns0:v>47.17</ns0:v>
      </ns0:c>
      <ns0:c r="H275" s="72">
        <ns0:v>224.11</ns0:v>
      </ns0:c>
      <ns0:c r="I275" s="73">
        <ns0:v>700000</ns0:v>
      </ns0:c>
      <ns0:c r="J275" s="71">
        <ns0:v>2026</ns0:v>
      </ns0:c>
      <ns0:c r="K275" s="73">
        <ns0:f t="shared" si="43"/>
        <ns0:v>5210.6595206193242</ns0:v>
      </ns0:c>
      <ns0:c r="L275" s="73">
        <ns0:f t="shared" si="44"/>
        <ns0:v>3123.4661550131632</ns0:v>
      </ns0:c>
      <ns0:c r="M275" s="74" t="str">
        <ns0:f t="shared" si="42"/>
        <ns0:v>Ativo</ns0:v>
      </ns0:c>
      <ns0:c r="N275" s="74"/>
      <ns0:c r="O275" s="74"/>
      <ns0:c r="P275" s="77"/>
      <ns0:c r="Q275" s="74" t="s">
        <ns0:v>238</ns0:v>
      </ns0:c>
      <ns0:c r="R275" s="74"/>
      <ns0:c r="S275" s="74"/>
      <ns0:c r="T275" s="74"/>
      <ns0:c r="U275" s="74"/>
      <ns0:c r="V275" s="74"/>
      <ns0:c r="W275" s="76">
        <ns0:f t="shared" si="45"/>
        <ns0:v>1</ns0:v>
      </ns0:c>
      <ns0:c r="X275" s="74" t="str">
        <ns0:f t="shared" si="46"/>
        <ns0:v>A · Premium ativo</ns0:v>
      </ns0:c>
      <ns0:c r="Y275" s="74"/>
      <ns0:c r="Z275" s="74"/>
      <ns0:c r="AA275" s="74"/>
      <ns0:c r="AB275" s="74"/>
    </ns0:row>
    <ns0:row r="276">
      <ns0:c r="A276" s="71" t="s">
        <ns0:v>236</ns0:v>
      </ns0:c>
      <ns0:c r="B276" s="71" t="s">
        <ns0:v>285</ns0:v>
      </ns0:c>
      <ns0:c r="C276" s="71">
        <ns0:v>3</ns0:v>
      </ns0:c>
      <ns0:c r="D276" s="71" t="s">
        <ns0:v>42</ns0:v>
      </ns0:c>
      <ns0:c r="E276" s="74">
        <ns0:v>2</ns0:v>
      </ns0:c>
      <ns0:c r="F276" s="72">
        <ns0:v>59.63</ns0:v>
      </ns0:c>
      <ns0:c r="G276" s="72">
        <ns0:v>15.97</ns0:v>
      </ns0:c>
      <ns0:c r="H276" s="72">
        <ns0:v>78</ns0:v>
      </ns0:c>
      <ns0:c r="I276" s="73">
        <ns0:v>345000</ns0:v>
      </ns0:c>
      <ns0:c r="J276" s="71">
        <ns0:v>2026</ns0:v>
      </ns0:c>
      <ns0:c r="K276" s="73">
        <ns0:f t="shared" si="43"/>
        <ns0:v>5785.6783498239138</ns0:v>
      </ns0:c>
      <ns0:c r="L276" s="73">
        <ns0:f t="shared" si="44"/>
        <ns0:v>4423.0769230769229</ns0:v>
      </ns0:c>
      <ns0:c r="M276" s="74" t="str">
        <ns0:f t="shared" si="42"/>
        <ns0:v>Ativo</ns0:v>
      </ns0:c>
      <ns0:c r="N276" s="74"/>
      <ns0:c r="O276" s="74"/>
      <ns0:c r="P276" s="77"/>
      <ns0:c r="Q276" s="74" t="s">
        <ns0:v>238</ns0:v>
      </ns0:c>
      <ns0:c r="R276" s="74"/>
      <ns0:c r="S276" s="74"/>
      <ns0:c r="T276" s="74"/>
      <ns0:c r="U276" s="74"/>
      <ns0:c r="V276" s="74"/>
      <ns0:c r="W276" s="76">
        <ns0:f t="shared" si="45"/>
        <ns0:v>1</ns0:v>
      </ns0:c>
      <ns0:c r="X276" s="74" t="str">
        <ns0:f t="shared" si="46"/>
        <ns0:v>A · Premium ativo</ns0:v>
      </ns0:c>
      <ns0:c r="Y276" s="74"/>
      <ns0:c r="Z276" s="74"/>
      <ns0:c r="AA276" s="74"/>
      <ns0:c r="AB276" s="74"/>
    </ns0:row>
    <ns0:row r="277">
      <ns0:c r="A277" s="71" t="s">
        <ns0:v>236</ns0:v>
      </ns0:c>
      <ns0:c r="B277" s="71" t="s">
        <ns0:v>286</ns0:v>
      </ns0:c>
      <ns0:c r="C277" s="71">
        <ns0:v>3</ns0:v>
      </ns0:c>
      <ns0:c r="D277" s="71" t="s">
        <ns0:v>42</ns0:v>
      </ns0:c>
      <ns0:c r="E277" s="74">
        <ns0:v>2</ns0:v>
      </ns0:c>
      <ns0:c r="F277" s="72">
        <ns0:v>62.96</ns0:v>
      </ns0:c>
      <ns0:c r="G277" s="72">
        <ns0:v>16.079999999999998</ns0:v>
      </ns0:c>
      <ns0:c r="H277" s="72">
        <ns0:v>82.04</ns0:v>
      </ns0:c>
      <ns0:c r="I277" s="73">
        <ns0:v>357000</ns0:v>
      </ns0:c>
      <ns0:c r="J277" s="71">
        <ns0:v>2026</ns0:v>
      </ns0:c>
      <ns0:c r="K277" s="73">
        <ns0:f t="shared" si="43"/>
        <ns0:v>5670.2668360864036</ns0:v>
      </ns0:c>
      <ns0:c r="L277" s="73">
        <ns0:f t="shared" si="44"/>
        <ns0:v>4351.5358361774743</ns0:v>
      </ns0:c>
      <ns0:c r="M277" s="74" t="str">
        <ns0:f t="shared" si="42"/>
        <ns0:v>Ativo</ns0:v>
      </ns0:c>
      <ns0:c r="N277" s="74"/>
      <ns0:c r="O277" s="74"/>
      <ns0:c r="P277" s="77"/>
      <ns0:c r="Q277" s="74" t="s">
        <ns0:v>238</ns0:v>
      </ns0:c>
      <ns0:c r="R277" s="74"/>
      <ns0:c r="S277" s="74"/>
      <ns0:c r="T277" s="74"/>
      <ns0:c r="U277" s="74"/>
      <ns0:c r="V277" s="74"/>
      <ns0:c r="W277" s="76">
        <ns0:f t="shared" si="45"/>
        <ns0:v>1</ns0:v>
      </ns0:c>
      <ns0:c r="X277" s="74" t="str">
        <ns0:f t="shared" si="46"/>
        <ns0:v>A · Premium ativo</ns0:v>
      </ns0:c>
      <ns0:c r="Y277" s="74"/>
      <ns0:c r="Z277" s="74"/>
      <ns0:c r="AA277" s="74"/>
      <ns0:c r="AB277" s="74"/>
    </ns0:row>
    <ns0:row r="278">
      <ns0:c r="A278" s="71" t="s">
        <ns0:v>236</ns0:v>
      </ns0:c>
      <ns0:c r="B278" s="71" t="s">
        <ns0:v>287</ns0:v>
      </ns0:c>
      <ns0:c r="C278" s="71">
        <ns0:v>4</ns0:v>
      </ns0:c>
      <ns0:c r="D278" s="71" t="s">
        <ns0:v>252</ns0:v>
      </ns0:c>
      <ns0:c r="E278" s="74">
        <ns0:v>2</ns0:v>
      </ns0:c>
      <ns0:c r="F278" s="72">
        <ns0:v>134.34</ns0:v>
      </ns0:c>
      <ns0:c r="G278" s="72">
        <ns0:v>46.65</ns0:v>
      </ns0:c>
      <ns0:c r="H278" s="72">
        <ns0:v>223.69</ns0:v>
      </ns0:c>
      <ns0:c r="I278" s="73">
        <ns0:v>716000</ns0:v>
      </ns0:c>
      <ns0:c r="J278" s="71">
        <ns0:v>2026</ns0:v>
      </ns0:c>
      <ns0:c r="K278" s="73">
        <ns0:f t="shared" si="43"/>
        <ns0:v>5329.7603096620514</ns0:v>
      </ns0:c>
      <ns0:c r="L278" s="73">
        <ns0:f t="shared" si="44"/>
        <ns0:v>3200.8583307255576</ns0:v>
      </ns0:c>
      <ns0:c r="M278" s="74" t="str">
        <ns0:f t="shared" si="42"/>
        <ns0:v>Ativo</ns0:v>
      </ns0:c>
      <ns0:c r="N278" s="74"/>
      <ns0:c r="O278" s="74"/>
      <ns0:c r="P278" s="77"/>
      <ns0:c r="Q278" s="74" t="s">
        <ns0:v>238</ns0:v>
      </ns0:c>
      <ns0:c r="R278" s="74"/>
      <ns0:c r="S278" s="74"/>
      <ns0:c r="T278" s="74"/>
      <ns0:c r="U278" s="74"/>
      <ns0:c r="V278" s="74"/>
      <ns0:c r="W278" s="76">
        <ns0:f t="shared" si="45"/>
        <ns0:v>1</ns0:v>
      </ns0:c>
      <ns0:c r="X278" s="74" t="str">
        <ns0:f t="shared" si="46"/>
        <ns0:v>A · Premium ativo</ns0:v>
      </ns0:c>
      <ns0:c r="Y278" s="74"/>
      <ns0:c r="Z278" s="74"/>
      <ns0:c r="AA278" s="74"/>
      <ns0:c r="AB278" s="74"/>
    </ns0:row>
    <ns0:row r="279">
      <ns0:c r="A279" s="71" t="s">
        <ns0:v>236</ns0:v>
      </ns0:c>
      <ns0:c r="B279" s="71" t="s">
        <ns0:v>288</ns0:v>
      </ns0:c>
      <ns0:c r="C279" s="71">
        <ns0:v>4</ns0:v>
      </ns0:c>
      <ns0:c r="D279" s="71" t="s">
        <ns0:v>42</ns0:v>
      </ns0:c>
      <ns0:c r="E279" s="74">
        <ns0:v>2</ns0:v>
      </ns0:c>
      <ns0:c r="F279" s="72">
        <ns0:v>59.63</ns0:v>
      </ns0:c>
      <ns0:c r="G279" s="72">
        <ns0:v>16.850000000000001</ns0:v>
      </ns0:c>
      <ns0:c r="H279" s="72">
        <ns0:v>78.680000000000007</ns0:v>
      </ns0:c>
      <ns0:c r="I279" s="73">
        <ns0:v>357000</ns0:v>
      </ns0:c>
      <ns0:c r="J279" s="71">
        <ns0:v>2026</ns0:v>
      </ns0:c>
      <ns0:c r="K279" s="73">
        <ns0:f t="shared" si="43"/>
        <ns0:v>5986.9193359047458</ns0:v>
      </ns0:c>
      <ns0:c r="L279" s="73">
        <ns0:f t="shared" si="44"/>
        <ns0:v>4537.3665480427044</ns0:v>
      </ns0:c>
      <ns0:c r="M279" s="74" t="str">
        <ns0:f t="shared" si="42"/>
        <ns0:v>Ativo</ns0:v>
      </ns0:c>
      <ns0:c r="N279" s="74"/>
      <ns0:c r="O279" s="74"/>
      <ns0:c r="P279" s="77"/>
      <ns0:c r="Q279" s="74" t="s">
        <ns0:v>238</ns0:v>
      </ns0:c>
      <ns0:c r="R279" s="74"/>
      <ns0:c r="S279" s="74"/>
      <ns0:c r="T279" s="74"/>
      <ns0:c r="U279" s="74"/>
      <ns0:c r="V279" s="74"/>
      <ns0:c r="W279" s="76">
        <ns0:f t="shared" si="45"/>
        <ns0:v>1</ns0:v>
      </ns0:c>
      <ns0:c r="X279" s="74" t="str">
        <ns0:f t="shared" si="46"/>
        <ns0:v>A · Premium ativo</ns0:v>
      </ns0:c>
      <ns0:c r="Y279" s="74"/>
      <ns0:c r="Z279" s="74"/>
      <ns0:c r="AA279" s="74"/>
      <ns0:c r="AB279" s="74"/>
    </ns0:row>
    <ns0:row r="280">
      <ns0:c r="A280" s="71" t="s">
        <ns0:v>236</ns0:v>
      </ns0:c>
      <ns0:c r="B280" s="71" t="s">
        <ns0:v>289</ns0:v>
      </ns0:c>
      <ns0:c r="C280" s="71">
        <ns0:v>4</ns0:v>
      </ns0:c>
      <ns0:c r="D280" s="71" t="s">
        <ns0:v>42</ns0:v>
      </ns0:c>
      <ns0:c r="E280" s="74">
        <ns0:v>2</ns0:v>
      </ns0:c>
      <ns0:c r="F280" s="72">
        <ns0:v>62.96</ns0:v>
      </ns0:c>
      <ns0:c r="G280" s="72">
        <ns0:v>16.079999999999998</ns0:v>
      </ns0:c>
      <ns0:c r="H280" s="72">
        <ns0:v>81.44</ns0:v>
      </ns0:c>
      <ns0:c r="I280" s="73">
        <ns0:v>368000</ns0:v>
      </ns0:c>
      <ns0:c r="J280" s="71">
        <ns0:v>2026</ns0:v>
      </ns0:c>
      <ns0:c r="K280" s="73">
        <ns0:f t="shared" si="43"/>
        <ns0:v>5844.9809402795427</ns0:v>
      </ns0:c>
      <ns0:c r="L280" s="73">
        <ns0:f t="shared" si="44"/>
        <ns0:v>4518.6640471512774</ns0:v>
      </ns0:c>
      <ns0:c r="M280" s="74" t="str">
        <ns0:f t="shared" si="42"/>
        <ns0:v>Ativo</ns0:v>
      </ns0:c>
      <ns0:c r="N280" s="74"/>
      <ns0:c r="O280" s="74"/>
      <ns0:c r="P280" s="77"/>
      <ns0:c r="Q280" s="74" t="s">
        <ns0:v>238</ns0:v>
      </ns0:c>
      <ns0:c r="R280" s="74"/>
      <ns0:c r="S280" s="74"/>
      <ns0:c r="T280" s="74"/>
      <ns0:c r="U280" s="74"/>
      <ns0:c r="V280" s="74"/>
      <ns0:c r="W280" s="76">
        <ns0:f t="shared" si="45"/>
        <ns0:v>1</ns0:v>
      </ns0:c>
      <ns0:c r="X280" s="74" t="str">
        <ns0:f t="shared" si="46"/>
        <ns0:v>A · Premium ativo</ns0:v>
      </ns0:c>
      <ns0:c r="Y280" s="74"/>
      <ns0:c r="Z280" s="74"/>
      <ns0:c r="AA280" s="74"/>
      <ns0:c r="AB280" s="74"/>
    </ns0:row>
    <ns0:row r="281">
      <ns0:c r="A281" s="71" t="s">
        <ns0:v>236</ns0:v>
      </ns0:c>
      <ns0:c r="B281" s="71" t="s">
        <ns0:v>290</ns0:v>
      </ns0:c>
      <ns0:c r="C281" s="71">
        <ns0:v>5</ns0:v>
      </ns0:c>
      <ns0:c r="D281" s="71" t="s">
        <ns0:v>252</ns0:v>
      </ns0:c>
      <ns0:c r="E281" s="74">
        <ns0:v>2</ns0:v>
      </ns0:c>
      <ns0:c r="F281" s="72">
        <ns0:v>134.34</ns0:v>
      </ns0:c>
      <ns0:c r="G281" s="72">
        <ns0:v>128.22</ns0:v>
      </ns0:c>
      <ns0:c r="H281" s="72">
        <ns0:v>312.86</ns0:v>
      </ns0:c>
      <ns0:c r="I281" s="73">
        <ns0:v>918000</ns0:v>
      </ns0:c>
      <ns0:c r="J281" s="71">
        <ns0:v>2026</ns0:v>
      </ns0:c>
      <ns0:c r="K281" s="73">
        <ns0:f t="shared" si="43"/>
        <ns0:v>6833.4077713264851</ns0:v>
      </ns0:c>
      <ns0:c r="L281" s="73">
        <ns0:f t="shared" si="44"/>
        <ns0:v>2934.2197788148051</ns0:v>
      </ns0:c>
      <ns0:c r="M281" s="74" t="str">
        <ns0:f t="shared" si="42"/>
        <ns0:v>Ativo</ns0:v>
      </ns0:c>
      <ns0:c r="N281" s="74"/>
      <ns0:c r="O281" s="74"/>
      <ns0:c r="P281" s="77"/>
      <ns0:c r="Q281" s="74" t="s">
        <ns0:v>238</ns0:v>
      </ns0:c>
      <ns0:c r="R281" s="74"/>
      <ns0:c r="S281" s="74"/>
      <ns0:c r="T281" s="74"/>
      <ns0:c r="U281" s="74"/>
      <ns0:c r="V281" s="74"/>
      <ns0:c r="W281" s="76">
        <ns0:f t="shared" si="45"/>
        <ns0:v>1</ns0:v>
      </ns0:c>
      <ns0:c r="X281" s="74" t="str">
        <ns0:f t="shared" si="46"/>
        <ns0:v>A · Premium ativo</ns0:v>
      </ns0:c>
      <ns0:c r="Y281" s="74"/>
      <ns0:c r="Z281" s="74"/>
      <ns0:c r="AA281" s="74"/>
      <ns0:c r="AB281" s="74"/>
    </ns0:row>
    <ns0:row r="282">
      <ns0:c r="A282" s="71" t="s">
        <ns0:v>236</ns0:v>
      </ns0:c>
      <ns0:c r="B282" s="71" t="s">
        <ns0:v>291</ns0:v>
      </ns0:c>
      <ns0:c r="C282" s="71">
        <ns0:v>5</ns0:v>
      </ns0:c>
      <ns0:c r="D282" s="71" t="s">
        <ns0:v>64</ns0:v>
      </ns0:c>
      <ns0:c r="E282" s="74">
        <ns0:v>2</ns0:v>
      </ns0:c>
      <ns0:c r="F282" s="72">
        <ns0:v>124.96</ns0:v>
      </ns0:c>
      <ns0:c r="G282" s="72">
        <ns0:v>108.1</ns0:v>
      </ns0:c>
      <ns0:c r="H282" s="72">
        <ns0:v>282.56</ns0:v>
      </ns0:c>
      <ns0:c r="I282" s="73">
        <ns0:v>812000</ns0:v>
      </ns0:c>
      <ns0:c r="J282" s="71">
        <ns0:v>2026</ns0:v>
      </ns0:c>
      <ns0:c r="K282" s="73">
        <ns0:f t="shared" si="43"/>
        <ns0:v>6498.0793854033291</ns0:v>
      </ns0:c>
      <ns0:c r="L282" s="73">
        <ns0:f t="shared" si="44"/>
        <ns0:v>2873.7259343148357</ns0:v>
      </ns0:c>
      <ns0:c r="M282" s="74" t="str">
        <ns0:f t="shared" si="42"/>
        <ns0:v>Ativo</ns0:v>
      </ns0:c>
      <ns0:c r="N282" s="74"/>
      <ns0:c r="O282" s="74"/>
      <ns0:c r="P282" s="77"/>
      <ns0:c r="Q282" s="74" t="s">
        <ns0:v>238</ns0:v>
      </ns0:c>
      <ns0:c r="R282" s="74"/>
      <ns0:c r="S282" s="74"/>
      <ns0:c r="T282" s="74"/>
      <ns0:c r="U282" s="74"/>
      <ns0:c r="V282" s="74"/>
      <ns0:c r="W282" s="76">
        <ns0:f t="shared" si="45"/>
        <ns0:v>1</ns0:v>
      </ns0:c>
      <ns0:c r="X282" s="74" t="str">
        <ns0:f t="shared" si="46"/>
        <ns0:v>A · Premium ativo</ns0:v>
      </ns0:c>
      <ns0:c r="Y282" s="74"/>
      <ns0:c r="Z282" s="74"/>
      <ns0:c r="AA282" s="74"/>
      <ns0:c r="AB282" s="74"/>
    </ns0:row>
    <ns0:row r="283">
      <ns0:c r="A283" s="71" t="s">
        <ns0:v>236</ns0:v>
      </ns0:c>
      <ns0:c r="B283" s="71" t="s">
        <ns0:v>292</ns0:v>
      </ns0:c>
      <ns0:c r="C283" s="71">
        <ns0:v>0</ns0:v>
      </ns0:c>
      <ns0:c r="D283" s="71" t="s">
        <ns0:v>64</ns0:v>
      </ns0:c>
      <ns0:c r="E283" s="74">
        <ns0:v>2</ns0:v>
      </ns0:c>
      <ns0:c r="F283" s="72">
        <ns0:v>104.63</ns0:v>
      </ns0:c>
      <ns0:c r="G283" s="72">
        <ns0:v>38.89</ns0:v>
      </ns0:c>
      <ns0:c r="H283" s="72">
        <ns0:v>145.91999999999999</ns0:v>
      </ns0:c>
      <ns0:c r="I283" s="73">
        <ns0:v>509000</ns0:v>
      </ns0:c>
      <ns0:c r="J283" s="71">
        <ns0:v>2026</ns0:v>
      </ns0:c>
      <ns0:c r="K283" s="73">
        <ns0:f t="shared" si="43"/>
        <ns0:v>4864.761540667113</ns0:v>
      </ns0:c>
      <ns0:c r="L283" s="73">
        <ns0:f t="shared" si="44"/>
        <ns0:v>3488.2127192982457</ns0:v>
      </ns0:c>
      <ns0:c r="M283" s="74" t="str">
        <ns0:f t="shared" si="42"/>
        <ns0:v>Ativo</ns0:v>
      </ns0:c>
      <ns0:c r="N283" s="74"/>
      <ns0:c r="O283" s="74"/>
      <ns0:c r="P283" s="77"/>
      <ns0:c r="Q283" s="74" t="s">
        <ns0:v>238</ns0:v>
      </ns0:c>
      <ns0:c r="R283" s="74"/>
      <ns0:c r="S283" s="74"/>
      <ns0:c r="T283" s="74"/>
      <ns0:c r="U283" s="74"/>
      <ns0:c r="V283" s="74"/>
      <ns0:c r="W283" s="76">
        <ns0:f t="shared" si="45"/>
        <ns0:v>1</ns0:v>
      </ns0:c>
      <ns0:c r="X283" s="74" t="str">
        <ns0:f t="shared" si="46"/>
        <ns0:v>A · Premium ativo</ns0:v>
      </ns0:c>
      <ns0:c r="Y283" s="74"/>
      <ns0:c r="Z283" s="74"/>
      <ns0:c r="AA283" s="74"/>
      <ns0:c r="AB283" s="74"/>
    </ns0:row>
    <ns0:row r="284">
      <ns0:c r="A284" s="71" t="s">
        <ns0:v>236</ns0:v>
      </ns0:c>
      <ns0:c r="B284" s="71" t="s">
        <ns0:v>293</ns0:v>
      </ns0:c>
      <ns0:c r="C284" s="71">
        <ns0:v>0</ns0:v>
      </ns0:c>
      <ns0:c r="D284" s="71" t="s">
        <ns0:v>42</ns0:v>
      </ns0:c>
      <ns0:c r="E284" s="74">
        <ns0:v>2</ns0:v>
      </ns0:c>
      <ns0:c r="F284" s="72">
        <ns0:v>67.06</ns0:v>
      </ns0:c>
      <ns0:c r="G284" s="72">
        <ns0:v>14.71</ns0:v>
      </ns0:c>
      <ns0:c r="H284" s="72">
        <ns0:v>84.77</ns0:v>
      </ns0:c>
      <ns0:c r="I284" s="73">
        <ns0:v>334000</ns0:v>
      </ns0:c>
      <ns0:c r="J284" s="71">
        <ns0:v>2026</ns0:v>
      </ns0:c>
      <ns0:c r="K284" s="73">
        <ns0:f t="shared" si="43"/>
        <ns0:v>4980.6143751864001</ns0:v>
      </ns0:c>
      <ns0:c r="L284" s="73">
        <ns0:f t="shared" si="44"/>
        <ns0:v>3940.0731390822225</ns0:v>
      </ns0:c>
      <ns0:c r="M284" s="74" t="str">
        <ns0:f t="shared" si="42"/>
        <ns0:v>Ativo</ns0:v>
      </ns0:c>
      <ns0:c r="N284" s="74"/>
      <ns0:c r="O284" s="74"/>
      <ns0:c r="P284" s="77"/>
      <ns0:c r="Q284" s="74" t="s">
        <ns0:v>238</ns0:v>
      </ns0:c>
      <ns0:c r="R284" s="74"/>
      <ns0:c r="S284" s="74"/>
      <ns0:c r="T284" s="74"/>
      <ns0:c r="U284" s="74"/>
      <ns0:c r="V284" s="74"/>
      <ns0:c r="W284" s="76">
        <ns0:f t="shared" si="45"/>
        <ns0:v>1</ns0:v>
      </ns0:c>
      <ns0:c r="X284" s="74" t="str">
        <ns0:f t="shared" si="46"/>
        <ns0:v>A · Premium ativo</ns0:v>
      </ns0:c>
      <ns0:c r="Y284" s="74"/>
      <ns0:c r="Z284" s="74"/>
      <ns0:c r="AA284" s="74"/>
      <ns0:c r="AB284" s="74"/>
    </ns0:row>
    <ns0:row r="285">
      <ns0:c r="A285" s="71" t="s">
        <ns0:v>236</ns0:v>
      </ns0:c>
      <ns0:c r="B285" s="71" t="s">
        <ns0:v>294</ns0:v>
      </ns0:c>
      <ns0:c r="C285" s="71">
        <ns0:v>1</ns0:v>
      </ns0:c>
      <ns0:c r="D285" s="71" t="s">
        <ns0:v>64</ns0:v>
      </ns0:c>
      <ns0:c r="E285" s="74">
        <ns0:v>2</ns0:v>
      </ns0:c>
      <ns0:c r="F285" s="72">
        <ns0:v>106.12</ns0:v>
      </ns0:c>
      <ns0:c r="G285" s="72">
        <ns0:v>30.27</ns0:v>
      </ns0:c>
      <ns0:c r="H285" s="72">
        <ns0:v>139.19</ns0:v>
      </ns0:c>
      <ns0:c r="I285" s="73">
        <ns0:v>525000</ns0:v>
      </ns0:c>
      <ns0:c r="J285" s="71">
        <ns0:v>2026</ns0:v>
      </ns0:c>
      <ns0:c r="K285" s="73">
        <ns0:f t="shared" si="43"/>
        <ns0:v>4947.229551451187</ns0:v>
      </ns0:c>
      <ns0:c r="L285" s="73">
        <ns0:f t="shared" si="44"/>
        <ns0:v>3771.8226884115238</ns0:v>
      </ns0:c>
      <ns0:c r="M285" s="74" t="str">
        <ns0:f t="shared" si="42"/>
        <ns0:v>Ativo</ns0:v>
      </ns0:c>
      <ns0:c r="N285" s="74"/>
      <ns0:c r="O285" s="74"/>
      <ns0:c r="P285" s="77"/>
      <ns0:c r="Q285" s="74" t="s">
        <ns0:v>238</ns0:v>
      </ns0:c>
      <ns0:c r="R285" s="74"/>
      <ns0:c r="S285" s="74"/>
      <ns0:c r="T285" s="74"/>
      <ns0:c r="U285" s="74"/>
      <ns0:c r="V285" s="74"/>
      <ns0:c r="W285" s="76">
        <ns0:f t="shared" si="45"/>
        <ns0:v>1</ns0:v>
      </ns0:c>
      <ns0:c r="X285" s="74" t="str">
        <ns0:f t="shared" si="46"/>
        <ns0:v>A · Premium ativo</ns0:v>
      </ns0:c>
      <ns0:c r="Y285" s="74"/>
      <ns0:c r="Z285" s="74"/>
      <ns0:c r="AA285" s="74"/>
      <ns0:c r="AB285" s="74"/>
    </ns0:row>
    <ns0:row r="286">
      <ns0:c r="A286" s="71" t="s">
        <ns0:v>236</ns0:v>
      </ns0:c>
      <ns0:c r="B286" s="71" t="s">
        <ns0:v>295</ns0:v>
      </ns0:c>
      <ns0:c r="C286" s="71">
        <ns0:v>1</ns0:v>
      </ns0:c>
      <ns0:c r="D286" s="71" t="s">
        <ns0:v>31</ns0:v>
      </ns0:c>
      <ns0:c r="E286" s="74">
        <ns0:v>2</ns0:v>
      </ns0:c>
      <ns0:c r="F286" s="72">
        <ns0:v>86.17</ns0:v>
      </ns0:c>
      <ns0:c r="G286" s="72">
        <ns0:v>23.07</ns0:v>
      </ns0:c>
      <ns0:c r="H286" s="72">
        <ns0:v>111.84</ns0:v>
      </ns0:c>
      <ns0:c r="I286" s="73">
        <ns0:v>456000</ns0:v>
      </ns0:c>
      <ns0:c r="J286" s="71">
        <ns0:v>2026</ns0:v>
      </ns0:c>
      <ns0:c r="K286" s="73">
        <ns0:f t="shared" si="43"/>
        <ns0:v>5291.8649181849833</ns0:v>
      </ns0:c>
      <ns0:c r="L286" s="73">
        <ns0:f t="shared" si="44"/>
        <ns0:v>4077.2532188841201</ns0:v>
      </ns0:c>
      <ns0:c r="M286" s="74" t="str">
        <ns0:f t="shared" si="42"/>
        <ns0:v>Ativo</ns0:v>
      </ns0:c>
      <ns0:c r="N286" s="74"/>
      <ns0:c r="O286" s="74"/>
      <ns0:c r="P286" s="77"/>
      <ns0:c r="Q286" s="74" t="s">
        <ns0:v>238</ns0:v>
      </ns0:c>
      <ns0:c r="R286" s="74"/>
      <ns0:c r="S286" s="74"/>
      <ns0:c r="T286" s="74"/>
      <ns0:c r="U286" s="74"/>
      <ns0:c r="V286" s="74"/>
      <ns0:c r="W286" s="76">
        <ns0:f t="shared" si="45"/>
        <ns0:v>1</ns0:v>
      </ns0:c>
      <ns0:c r="X286" s="74" t="str">
        <ns0:f t="shared" si="46"/>
        <ns0:v>A · Premium ativo</ns0:v>
      </ns0:c>
      <ns0:c r="Y286" s="74"/>
      <ns0:c r="Z286" s="74"/>
      <ns0:c r="AA286" s="74"/>
      <ns0:c r="AB286" s="74"/>
    </ns0:row>
    <ns0:row r="287">
      <ns0:c r="A287" s="71" t="s">
        <ns0:v>236</ns0:v>
      </ns0:c>
      <ns0:c r="B287" s="71" t="s">
        <ns0:v>296</ns0:v>
      </ns0:c>
      <ns0:c r="C287" s="71">
        <ns0:v>2</ns0:v>
      </ns0:c>
      <ns0:c r="D287" s="71" t="s">
        <ns0:v>64</ns0:v>
      </ns0:c>
      <ns0:c r="E287" s="74">
        <ns0:v>2</ns0:v>
      </ns0:c>
      <ns0:c r="F287" s="72">
        <ns0:v>106.12</ns0:v>
      </ns0:c>
      <ns0:c r="G287" s="72">
        <ns0:v>29.98</ns0:v>
      </ns0:c>
      <ns0:c r="H287" s="72">
        <ns0:v>139.5</ns0:v>
      </ns0:c>
      <ns0:c r="I287" s="73">
        <ns0:v>541000</ns0:v>
      </ns0:c>
      <ns0:c r="J287" s="71">
        <ns0:v>2026</ns0:v>
      </ns0:c>
      <ns0:c r="K287" s="73">
        <ns0:f t="shared" si="43"/>
        <ns0:v>5098.0022615906519</ns0:v>
      </ns0:c>
      <ns0:c r="L287" s="73">
        <ns0:f t="shared" si="44"/>
        <ns0:v>3878.1362007168459</ns0:v>
      </ns0:c>
      <ns0:c r="M287" s="74" t="str">
        <ns0:f t="shared" si="42"/>
        <ns0:v>Ativo</ns0:v>
      </ns0:c>
      <ns0:c r="N287" s="74"/>
      <ns0:c r="O287" s="74"/>
      <ns0:c r="P287" s="77"/>
      <ns0:c r="Q287" s="74" t="s">
        <ns0:v>238</ns0:v>
      </ns0:c>
      <ns0:c r="R287" s="74"/>
      <ns0:c r="S287" s="74"/>
      <ns0:c r="T287" s="74"/>
      <ns0:c r="U287" s="74"/>
      <ns0:c r="V287" s="74"/>
      <ns0:c r="W287" s="76">
        <ns0:f t="shared" si="45"/>
        <ns0:v>1</ns0:v>
      </ns0:c>
      <ns0:c r="X287" s="74" t="str">
        <ns0:f t="shared" si="46"/>
        <ns0:v>A · Premium ativo</ns0:v>
      </ns0:c>
      <ns0:c r="Y287" s="74"/>
      <ns0:c r="Z287" s="74"/>
      <ns0:c r="AA287" s="74"/>
      <ns0:c r="AB287" s="74"/>
    </ns0:row>
    <ns0:row r="288">
      <ns0:c r="A288" s="71" t="s">
        <ns0:v>236</ns0:v>
      </ns0:c>
      <ns0:c r="B288" s="71" t="s">
        <ns0:v>297</ns0:v>
      </ns0:c>
      <ns0:c r="C288" s="71">
        <ns0:v>2</ns0:v>
      </ns0:c>
      <ns0:c r="D288" s="71" t="s">
        <ns0:v>31</ns0:v>
      </ns0:c>
      <ns0:c r="E288" s="74">
        <ns0:v>2</ns0:v>
      </ns0:c>
      <ns0:c r="F288" s="72">
        <ns0:v>86.17</ns0:v>
      </ns0:c>
      <ns0:c r="G288" s="72">
        <ns0:v>23.04</ns0:v>
      </ns0:c>
      <ns0:c r="H288" s="72">
        <ns0:v>112.21</ns0:v>
      </ns0:c>
      <ns0:c r="I288" s="73">
        <ns0:v>467000</ns0:v>
      </ns0:c>
      <ns0:c r="J288" s="71">
        <ns0:v>2026</ns0:v>
      </ns0:c>
      <ns0:c r="K288" s="73">
        <ns0:f t="shared" si="43"/>
        <ns0:v>5419.5195543692698</ns0:v>
      </ns0:c>
      <ns0:c r="L288" s="73">
        <ns0:f t="shared" si="44"/>
        <ns0:v>4161.8394082523846</ns0:v>
      </ns0:c>
      <ns0:c r="M288" s="74" t="str">
        <ns0:f t="shared" si="42"/>
        <ns0:v>Ativo</ns0:v>
      </ns0:c>
      <ns0:c r="N288" s="74"/>
      <ns0:c r="O288" s="74"/>
      <ns0:c r="P288" s="77"/>
      <ns0:c r="Q288" s="74" t="s">
        <ns0:v>238</ns0:v>
      </ns0:c>
      <ns0:c r="R288" s="74"/>
      <ns0:c r="S288" s="74"/>
      <ns0:c r="T288" s="74"/>
      <ns0:c r="U288" s="74"/>
      <ns0:c r="V288" s="74"/>
      <ns0:c r="W288" s="76">
        <ns0:f t="shared" si="45"/>
        <ns0:v>1</ns0:v>
      </ns0:c>
      <ns0:c r="X288" s="74" t="str">
        <ns0:f t="shared" si="46"/>
        <ns0:v>A · Premium ativo</ns0:v>
      </ns0:c>
      <ns0:c r="Y288" s="74"/>
      <ns0:c r="Z288" s="74"/>
      <ns0:c r="AA288" s="74"/>
      <ns0:c r="AB288" s="74"/>
    </ns0:row>
    <ns0:row r="289">
      <ns0:c r="A289" s="71" t="s">
        <ns0:v>236</ns0:v>
      </ns0:c>
      <ns0:c r="B289" s="71" t="s">
        <ns0:v>298</ns0:v>
      </ns0:c>
      <ns0:c r="C289" s="71">
        <ns0:v>3</ns0:v>
      </ns0:c>
      <ns0:c r="D289" s="71" t="s">
        <ns0:v>64</ns0:v>
      </ns0:c>
      <ns0:c r="E289" s="74">
        <ns0:v>2</ns0:v>
      </ns0:c>
      <ns0:c r="F289" s="72">
        <ns0:v>106.12</ns0:v>
      </ns0:c>
      <ns0:c r="G289" s="72">
        <ns0:v>30.27</ns0:v>
      </ns0:c>
      <ns0:c r="H289" s="72">
        <ns0:v>139.79</ns0:v>
      </ns0:c>
      <ns0:c r="I289" s="73">
        <ns0:v>557000</ns0:v>
      </ns0:c>
      <ns0:c r="J289" s="71">
        <ns0:v>2026</ns0:v>
      </ns0:c>
      <ns0:c r="K289" s="73">
        <ns0:f t="shared" si="43"/>
        <ns0:v>5248.7749717301167</ns0:v>
      </ns0:c>
      <ns0:c r="L289" s="73">
        <ns0:f t="shared" si="44"/>
        <ns0:v>3984.5482509478506</ns0:v>
      </ns0:c>
      <ns0:c r="M289" s="74" t="str">
        <ns0:f t="shared" si="42"/>
        <ns0:v>Ativo</ns0:v>
      </ns0:c>
      <ns0:c r="N289" s="74"/>
      <ns0:c r="O289" s="74"/>
      <ns0:c r="P289" s="77"/>
      <ns0:c r="Q289" s="74" t="s">
        <ns0:v>238</ns0:v>
      </ns0:c>
      <ns0:c r="R289" s="74"/>
      <ns0:c r="S289" s="74"/>
      <ns0:c r="T289" s="74"/>
      <ns0:c r="U289" s="74"/>
      <ns0:c r="V289" s="74"/>
      <ns0:c r="W289" s="76">
        <ns0:f t="shared" si="45"/>
        <ns0:v>1</ns0:v>
      </ns0:c>
      <ns0:c r="X289" s="74" t="str">
        <ns0:f t="shared" si="46"/>
        <ns0:v>A · Premium ativo</ns0:v>
      </ns0:c>
      <ns0:c r="Y289" s="74"/>
      <ns0:c r="Z289" s="74"/>
      <ns0:c r="AA289" s="74"/>
      <ns0:c r="AB289" s="74"/>
    </ns0:row>
    <ns0:row r="290">
      <ns0:c r="A290" s="71" t="s">
        <ns0:v>236</ns0:v>
      </ns0:c>
      <ns0:c r="B290" s="71" t="s">
        <ns0:v>299</ns0:v>
      </ns0:c>
      <ns0:c r="C290" s="71">
        <ns0:v>3</ns0:v>
      </ns0:c>
      <ns0:c r="D290" s="71" t="s">
        <ns0:v>31</ns0:v>
      </ns0:c>
      <ns0:c r="E290" s="74">
        <ns0:v>2</ns0:v>
      </ns0:c>
      <ns0:c r="F290" s="72">
        <ns0:v>86.17</ns0:v>
      </ns0:c>
      <ns0:c r="G290" s="72">
        <ns0:v>23.07</ns0:v>
      </ns0:c>
      <ns0:c r="H290" s="72">
        <ns0:v>112.14</ns0:v>
      </ns0:c>
      <ns0:c r="I290" s="73">
        <ns0:v>478000</ns0:v>
      </ns0:c>
      <ns0:c r="J290" s="71">
        <ns0:v>2026</ns0:v>
      </ns0:c>
      <ns0:c r="K290" s="73">
        <ns0:f t="shared" si="43"/>
        <ns0:v>5547.1741905535564</ns0:v>
      </ns0:c>
      <ns0:c r="L290" s="73">
        <ns0:f t="shared" si="44"/>
        <ns0:v>4262.5289816301056</ns0:v>
      </ns0:c>
      <ns0:c r="M290" s="74" t="str">
        <ns0:f t="shared" ref="M290:M306" si="47">IF(A290="The View","Projeto",IF(J290&gt;=2026,"Ativo",IF(J290=2025,"Rever","Histórico")))</ns0:f>
        <ns0:v>Ativo</ns0:v>
      </ns0:c>
      <ns0:c r="N290" s="74"/>
      <ns0:c r="O290" s="74"/>
      <ns0:c r="P290" s="77"/>
      <ns0:c r="Q290" s="74" t="s">
        <ns0:v>238</ns0:v>
      </ns0:c>
      <ns0:c r="R290" s="74"/>
      <ns0:c r="S290" s="74"/>
      <ns0:c r="T290" s="74"/>
      <ns0:c r="U290" s="74"/>
      <ns0:c r="V290" s="74"/>
      <ns0:c r="W290" s="76">
        <ns0:f t="shared" si="45"/>
        <ns0:v>1</ns0:v>
      </ns0:c>
      <ns0:c r="X290" s="74" t="str">
        <ns0:f t="shared" si="46"/>
        <ns0:v>A · Premium ativo</ns0:v>
      </ns0:c>
      <ns0:c r="Y290" s="74"/>
      <ns0:c r="Z290" s="74"/>
      <ns0:c r="AA290" s="74"/>
      <ns0:c r="AB290" s="74"/>
    </ns0:row>
    <ns0:row r="291">
      <ns0:c r="A291" s="71" t="s">
        <ns0:v>236</ns0:v>
      </ns0:c>
      <ns0:c r="B291" s="71" t="s">
        <ns0:v>300</ns0:v>
      </ns0:c>
      <ns0:c r="C291" s="71">
        <ns0:v>4</ns0:v>
      </ns0:c>
      <ns0:c r="D291" s="71" t="s">
        <ns0:v>64</ns0:v>
      </ns0:c>
      <ns0:c r="E291" s="74">
        <ns0:v>2</ns0:v>
      </ns0:c>
      <ns0:c r="F291" s="72">
        <ns0:v>106.12</ns0:v>
      </ns0:c>
      <ns0:c r="G291" s="72">
        <ns0:v>29.99</ns0:v>
      </ns0:c>
      <ns0:c r="H291" s="72">
        <ns0:v>140.11000000000001</ns0:v>
      </ns0:c>
      <ns0:c r="I291" s="73">
        <ns0:v>573000</ns0:v>
      </ns0:c>
      <ns0:c r="J291" s="71">
        <ns0:v>2026</ns0:v>
      </ns0:c>
      <ns0:c r="K291" s="73">
        <ns0:f t="shared" si="43"/>
        <ns0:v>5399.5476818695815</ns0:v>
      </ns0:c>
      <ns0:c r="L291" s="73">
        <ns0:f t="shared" si="44"/>
        <ns0:v>4089.6438512597242</ns0:v>
      </ns0:c>
      <ns0:c r="M291" s="74" t="str">
        <ns0:f t="shared" si="47"/>
        <ns0:v>Ativo</ns0:v>
      </ns0:c>
      <ns0:c r="N291" s="74"/>
      <ns0:c r="O291" s="74"/>
      <ns0:c r="P291" s="77"/>
      <ns0:c r="Q291" s="74" t="s">
        <ns0:v>238</ns0:v>
      </ns0:c>
      <ns0:c r="R291" s="74"/>
      <ns0:c r="S291" s="74"/>
      <ns0:c r="T291" s="74"/>
      <ns0:c r="U291" s="74"/>
      <ns0:c r="V291" s="74"/>
      <ns0:c r="W291" s="76">
        <ns0:f t="shared" si="45"/>
        <ns0:v>1</ns0:v>
      </ns0:c>
      <ns0:c r="X291" s="74" t="str">
        <ns0:f t="shared" si="46"/>
        <ns0:v>A · Premium ativo</ns0:v>
      </ns0:c>
      <ns0:c r="Y291" s="74"/>
      <ns0:c r="Z291" s="74"/>
      <ns0:c r="AA291" s="74"/>
      <ns0:c r="AB291" s="74"/>
    </ns0:row>
    <ns0:row r="292">
      <ns0:c r="A292" s="71" t="s">
        <ns0:v>236</ns0:v>
      </ns0:c>
      <ns0:c r="B292" s="71" t="s">
        <ns0:v>301</ns0:v>
      </ns0:c>
      <ns0:c r="C292" s="71">
        <ns0:v>4</ns0:v>
      </ns0:c>
      <ns0:c r="D292" s="71" t="s">
        <ns0:v>31</ns0:v>
      </ns0:c>
      <ns0:c r="E292" s="74">
        <ns0:v>2</ns0:v>
      </ns0:c>
      <ns0:c r="F292" s="72">
        <ns0:v>86.17</ns0:v>
      </ns0:c>
      <ns0:c r="G292" s="72">
        <ns0:v>23.04</ns0:v>
      </ns0:c>
      <ns0:c r="H292" s="72">
        <ns0:v>111.71</ns0:v>
      </ns0:c>
      <ns0:c r="I292" s="73">
        <ns0:v>488000</ns0:v>
      </ns0:c>
      <ns0:c r="J292" s="71">
        <ns0:v>2026</ns0:v>
      </ns0:c>
      <ns0:c r="K292" s="73">
        <ns0:f t="shared" si="43"/>
        <ns0:v>5663.2238598119993</ns0:v>
      </ns0:c>
      <ns0:c r="L292" s="73">
        <ns0:f t="shared" si="44"/>
        <ns0:v>4368.4540327634058</ns0:v>
      </ns0:c>
      <ns0:c r="M292" s="74" t="str">
        <ns0:f t="shared" si="47"/>
        <ns0:v>Ativo</ns0:v>
      </ns0:c>
      <ns0:c r="N292" s="74"/>
      <ns0:c r="O292" s="74"/>
      <ns0:c r="P292" s="77"/>
      <ns0:c r="Q292" s="74" t="s">
        <ns0:v>238</ns0:v>
      </ns0:c>
      <ns0:c r="R292" s="74"/>
      <ns0:c r="S292" s="74"/>
      <ns0:c r="T292" s="74"/>
      <ns0:c r="U292" s="74"/>
      <ns0:c r="V292" s="74"/>
      <ns0:c r="W292" s="76">
        <ns0:f t="shared" si="45"/>
        <ns0:v>1</ns0:v>
      </ns0:c>
      <ns0:c r="X292" s="74" t="str">
        <ns0:f t="shared" si="46"/>
        <ns0:v>A · Premium ativo</ns0:v>
      </ns0:c>
      <ns0:c r="Y292" s="74"/>
      <ns0:c r="Z292" s="74"/>
      <ns0:c r="AA292" s="74"/>
      <ns0:c r="AB292" s="74"/>
    </ns0:row>
    <ns0:row r="293">
      <ns0:c r="A293" s="71" t="s">
        <ns0:v>236</ns0:v>
      </ns0:c>
      <ns0:c r="B293" s="71" t="s">
        <ns0:v>302</ns0:v>
      </ns0:c>
      <ns0:c r="C293" s="71">
        <ns0:v>5</ns0:v>
      </ns0:c>
      <ns0:c r="D293" s="71" t="s">
        <ns0:v>64</ns0:v>
      </ns0:c>
      <ns0:c r="E293" s="74">
        <ns0:v>2</ns0:v>
      </ns0:c>
      <ns0:c r="F293" s="72">
        <ns0:v>106.12</ns0:v>
      </ns0:c>
      <ns0:c r="G293" s="72">
        <ns0:v>82.28</ns0:v>
      </ns0:c>
      <ns0:c r="H293" s="72">
        <ns0:v>231.3</ns0:v>
      </ns0:c>
      <ns0:c r="I293" s="73">
        <ns0:v>737000</ns0:v>
      </ns0:c>
      <ns0:c r="J293" s="71">
        <ns0:v>2026</ns0:v>
      </ns0:c>
      <ns0:c r="K293" s="73">
        <ns0:f t="shared" si="43"/>
        <ns0:v>6944.9679607990947</ns0:v>
      </ns0:c>
      <ns0:c r="L293" s="73">
        <ns0:f t="shared" si="44"/>
        <ns0:v>3186.3380890618241</ns0:v>
      </ns0:c>
      <ns0:c r="M293" s="74" t="str">
        <ns0:f t="shared" si="47"/>
        <ns0:v>Ativo</ns0:v>
      </ns0:c>
      <ns0:c r="N293" s="74"/>
      <ns0:c r="O293" s="74"/>
      <ns0:c r="P293" s="77"/>
      <ns0:c r="Q293" s="74" t="s">
        <ns0:v>238</ns0:v>
      </ns0:c>
      <ns0:c r="R293" s="74"/>
      <ns0:c r="S293" s="74"/>
      <ns0:c r="T293" s="74"/>
      <ns0:c r="U293" s="74"/>
      <ns0:c r="V293" s="74"/>
      <ns0:c r="W293" s="76">
        <ns0:f t="shared" si="45"/>
        <ns0:v>1</ns0:v>
      </ns0:c>
      <ns0:c r="X293" s="74" t="str">
        <ns0:f t="shared" si="46"/>
        <ns0:v>A · Premium ativo</ns0:v>
      </ns0:c>
      <ns0:c r="Y293" s="74"/>
      <ns0:c r="Z293" s="74"/>
      <ns0:c r="AA293" s="74"/>
      <ns0:c r="AB293" s="74"/>
    </ns0:row>
    <ns0:row r="294">
      <ns0:c r="A294" s="71" t="s">
        <ns0:v>236</ns0:v>
      </ns0:c>
      <ns0:c r="B294" s="71" t="s">
        <ns0:v>303</ns0:v>
      </ns0:c>
      <ns0:c r="C294" s="71">
        <ns0:v>5</ns0:v>
      </ns0:c>
      <ns0:c r="D294" s="71" t="s">
        <ns0:v>31</ns0:v>
      </ns0:c>
      <ns0:c r="E294" s="74">
        <ns0:v>2</ns0:v>
      </ns0:c>
      <ns0:c r="F294" s="72">
        <ns0:v>86.17</ns0:v>
      </ns0:c>
      <ns0:c r="G294" s="72">
        <ns0:v>76.77000000000001</ns0:v>
      </ns0:c>
      <ns0:c r="H294" s="72">
        <ns0:v>165.84</ns0:v>
      </ns0:c>
      <ns0:c r="I294" s="73">
        <ns0:v>652000</ns0:v>
      </ns0:c>
      <ns0:c r="J294" s="71">
        <ns0:v>2026</ns0:v>
      </ns0:c>
      <ns0:c r="K294" s="73" t="n">
        <ns0:f t="shared" ref="K294:K306" si="48">IFERROR(I294/F294,"")</ns0:f>
        <ns0:v>7566.438435650458</ns0:v>
      </ns0:c>
      <ns0:c r="L294" s="73" t="n">
        <ns0:f t="shared" ref="L294:L306" si="49">IFERROR(I294/H294,"")</ns0:f>
        <ns0:v>3931.5002411963337</ns0:v>
      </ns0:c>
      <ns0:c r="M294" s="74" t="str">
        <ns0:f t="shared" si="47"/>
        <ns0:v>Ativo</ns0:v>
      </ns0:c>
      <ns0:c r="N294" s="74"/>
      <ns0:c r="O294" s="74"/>
      <ns0:c r="P294" s="77"/>
      <ns0:c r="Q294" s="74" t="s">
        <ns0:v>238</ns0:v>
      </ns0:c>
      <ns0:c r="R294" s="74"/>
      <ns0:c r="S294" s="74"/>
      <ns0:c r="T294" s="74"/>
      <ns0:c r="U294" s="74"/>
      <ns0:c r="V294" s="74"/>
      <ns0:c r="W294" s="76">
        <ns0:f t="shared" si="45"/>
        <ns0:v>1</ns0:v>
      </ns0:c>
      <ns0:c r="X294" s="74" t="str">
        <ns0:f t="shared" si="46"/>
        <ns0:v>A · Premium ativo</ns0:v>
      </ns0:c>
      <ns0:c r="Y294" s="74"/>
      <ns0:c r="Z294" s="74"/>
      <ns0:c r="AA294" s="74"/>
      <ns0:c r="AB294" s="74"/>
    </ns0:row>
    <ns0:row r="295">
      <ns0:c r="A295" s="71" t="s">
        <ns0:v>236</ns0:v>
      </ns0:c>
      <ns0:c r="B295" s="71" t="s">
        <ns0:v>304</ns0:v>
      </ns0:c>
      <ns0:c r="C295" s="71">
        <ns0:v>0</ns0:v>
      </ns0:c>
      <ns0:c r="D295" s="71" t="s">
        <ns0:v>42</ns0:v>
      </ns0:c>
      <ns0:c r="E295" s="74">
        <ns0:v>2</ns0:v>
      </ns0:c>
      <ns0:c r="F295" s="72">
        <ns0:v>67.05</ns0:v>
      </ns0:c>
      <ns0:c r="G295" s="72">
        <ns0:v>14.71</ns0:v>
      </ns0:c>
      <ns0:c r="H295" s="72">
        <ns0:v>84.16</ns0:v>
      </ns0:c>
      <ns0:c r="I295" s="73">
        <ns0:v>334000</ns0:v>
      </ns0:c>
      <ns0:c r="J295" s="71">
        <ns0:v>2026</ns0:v>
      </ns0:c>
      <ns0:c r="K295" s="73">
        <ns0:f t="shared" si="48"/>
        <ns0:v>4981.357196122297</ns0:v>
      </ns0:c>
      <ns0:c r="L295" s="73">
        <ns0:f t="shared" si="49"/>
        <ns0:v>3968.6311787072245</ns0:v>
      </ns0:c>
      <ns0:c r="M295" s="74" t="str">
        <ns0:f t="shared" si="47"/>
        <ns0:v>Ativo</ns0:v>
      </ns0:c>
      <ns0:c r="N295" s="74"/>
      <ns0:c r="O295" s="74"/>
      <ns0:c r="P295" s="77"/>
      <ns0:c r="Q295" s="74" t="s">
        <ns0:v>238</ns0:v>
      </ns0:c>
      <ns0:c r="R295" s="74"/>
      <ns0:c r="S295" s="74"/>
      <ns0:c r="T295" s="74"/>
      <ns0:c r="U295" s="74"/>
      <ns0:c r="V295" s="74"/>
      <ns0:c r="W295" s="76">
        <ns0:f t="shared" si="45"/>
        <ns0:v>1</ns0:v>
      </ns0:c>
      <ns0:c r="X295" s="74" t="str">
        <ns0:f t="shared" si="46"/>
        <ns0:v>A · Premium ativo</ns0:v>
      </ns0:c>
      <ns0:c r="Y295" s="74"/>
      <ns0:c r="Z295" s="74"/>
      <ns0:c r="AA295" s="74"/>
      <ns0:c r="AB295" s="74"/>
    </ns0:row>
    <ns0:row r="296">
      <ns0:c r="A296" s="71" t="s">
        <ns0:v>236</ns0:v>
      </ns0:c>
      <ns0:c r="B296" s="71" t="s">
        <ns0:v>305</ns0:v>
      </ns0:c>
      <ns0:c r="C296" s="71">
        <ns0:v>0</ns0:v>
      </ns0:c>
      <ns0:c r="D296" s="71" t="s">
        <ns0:v>252</ns0:v>
      </ns0:c>
      <ns0:c r="E296" s="74">
        <ns0:v>2</ns0:v>
      </ns0:c>
      <ns0:c r="F296" s="72">
        <ns0:v>132.1</ns0:v>
      </ns0:c>
      <ns0:c r="G296" s="72">
        <ns0:v>39.53</ns0:v>
      </ns0:c>
      <ns0:c r="H296" s="72">
        <ns0:v>175.63</ns0:v>
      </ns0:c>
      <ns0:c r="I296" s="73">
        <ns0:v>581000</ns0:v>
      </ns0:c>
      <ns0:c r="J296" s="71">
        <ns0:v>2026</ns0:v>
      </ns0:c>
      <ns0:c r="K296" s="73">
        <ns0:f t="shared" si="48"/>
        <ns0:v>4398.1831945495842</ns0:v>
      </ns0:c>
      <ns0:c r="L296" s="73">
        <ns0:f t="shared" si="49"/>
        <ns0:v>3308.0908728577124</ns0:v>
      </ns0:c>
      <ns0:c r="M296" s="74" t="str">
        <ns0:f t="shared" si="47"/>
        <ns0:v>Ativo</ns0:v>
      </ns0:c>
      <ns0:c r="N296" s="74"/>
      <ns0:c r="O296" s="74"/>
      <ns0:c r="P296" s="77"/>
      <ns0:c r="Q296" s="74" t="s">
        <ns0:v>238</ns0:v>
      </ns0:c>
      <ns0:c r="R296" s="74"/>
      <ns0:c r="S296" s="74"/>
      <ns0:c r="T296" s="74"/>
      <ns0:c r="U296" s="74"/>
      <ns0:c r="V296" s="74"/>
      <ns0:c r="W296" s="76">
        <ns0:f t="shared" si="45"/>
        <ns0:v>1</ns0:v>
      </ns0:c>
      <ns0:c r="X296" s="74" t="str">
        <ns0:f t="shared" si="46"/>
        <ns0:v>A · Premium ativo</ns0:v>
      </ns0:c>
      <ns0:c r="Y296" s="74"/>
      <ns0:c r="Z296" s="74"/>
      <ns0:c r="AA296" s="74"/>
      <ns0:c r="AB296" s="74"/>
    </ns0:row>
    <ns0:row r="297">
      <ns0:c r="A297" s="71" t="s">
        <ns0:v>236</ns0:v>
      </ns0:c>
      <ns0:c r="B297" s="71" t="s">
        <ns0:v>306</ns0:v>
      </ns0:c>
      <ns0:c r="C297" s="71">
        <ns0:v>1</ns0:v>
      </ns0:c>
      <ns0:c r="D297" s="71" t="s">
        <ns0:v>31</ns0:v>
      </ns0:c>
      <ns0:c r="E297" s="74">
        <ns0:v>2</ns0:v>
      </ns0:c>
      <ns0:c r="F297" s="72">
        <ns0:v>86.17</ns0:v>
      </ns0:c>
      <ns0:c r="G297" s="72">
        <ns0:v>23.54</ns0:v>
      </ns0:c>
      <ns0:c r="H297" s="72">
        <ns0:v>112.21</ns0:v>
      </ns0:c>
      <ns0:c r="I297" s="73">
        <ns0:v>454000</ns0:v>
      </ns0:c>
      <ns0:c r="J297" s="71">
        <ns0:v>2026</ns0:v>
      </ns0:c>
      <ns0:c r="K297" s="73">
        <ns0:f t="shared" si="48"/>
        <ns0:v>5268.6549843332941</ns0:v>
      </ns0:c>
      <ns0:c r="L297" s="73">
        <ns0:f t="shared" si="49"/>
        <ns0:v>4045.9852063095982</ns0:v>
      </ns0:c>
      <ns0:c r="M297" s="74" t="str">
        <ns0:f t="shared" si="47"/>
        <ns0:v>Ativo</ns0:v>
      </ns0:c>
      <ns0:c r="N297" s="74"/>
      <ns0:c r="O297" s="74"/>
      <ns0:c r="P297" s="77"/>
      <ns0:c r="Q297" s="74" t="s">
        <ns0:v>238</ns0:v>
      </ns0:c>
      <ns0:c r="R297" s="74"/>
      <ns0:c r="S297" s="74"/>
      <ns0:c r="T297" s="74"/>
      <ns0:c r="U297" s="74"/>
      <ns0:c r="V297" s="74"/>
      <ns0:c r="W297" s="76">
        <ns0:f t="shared" si="45"/>
        <ns0:v>1</ns0:v>
      </ns0:c>
      <ns0:c r="X297" s="74" t="str">
        <ns0:f t="shared" si="46"/>
        <ns0:v>A · Premium ativo</ns0:v>
      </ns0:c>
      <ns0:c r="Y297" s="74"/>
      <ns0:c r="Z297" s="74"/>
      <ns0:c r="AA297" s="74"/>
      <ns0:c r="AB297" s="74"/>
    </ns0:row>
    <ns0:row r="298">
      <ns0:c r="A298" s="71" t="s">
        <ns0:v>236</ns0:v>
      </ns0:c>
      <ns0:c r="B298" s="71" t="s">
        <ns0:v>307</ns0:v>
      </ns0:c>
      <ns0:c r="C298" s="71">
        <ns0:v>1</ns0:v>
      </ns0:c>
      <ns0:c r="D298" s="71" t="s">
        <ns0:v>252</ns0:v>
      </ns0:c>
      <ns0:c r="E298" s="74">
        <ns0:v>2</ns0:v>
      </ns0:c>
      <ns0:c r="F298" s="72">
        <ns0:v>132.1</ns0:v>
      </ns0:c>
      <ns0:c r="G298" s="72">
        <ns0:v>39.229999999999997</ns0:v>
      </ns0:c>
      <ns0:c r="H298" s="72">
        <ns0:v>174.33</ns0:v>
      </ns0:c>
      <ns0:c r="I298" s="73">
        <ns0:v>610000</ns0:v>
      </ns0:c>
      <ns0:c r="J298" s="71">
        <ns0:v>2026</ns0:v>
      </ns0:c>
      <ns0:c r="K298" s="73">
        <ns0:f t="shared" si="48"/>
        <ns0:v>4617.7138531415594</ns0:v>
      </ns0:c>
      <ns0:c r="L298" s="73">
        <ns0:f t="shared" si="49"/>
        <ns0:v>3499.1108816612168</ns0:v>
      </ns0:c>
      <ns0:c r="M298" s="74" t="str">
        <ns0:f t="shared" si="47"/>
        <ns0:v>Ativo</ns0:v>
      </ns0:c>
      <ns0:c r="N298" s="74"/>
      <ns0:c r="O298" s="74"/>
      <ns0:c r="P298" s="77"/>
      <ns0:c r="Q298" s="74" t="s">
        <ns0:v>238</ns0:v>
      </ns0:c>
      <ns0:c r="R298" s="74"/>
      <ns0:c r="S298" s="74"/>
      <ns0:c r="T298" s="74"/>
      <ns0:c r="U298" s="74"/>
      <ns0:c r="V298" s="74"/>
      <ns0:c r="W298" s="76">
        <ns0:f t="shared" si="45"/>
        <ns0:v>1</ns0:v>
      </ns0:c>
      <ns0:c r="X298" s="74" t="str">
        <ns0:f t="shared" si="46"/>
        <ns0:v>A · Premium ativo</ns0:v>
      </ns0:c>
      <ns0:c r="Y298" s="74"/>
      <ns0:c r="Z298" s="74"/>
      <ns0:c r="AA298" s="74"/>
      <ns0:c r="AB298" s="74"/>
    </ns0:row>
    <ns0:row r="299">
      <ns0:c r="A299" s="71" t="s">
        <ns0:v>236</ns0:v>
      </ns0:c>
      <ns0:c r="B299" s="71" t="s">
        <ns0:v>308</ns0:v>
      </ns0:c>
      <ns0:c r="C299" s="71">
        <ns0:v>2</ns0:v>
      </ns0:c>
      <ns0:c r="D299" s="71" t="s">
        <ns0:v>31</ns0:v>
      </ns0:c>
      <ns0:c r="E299" s="74">
        <ns0:v>2</ns0:v>
      </ns0:c>
      <ns0:c r="F299" s="72">
        <ns0:v>86.17</ns0:v>
      </ns0:c>
      <ns0:c r="G299" s="72">
        <ns0:v>23.17</ns0:v>
      </ns0:c>
      <ns0:c r="H299" s="72">
        <ns0:v>111.24</ns0:v>
      </ns0:c>
      <ns0:c r="I299" s="73">
        <ns0:v>465000</ns0:v>
      </ns0:c>
      <ns0:c r="J299" s="71">
        <ns0:v>2026</ns0:v>
      </ns0:c>
      <ns0:c r="K299" s="73">
        <ns0:f t="shared" si="48"/>
        <ns0:v>5396.3096205175816</ns0:v>
      </ns0:c>
      <ns0:c r="L299" s="73">
        <ns0:f t="shared" si="49"/>
        <ns0:v>4180.151024811219</ns0:v>
      </ns0:c>
      <ns0:c r="M299" s="74" t="str">
        <ns0:f t="shared" si="47"/>
        <ns0:v>Ativo</ns0:v>
      </ns0:c>
      <ns0:c r="N299" s="74"/>
      <ns0:c r="O299" s="74"/>
      <ns0:c r="P299" s="77"/>
      <ns0:c r="Q299" s="74" t="s">
        <ns0:v>238</ns0:v>
      </ns0:c>
      <ns0:c r="R299" s="74"/>
      <ns0:c r="S299" s="74"/>
      <ns0:c r="T299" s="74"/>
      <ns0:c r="U299" s="74"/>
      <ns0:c r="V299" s="74"/>
      <ns0:c r="W299" s="76">
        <ns0:f t="shared" si="45"/>
        <ns0:v>1</ns0:v>
      </ns0:c>
      <ns0:c r="X299" s="74" t="str">
        <ns0:f t="shared" si="46"/>
        <ns0:v>A · Premium ativo</ns0:v>
      </ns0:c>
      <ns0:c r="Y299" s="74"/>
      <ns0:c r="Z299" s="74"/>
      <ns0:c r="AA299" s="74"/>
      <ns0:c r="AB299" s="74"/>
    </ns0:row>
    <ns0:row r="300">
      <ns0:c r="A300" s="71" t="s">
        <ns0:v>236</ns0:v>
      </ns0:c>
      <ns0:c r="B300" s="71" t="s">
        <ns0:v>309</ns0:v>
      </ns0:c>
      <ns0:c r="C300" s="71">
        <ns0:v>2</ns0:v>
      </ns0:c>
      <ns0:c r="D300" s="71" t="s">
        <ns0:v>252</ns0:v>
      </ns0:c>
      <ns0:c r="E300" s="74">
        <ns0:v>2</ns0:v>
      </ns0:c>
      <ns0:c r="F300" s="72">
        <ns0:v>132.1</ns0:v>
      </ns0:c>
      <ns0:c r="G300" s="72">
        <ns0:v>39.75</ns0:v>
      </ns0:c>
      <ns0:c r="H300" s="72">
        <ns0:v>170.55</ns0:v>
      </ns0:c>
      <ns0:c r="I300" s="73">
        <ns0:v>626000</ns0:v>
      </ns0:c>
      <ns0:c r="J300" s="71">
        <ns0:v>2026</ns0:v>
      </ns0:c>
      <ns0:c r="K300" s="73">
        <ns0:f t="shared" si="48"/>
        <ns0:v>4738.8342165026497</ns0:v>
      </ns0:c>
      <ns0:c r="L300" s="73">
        <ns0:f t="shared" si="49"/>
        <ns0:v>3670.4778657285251</ns0:v>
      </ns0:c>
      <ns0:c r="M300" s="74" t="str">
        <ns0:f t="shared" si="47"/>
        <ns0:v>Ativo</ns0:v>
      </ns0:c>
      <ns0:c r="N300" s="74"/>
      <ns0:c r="O300" s="74"/>
      <ns0:c r="P300" s="77"/>
      <ns0:c r="Q300" s="74" t="s">
        <ns0:v>238</ns0:v>
      </ns0:c>
      <ns0:c r="R300" s="74"/>
      <ns0:c r="S300" s="74"/>
      <ns0:c r="T300" s="74"/>
      <ns0:c r="U300" s="74"/>
      <ns0:c r="V300" s="74"/>
      <ns0:c r="W300" s="76">
        <ns0:f t="shared" si="45"/>
        <ns0:v>1</ns0:v>
      </ns0:c>
      <ns0:c r="X300" s="74" t="str">
        <ns0:f t="shared" si="46"/>
        <ns0:v>A · Premium ativo</ns0:v>
      </ns0:c>
      <ns0:c r="Y300" s="74"/>
      <ns0:c r="Z300" s="74"/>
      <ns0:c r="AA300" s="74"/>
      <ns0:c r="AB300" s="74"/>
    </ns0:row>
    <ns0:row r="301">
      <ns0:c r="A301" s="71" t="s">
        <ns0:v>236</ns0:v>
      </ns0:c>
      <ns0:c r="B301" s="71" t="s">
        <ns0:v>310</ns0:v>
      </ns0:c>
      <ns0:c r="C301" s="71">
        <ns0:v>3</ns0:v>
      </ns0:c>
      <ns0:c r="D301" s="71" t="s">
        <ns0:v>31</ns0:v>
      </ns0:c>
      <ns0:c r="E301" s="74">
        <ns0:v>2</ns0:v>
      </ns0:c>
      <ns0:c r="F301" s="72">
        <ns0:v>86.17</ns0:v>
      </ns0:c>
      <ns0:c r="G301" s="72">
        <ns0:v>23.54</ns0:v>
      </ns0:c>
      <ns0:c r="H301" s="72">
        <ns0:v>113.01</ns0:v>
      </ns0:c>
      <ns0:c r="I301" s="73">
        <ns0:v>475000</ns0:v>
      </ns0:c>
      <ns0:c r="J301" s="71">
        <ns0:v>2026</ns0:v>
      </ns0:c>
      <ns0:c r="K301" s="73">
        <ns0:f t="shared" si="48"/>
        <ns0:v>5512.3592897760236</ns0:v>
      </ns0:c>
      <ns0:c r="L301" s="73">
        <ns0:f t="shared" si="49"/>
        <ns0:v>4203.1678612512169</ns0:v>
      </ns0:c>
      <ns0:c r="M301" s="74" t="str">
        <ns0:f t="shared" si="47"/>
        <ns0:v>Ativo</ns0:v>
      </ns0:c>
      <ns0:c r="N301" s="74"/>
      <ns0:c r="O301" s="74"/>
      <ns0:c r="P301" s="77"/>
      <ns0:c r="Q301" s="74" t="s">
        <ns0:v>238</ns0:v>
      </ns0:c>
      <ns0:c r="R301" s="74"/>
      <ns0:c r="S301" s="74"/>
      <ns0:c r="T301" s="74"/>
      <ns0:c r="U301" s="74"/>
      <ns0:c r="V301" s="74"/>
      <ns0:c r="W301" s="76">
        <ns0:f t="shared" si="45"/>
        <ns0:v>1</ns0:v>
      </ns0:c>
      <ns0:c r="X301" s="74" t="str">
        <ns0:f t="shared" si="46"/>
        <ns0:v>A · Premium ativo</ns0:v>
      </ns0:c>
      <ns0:c r="Y301" s="74"/>
      <ns0:c r="Z301" s="74"/>
      <ns0:c r="AA301" s="74"/>
      <ns0:c r="AB301" s="74"/>
    </ns0:row>
    <ns0:row r="302">
      <ns0:c r="A302" s="71" t="s">
        <ns0:v>236</ns0:v>
      </ns0:c>
      <ns0:c r="B302" s="71" t="s">
        <ns0:v>311</ns0:v>
      </ns0:c>
      <ns0:c r="C302" s="71">
        <ns0:v>3</ns0:v>
      </ns0:c>
      <ns0:c r="D302" s="71" t="s">
        <ns0:v>252</ns0:v>
      </ns0:c>
      <ns0:c r="E302" s="74">
        <ns0:v>2</ns0:v>
      </ns0:c>
      <ns0:c r="F302" s="72">
        <ns0:v>132.1</ns0:v>
      </ns0:c>
      <ns0:c r="G302" s="72">
        <ns0:v>39.229999999999997</ns0:v>
      </ns0:c>
      <ns0:c r="H302" s="72">
        <ns0:v>176.43</ns0:v>
      </ns0:c>
      <ns0:c r="I302" s="73">
        <ns0:v>642000</ns0:v>
      </ns0:c>
      <ns0:c r="J302" s="71">
        <ns0:v>2026</ns0:v>
      </ns0:c>
      <ns0:c r="K302" s="73">
        <ns0:f t="shared" si="48"/>
        <ns0:v>4859.95457986374</ns0:v>
      </ns0:c>
      <ns0:c r="L302" s="73">
        <ns0:f t="shared" si="49"/>
        <ns0:v>3638.8369324944738</ns0:v>
      </ns0:c>
      <ns0:c r="M302" s="74" t="str">
        <ns0:f t="shared" si="47"/>
        <ns0:v>Ativo</ns0:v>
      </ns0:c>
      <ns0:c r="N302" s="74"/>
      <ns0:c r="O302" s="74"/>
      <ns0:c r="P302" s="77"/>
      <ns0:c r="Q302" s="74" t="s">
        <ns0:v>238</ns0:v>
      </ns0:c>
      <ns0:c r="R302" s="74"/>
      <ns0:c r="S302" s="74"/>
      <ns0:c r="T302" s="74"/>
      <ns0:c r="U302" s="74"/>
      <ns0:c r="V302" s="74"/>
      <ns0:c r="W302" s="76" t="n">
        <ns0:f t="shared" ref="W302:W306" si="50">IF(A302="The View",1,MAX(0.25,MIN(1,IF(J302&gt;=2026,1,IF(J302=2025,0.8,IF(J302=2024,0.45,0.3)))*IF(Q302="Premium waterfront/marina",1,IF(Q302="Benchmark local",0.7,0.6))*IF(M302="Vendido",0.65,IF(M302="Reservado",0.8,IF(M302="Histórico",0.55,1))))))</ns0:f>
        <ns0:v>1</ns0:v>
      </ns0:c>
      <ns0:c r="X302" s="74" t="str">
        <ns0:f t="shared" ref="X302:X306" si="51">IF(A302="The View","Projeto",IF(W302&gt;=0.85,"A · Premium ativo",IF(W302&gt;=0.55,"B · Benchmark local","C · Histórico/secundário")))</ns0:f>
        <ns0:v>A · Premium ativo</ns0:v>
      </ns0:c>
      <ns0:c r="Y302" s="74"/>
      <ns0:c r="Z302" s="74"/>
      <ns0:c r="AA302" s="74"/>
      <ns0:c r="AB302" s="74"/>
    </ns0:row>
    <ns0:row r="303">
      <ns0:c r="A303" s="71" t="s">
        <ns0:v>236</ns0:v>
      </ns0:c>
      <ns0:c r="B303" s="71" t="s">
        <ns0:v>312</ns0:v>
      </ns0:c>
      <ns0:c r="C303" s="71">
        <ns0:v>4</ns0:v>
      </ns0:c>
      <ns0:c r="D303" s="71" t="s">
        <ns0:v>31</ns0:v>
      </ns0:c>
      <ns0:c r="E303" s="74">
        <ns0:v>2</ns0:v>
      </ns0:c>
      <ns0:c r="F303" s="72">
        <ns0:v>86.17</ns0:v>
      </ns0:c>
      <ns0:c r="G303" s="72">
        <ns0:v>23.17</ns0:v>
      </ns0:c>
      <ns0:c r="H303" s="72">
        <ns0:v>113.24</ns0:v>
      </ns0:c>
      <ns0:c r="I303" s="73">
        <ns0:v>486000</ns0:v>
      </ns0:c>
      <ns0:c r="J303" s="71">
        <ns0:v>2026</ns0:v>
      </ns0:c>
      <ns0:c r="K303" s="73">
        <ns0:f t="shared" si="48"/>
        <ns0:v>5640.0139259603111</ns0:v>
      </ns0:c>
      <ns0:c r="L303" s="73">
        <ns0:f t="shared" si="49"/>
        <ns0:v>4291.7696926880963</ns0:v>
      </ns0:c>
      <ns0:c r="M303" s="74" t="str">
        <ns0:f t="shared" si="47"/>
        <ns0:v>Ativo</ns0:v>
      </ns0:c>
      <ns0:c r="N303" s="74"/>
      <ns0:c r="O303" s="74"/>
      <ns0:c r="P303" s="77"/>
      <ns0:c r="Q303" s="74" t="s">
        <ns0:v>238</ns0:v>
      </ns0:c>
      <ns0:c r="R303" s="74"/>
      <ns0:c r="S303" s="74"/>
      <ns0:c r="T303" s="74"/>
      <ns0:c r="U303" s="74"/>
      <ns0:c r="V303" s="74"/>
      <ns0:c r="W303" s="76">
        <ns0:f t="shared" si="50"/>
        <ns0:v>1</ns0:v>
      </ns0:c>
      <ns0:c r="X303" s="74" t="str">
        <ns0:f t="shared" si="51"/>
        <ns0:v>A · Premium ativo</ns0:v>
      </ns0:c>
      <ns0:c r="Y303" s="74"/>
      <ns0:c r="Z303" s="74"/>
      <ns0:c r="AA303" s="74"/>
      <ns0:c r="AB303" s="74"/>
    </ns0:row>
    <ns0:row r="304">
      <ns0:c r="A304" s="71" t="s">
        <ns0:v>236</ns0:v>
      </ns0:c>
      <ns0:c r="B304" s="71" t="s">
        <ns0:v>313</ns0:v>
      </ns0:c>
      <ns0:c r="C304" s="71">
        <ns0:v>4</ns0:v>
      </ns0:c>
      <ns0:c r="D304" s="71" t="s">
        <ns0:v>252</ns0:v>
      </ns0:c>
      <ns0:c r="E304" s="74">
        <ns0:v>2</ns0:v>
      </ns0:c>
      <ns0:c r="F304" s="72">
        <ns0:v>132.1</ns0:v>
      </ns0:c>
      <ns0:c r="G304" s="72">
        <ns0:v>39.75</ns0:v>
      </ns0:c>
      <ns0:c r="H304" s="72">
        <ns0:v>214.76</ns0:v>
      </ns0:c>
      <ns0:c r="I304" s="73">
        <ns0:v>674000</ns0:v>
      </ns0:c>
      <ns0:c r="J304" s="71">
        <ns0:v>2026</ns0:v>
      </ns0:c>
      <ns0:c r="K304" s="73">
        <ns0:f t="shared" si="48"/>
        <ns0:v>5102.1953065859198</ns0:v>
      </ns0:c>
      <ns0:c r="L304" s="73">
        <ns0:f t="shared" si="49"/>
        <ns0:v>3138.3870366921215</ns0:v>
      </ns0:c>
      <ns0:c r="M304" s="74" t="str">
        <ns0:f t="shared" si="47"/>
        <ns0:v>Ativo</ns0:v>
      </ns0:c>
      <ns0:c r="N304" s="74"/>
      <ns0:c r="O304" s="74"/>
      <ns0:c r="P304" s="77"/>
      <ns0:c r="Q304" s="74" t="s">
        <ns0:v>238</ns0:v>
      </ns0:c>
      <ns0:c r="R304" s="74"/>
      <ns0:c r="S304" s="74"/>
      <ns0:c r="T304" s="74"/>
      <ns0:c r="U304" s="74"/>
      <ns0:c r="V304" s="74"/>
      <ns0:c r="W304" s="76">
        <ns0:f t="shared" si="50"/>
        <ns0:v>1</ns0:v>
      </ns0:c>
      <ns0:c r="X304" s="74" t="str">
        <ns0:f t="shared" si="51"/>
        <ns0:v>A · Premium ativo</ns0:v>
      </ns0:c>
      <ns0:c r="Y304" s="74"/>
      <ns0:c r="Z304" s="74"/>
      <ns0:c r="AA304" s="74"/>
      <ns0:c r="AB304" s="74"/>
    </ns0:row>
    <ns0:row r="305">
      <ns0:c r="A305" s="71" t="s">
        <ns0:v>236</ns0:v>
      </ns0:c>
      <ns0:c r="B305" s="71" t="s">
        <ns0:v>314</ns0:v>
      </ns0:c>
      <ns0:c r="C305" s="71">
        <ns0:v>5</ns0:v>
      </ns0:c>
      <ns0:c r="D305" s="71" t="s">
        <ns0:v>31</ns0:v>
      </ns0:c>
      <ns0:c r="E305" s="74">
        <ns0:v>2</ns0:v>
      </ns0:c>
      <ns0:c r="F305" s="72">
        <ns0:v>86.17</ns0:v>
      </ns0:c>
      <ns0:c r="G305" s="72">
        <ns0:v>73.87</ns0:v>
      </ns0:c>
      <ns0:c r="H305" s="72">
        <ns0:v>163.94</ns0:v>
      </ns0:c>
      <ns0:c r="I305" s="73">
        <ns0:v>652000</ns0:v>
      </ns0:c>
      <ns0:c r="J305" s="71">
        <ns0:v>2026</ns0:v>
      </ns0:c>
      <ns0:c r="K305" s="73">
        <ns0:f t="shared" si="48"/>
        <ns0:v>7566.4384356504579</ns0:v>
      </ns0:c>
      <ns0:c r="L305" s="73">
        <ns0:f t="shared" si="49"/>
        <ns0:v>3977.0647797974871</ns0:v>
      </ns0:c>
      <ns0:c r="M305" s="74" t="str">
        <ns0:f t="shared" si="47"/>
        <ns0:v>Ativo</ns0:v>
      </ns0:c>
      <ns0:c r="N305" s="74"/>
      <ns0:c r="O305" s="74"/>
      <ns0:c r="P305" s="77"/>
      <ns0:c r="Q305" s="74" t="s">
        <ns0:v>238</ns0:v>
      </ns0:c>
      <ns0:c r="R305" s="74"/>
      <ns0:c r="S305" s="74"/>
      <ns0:c r="T305" s="74"/>
      <ns0:c r="U305" s="74"/>
      <ns0:c r="V305" s="74"/>
      <ns0:c r="W305" s="76">
        <ns0:f t="shared" si="50"/>
        <ns0:v>1</ns0:v>
      </ns0:c>
      <ns0:c r="X305" s="74" t="str">
        <ns0:f t="shared" si="51"/>
        <ns0:v>A · Premium ativo</ns0:v>
      </ns0:c>
      <ns0:c r="Y305" s="74"/>
      <ns0:c r="Z305" s="74"/>
      <ns0:c r="AA305" s="74"/>
      <ns0:c r="AB305" s="74"/>
    </ns0:row>
    <ns0:row r="306">
      <ns0:c r="A306" s="71" t="s">
        <ns0:v>236</ns0:v>
      </ns0:c>
      <ns0:c r="B306" s="71" t="s">
        <ns0:v>315</ns0:v>
      </ns0:c>
      <ns0:c r="C306" s="71">
        <ns0:v>5</ns0:v>
      </ns0:c>
      <ns0:c r="D306" s="71" t="s">
        <ns0:v>252</ns0:v>
      </ns0:c>
      <ns0:c r="E306" s="74">
        <ns0:v>2</ns0:v>
      </ns0:c>
      <ns0:c r="F306" s="72">
        <ns0:v>132.1</ns0:v>
      </ns0:c>
      <ns0:c r="G306" s="72">
        <ns0:v>39.229999999999997</ns0:v>
      </ns0:c>
      <ns0:c r="H306" s="72">
        <ns0:v>171.32999999999998</ns0:v>
      </ns0:c>
      <ns0:c r="I306" s="73">
        <ns0:v>844000</ns0:v>
      </ns0:c>
      <ns0:c r="J306" s="71">
        <ns0:v>2026</ns0:v>
      </ns0:c>
      <ns0:c r="K306" s="73">
        <ns0:f t="shared" si="48"/>
        <ns0:v>6389.0991672975024</ns0:v>
      </ns0:c>
      <ns0:c r="L306" s="73">
        <ns0:f t="shared" si="49"/>
        <ns0:v>4926.1658787135939</ns0:v>
      </ns0:c>
      <ns0:c r="M306" s="74" t="str">
        <ns0:f t="shared" si="47"/>
        <ns0:v>Ativo</ns0:v>
      </ns0:c>
      <ns0:c r="N306" s="74"/>
      <ns0:c r="O306" s="74"/>
      <ns0:c r="P306" s="77"/>
      <ns0:c r="Q306" s="74" t="s">
        <ns0:v>238</ns0:v>
      </ns0:c>
      <ns0:c r="R306" s="74"/>
      <ns0:c r="S306" s="74"/>
      <ns0:c r="T306" s="74"/>
      <ns0:c r="U306" s="74"/>
      <ns0:c r="V306" s="74"/>
      <ns0:c r="W306" s="76">
        <ns0:f t="shared" si="50"/>
        <ns0:v>1</ns0:v>
      </ns0:c>
      <ns0:c r="X306" s="74" t="str">
        <ns0:f t="shared" si="51"/>
        <ns0:v>A · Premium ativo</ns0:v>
      </ns0:c>
      <ns0:c r="Y306" s="74"/>
      <ns0:c r="Z306" s="74"/>
      <ns0:c r="AA306" s="74"/>
      <ns0:c r="AB306" s="74"/>
    </ns0:row>
    <ns0:row r="307">
      <ns0:c r="A307" s="71" t="str">
        <ns0:v>Prestige V</ns0:v>
      </ns0:c>
      <ns0:c r="B307" s="71" t="str">
        <ns0:v>LIST-PV-01</ns0:v>
      </ns0:c>
      <ns0:c r="C307" s="71" t="n">
        <ns0:v>1</ns0:v>
      </ns0:c>
      <ns0:c r="D307" s="71" t="str">
        <ns0:v>T2</ns0:v>
      </ns0:c>
      <ns0:c r="E307" s="74"/>
      <ns0:c r="F307" s="72" t="n">
        <ns0:v>93.95</ns0:v>
      </ns0:c>
      <ns0:c r="G307" s="72" t="n">
        <ns0:v>51</ns0:v>
      </ns0:c>
      <ns0:c r="H307" s="72" t="n">
        <ns0:v>144.95</ns0:v>
      </ns0:c>
      <ns0:c r="I307" s="78" t="n">
        <ns0:v>605850</ns0:v>
      </ns0:c>
      <ns0:c r="J307" s="71" t="n">
        <ns0:v>2026</ns0:v>
      </ns0:c>
      <ns0:c r="K307" s="78" t="n">
        <ns0:v>6448.642895156998</ns0:v>
      </ns0:c>
      <ns0:c r="L307" s="78" t="n">
        <ns0:v>4179.717143842705</ns0:v>
      </ns0:c>
      <ns0:c r="M307" s="74" t="str">
        <ns0:v>Ativo</ns0:v>
      </ns0:c>
      <ns0:c r="N307" s="74" t="str">
        <ns0:v>CasaCerta / Idealista</ns0:v>
      </ns0:c>
      <ns0:c r="O307" s="74" t="str">
        <ns0:v>https://casacerta.pt/imovel/1274739/apartamento-t2-para-venda-em-moncarapacho-e-fuseta</ns0:v>
      </ns0:c>
      <ns0:c r="P307" s="75" t="n">
        <ns0:v>46295</ns0:v>
      </ns0:c>
      <ns0:c r="Q307" s="74" t="str">
        <ns0:v>Premium Ria/lifestyle</ns0:v>
      </ns0:c>
      <ns0:c r="R307" s="74" t="str">
        <ns0:v>Nova construção</ns0:v>
      </ns0:c>
      <ns0:c r="S307" s="74" t="n">
        <ns0:v>2027</ns0:v>
      </ns0:c>
      <ns0:c r="T307" s="74" t="str">
        <ns0:v>Sim</ns0:v>
      </ns0:c>
      <ns0:c r="U307" s="74" t="str">
        <ns0:v>Sim</ns0:v>
      </ns0:c>
      <ns0:c r="V307" s="74"/>
      <ns0:c r="W307" s="79" t="n">
        <ns0:v>0.85</ns0:v>
      </ns0:c>
      <ns0:c r="X307" s="74" t="str">
        <ns0:v>A · Benchmark estratégico</ns0:v>
      </ns0:c>
      <ns0:c r="Y307" s="74" t="str">
        <ns0:v>Alta</ns0:v>
      </ns0:c>
      <ns0:c r="Z307" s="74" t="str">
        <ns0:v>Área interior 93,95 m² + varanda 18 m² + terraço 33 m²; o portal também publica área bruta de 148 m².</ns0:v>
      </ns0:c>
      <ns0:c r="AA307" s="74" t="str">
        <ns0:v>Manter ativo; rever disponibilidade e preços trimestralmente.</ns0:v>
      </ns0:c>
      <ns0:c r="AB307" s="74" t="str">
        <ns0:v>Média</ns0:v>
      </ns0:c>
    </ns0:row>
    <ns0:row r="308">
      <ns0:c r="A308" s="71" t="str">
        <ns0:v>Prestige V</ns0:v>
      </ns0:c>
      <ns0:c r="B308" s="71" t="str">
        <ns0:v>LIST-PV-02</ns0:v>
      </ns0:c>
      <ns0:c r="C308" s="71" t="n">
        <ns0:v>1</ns0:v>
      </ns0:c>
      <ns0:c r="D308" s="71" t="str">
        <ns0:v>T2</ns0:v>
      </ns0:c>
      <ns0:c r="E308" s="74"/>
      <ns0:c r="F308" s="72" t="n">
        <ns0:v>94</ns0:v>
      </ns0:c>
      <ns0:c r="G308" s="72" t="n">
        <ns0:v>59</ns0:v>
      </ns0:c>
      <ns0:c r="H308" s="72" t="n">
        <ns0:v>153</ns0:v>
      </ns0:c>
      <ns0:c r="I308" s="78" t="n">
        <ns0:v>616875</ns0:v>
      </ns0:c>
      <ns0:c r="J308" s="71" t="n">
        <ns0:v>2026</ns0:v>
      </ns0:c>
      <ns0:c r="K308" s="78" t="n">
        <ns0:v>6562.5</ns0:v>
      </ns0:c>
      <ns0:c r="L308" s="78" t="n">
        <ns0:v>4031.8627450980393</ns0:v>
      </ns0:c>
      <ns0:c r="M308" s="74" t="str">
        <ns0:v>Ativo</ns0:v>
      </ns0:c>
      <ns0:c r="N308" s="74" t="str">
        <ns0:v>Idealista</ns0:v>
      </ns0:c>
      <ns0:c r="O308" s="74" t="str">
        <ns0:v>https://www.idealista.pt/imovel/35323578/</ns0:v>
      </ns0:c>
      <ns0:c r="P308" s="75" t="n">
        <ns0:v>46295</ns0:v>
      </ns0:c>
      <ns0:c r="Q308" s="74" t="str">
        <ns0:v>Premium Ria/lifestyle</ns0:v>
      </ns0:c>
      <ns0:c r="R308" s="74" t="str">
        <ns0:v>Nova construção</ns0:v>
      </ns0:c>
      <ns0:c r="S308" s="74" t="n">
        <ns0:v>2027</ns0:v>
      </ns0:c>
      <ns0:c r="T308" s="74" t="str">
        <ns0:v>Sim</ns0:v>
      </ns0:c>
      <ns0:c r="U308" s="74" t="str">
        <ns0:v>Sim</ns0:v>
      </ns0:c>
      <ns0:c r="V308" s="74"/>
      <ns0:c r="W308" s="79" t="n">
        <ns0:v>0.85</ns0:v>
      </ns0:c>
      <ns0:c r="X308" s="74" t="str">
        <ns0:v>A · Benchmark estratégico</ns0:v>
      </ns0:c>
      <ns0:c r="Y308" s="74" t="str">
        <ns0:v>Alta</ns0:v>
      </ns0:c>
      <ns0:c r="Z308" s="74" t="str">
        <ns0:v>Área interior ~94 m² + varanda 18 m² + terraço 41 m²; área bruta publicada 156 m².</ns0:v>
      </ns0:c>
      <ns0:c r="AA308" s="74" t="str">
        <ns0:v>Manter ativo; rever disponibilidade e preços trimestralmente.</ns0:v>
      </ns0:c>
      <ns0:c r="AB308" s="74" t="str">
        <ns0:v>Média</ns0:v>
      </ns0:c>
    </ns0:row>
    <ns0:row r="309">
      <ns0:c r="A309" s="71" t="str">
        <ns0:v>Prestige V</ns0:v>
      </ns0:c>
      <ns0:c r="B309" s="71" t="str">
        <ns0:v>LIST-PV-03</ns0:v>
      </ns0:c>
      <ns0:c r="C309" s="71" t="n">
        <ns0:v>1</ns0:v>
      </ns0:c>
      <ns0:c r="D309" s="71" t="str">
        <ns0:v>T2</ns0:v>
      </ns0:c>
      <ns0:c r="E309" s="74"/>
      <ns0:c r="F309" s="72" t="n">
        <ns0:v>94</ns0:v>
      </ns0:c>
      <ns0:c r="G309" s="72" t="n">
        <ns0:v>51</ns0:v>
      </ns0:c>
      <ns0:c r="H309" s="72" t="n">
        <ns0:v>145</ns0:v>
      </ns0:c>
      <ns0:c r="I309" s="78" t="n">
        <ns0:v>634700</ns0:v>
      </ns0:c>
      <ns0:c r="J309" s="71" t="n">
        <ns0:v>2026</ns0:v>
      </ns0:c>
      <ns0:c r="K309" s="78" t="n">
        <ns0:v>6752.127659574468</ns0:v>
      </ns0:c>
      <ns0:c r="L309" s="78" t="n">
        <ns0:v>4377.241379310345</ns0:v>
      </ns0:c>
      <ns0:c r="M309" s="74" t="str">
        <ns0:v>Ativo</ns0:v>
      </ns0:c>
      <ns0:c r="N309" s="74" t="str">
        <ns0:v>OLX / Imovirtual</ns0:v>
      </ns0:c>
      <ns0:c r="O309" s="74" t="str">
        <ns0:v>https://www.olx.pt/d/anuncio/apartamento-t2-com-varanda-e-terrao-em-novo-empreendimento-em-olho-IDJ8x4y.html</ns0:v>
      </ns0:c>
      <ns0:c r="P309" s="75" t="n">
        <ns0:v>46295</ns0:v>
      </ns0:c>
      <ns0:c r="Q309" s="74" t="str">
        <ns0:v>Premium Ria/lifestyle</ns0:v>
      </ns0:c>
      <ns0:c r="R309" s="74" t="str">
        <ns0:v>Nova construção</ns0:v>
      </ns0:c>
      <ns0:c r="S309" s="74" t="n">
        <ns0:v>2027</ns0:v>
      </ns0:c>
      <ns0:c r="T309" s="74" t="str">
        <ns0:v>Sim</ns0:v>
      </ns0:c>
      <ns0:c r="U309" s="74" t="str">
        <ns0:v>Sim</ns0:v>
      </ns0:c>
      <ns0:c r="V309" s="74"/>
      <ns0:c r="W309" s="79" t="n">
        <ns0:v>0.85</ns0:v>
      </ns0:c>
      <ns0:c r="X309" s="74" t="str">
        <ns0:v>A · Benchmark estratégico</ns0:v>
      </ns0:c>
      <ns0:c r="Y309" s="74" t="str">
        <ns0:v>Alta</ns0:v>
      </ns0:c>
      <ns0:c r="Z309" s="74" t="str">
        <ns0:v>Área interior ~94 m² + varanda 18 m² + terraço 33 m²; benchmark ativo Prestige V.</ns0:v>
      </ns0:c>
      <ns0:c r="AA309" s="74" t="str">
        <ns0:v>Manter ativo; rever disponibilidade e preços trimestralmente.</ns0:v>
      </ns0:c>
      <ns0:c r="AB309" s="74" t="str">
        <ns0:v>Média</ns0:v>
      </ns0:c>
    </ns0:row>
    <ns0:row r="310">
      <ns0:c r="A310" s="71" t="str">
        <ns0:v>Prestige V</ns0:v>
      </ns0:c>
      <ns0:c r="B310" s="71" t="str">
        <ns0:v>LIST-PV-04</ns0:v>
      </ns0:c>
      <ns0:c r="C310" s="71" t="n">
        <ns0:v>1</ns0:v>
      </ns0:c>
      <ns0:c r="D310" s="71" t="str">
        <ns0:v>T2</ns0:v>
      </ns0:c>
      <ns0:c r="E310" s="74"/>
      <ns0:c r="F310" s="72" t="n">
        <ns0:v>94</ns0:v>
      </ns0:c>
      <ns0:c r="G310" s="72" t="n">
        <ns0:v>59</ns0:v>
      </ns0:c>
      <ns0:c r="H310" s="72" t="n">
        <ns0:v>153</ns0:v>
      </ns0:c>
      <ns0:c r="I310" s="78" t="n">
        <ns0:v>646250</ns0:v>
      </ns0:c>
      <ns0:c r="J310" s="71" t="n">
        <ns0:v>2026</ns0:v>
      </ns0:c>
      <ns0:c r="K310" s="78" t="n">
        <ns0:v>6875</ns0:v>
      </ns0:c>
      <ns0:c r="L310" s="78" t="n">
        <ns0:v>4223.856209150327</ns0:v>
      </ns0:c>
      <ns0:c r="M310" s="74" t="str">
        <ns0:v>Ativo</ns0:v>
      </ns0:c>
      <ns0:c r="N310" s="74" t="str">
        <ns0:v>Idealista</ns0:v>
      </ns0:c>
      <ns0:c r="O310" s="74" t="str">
        <ns0:v>https://www.idealista.pt/imovel/35323575/</ns0:v>
      </ns0:c>
      <ns0:c r="P310" s="75" t="n">
        <ns0:v>46295</ns0:v>
      </ns0:c>
      <ns0:c r="Q310" s="74" t="str">
        <ns0:v>Premium Ria/lifestyle</ns0:v>
      </ns0:c>
      <ns0:c r="R310" s="74" t="str">
        <ns0:v>Nova construção</ns0:v>
      </ns0:c>
      <ns0:c r="S310" s="74" t="n">
        <ns0:v>2027</ns0:v>
      </ns0:c>
      <ns0:c r="T310" s="74" t="str">
        <ns0:v>Sim</ns0:v>
      </ns0:c>
      <ns0:c r="U310" s="74" t="str">
        <ns0:v>Sim</ns0:v>
      </ns0:c>
      <ns0:c r="V310" s="74"/>
      <ns0:c r="W310" s="79" t="n">
        <ns0:v>0.85</ns0:v>
      </ns0:c>
      <ns0:c r="X310" s="74" t="str">
        <ns0:v>A · Benchmark estratégico</ns0:v>
      </ns0:c>
      <ns0:c r="Y310" s="74" t="str">
        <ns0:v>Alta</ns0:v>
      </ns0:c>
      <ns0:c r="Z310" s="74" t="str">
        <ns0:v>Área interior ~94 m² + varanda 18 m² + terraço 41 m²; benchmark ativo Prestige V.</ns0:v>
      </ns0:c>
      <ns0:c r="AA310" s="74" t="str">
        <ns0:v>Manter ativo; rever disponibilidade e preços trimestralmente.</ns0:v>
      </ns0:c>
      <ns0:c r="AB310" s="74" t="str">
        <ns0:v>Média</ns0:v>
      </ns0:c>
    </ns0:row>
    <ns0:row r="311">
      <ns0:c r="A311" s="71" t="str">
        <ns0:v>Prestige V</ns0:v>
      </ns0:c>
      <ns0:c r="B311" s="71" t="str">
        <ns0:v>LIST-PV-05</ns0:v>
      </ns0:c>
      <ns0:c r="C311" s="71" t="n">
        <ns0:v>1</ns0:v>
      </ns0:c>
      <ns0:c r="D311" s="71" t="str">
        <ns0:v>T2</ns0:v>
      </ns0:c>
      <ns0:c r="E311" s="74"/>
      <ns0:c r="F311" s="72" t="n">
        <ns0:v>97</ns0:v>
      </ns0:c>
      <ns0:c r="G311" s="72" t="n">
        <ns0:v>61</ns0:v>
      </ns0:c>
      <ns0:c r="H311" s="72" t="n">
        <ns0:v>158</ns0:v>
      </ns0:c>
      <ns0:c r="I311" s="78" t="n">
        <ns0:v>660000</ns0:v>
      </ns0:c>
      <ns0:c r="J311" s="71" t="n">
        <ns0:v>2026</ns0:v>
      </ns0:c>
      <ns0:c r="K311" s="78" t="n">
        <ns0:v>6804.123711340206</ns0:v>
      </ns0:c>
      <ns0:c r="L311" s="78" t="n">
        <ns0:v>4177.215189873417</ns0:v>
      </ns0:c>
      <ns0:c r="M311" s="74" t="str">
        <ns0:v>Ativo</ns0:v>
      </ns0:c>
      <ns0:c r="N311" s="74" t="str">
        <ns0:v>CasaCerta</ns0:v>
      </ns0:c>
      <ns0:c r="O311" s="74" t="str">
        <ns0:v>https://casacerta.pt/imovel/1148306/apartamento-t2-para-venda-em-moncarapacho-e-fuseta</ns0:v>
      </ns0:c>
      <ns0:c r="P311" s="75" t="n">
        <ns0:v>46295</ns0:v>
      </ns0:c>
      <ns0:c r="Q311" s="74" t="str">
        <ns0:v>Premium Ria/lifestyle</ns0:v>
      </ns0:c>
      <ns0:c r="R311" s="74" t="str">
        <ns0:v>Nova construção</ns0:v>
      </ns0:c>
      <ns0:c r="S311" s="74" t="n">
        <ns0:v>2027</ns0:v>
      </ns0:c>
      <ns0:c r="T311" s="74" t="str">
        <ns0:v>Sim</ns0:v>
      </ns0:c>
      <ns0:c r="U311" s="74" t="str">
        <ns0:v>Sim</ns0:v>
      </ns0:c>
      <ns0:c r="V311" s="74"/>
      <ns0:c r="W311" s="79" t="n">
        <ns0:v>0.85</ns0:v>
      </ns0:c>
      <ns0:c r="X311" s="74" t="str">
        <ns0:v>A · Benchmark estratégico</ns0:v>
      </ns0:c>
      <ns0:c r="Y311" s="74" t="str">
        <ns0:v>Alta</ns0:v>
      </ns0:c>
      <ns0:c r="Z311" s="74" t="str">
        <ns0:v>Área útil 97 m² + pátio 61 m²; área total de leitura 158 m².</ns0:v>
      </ns0:c>
      <ns0:c r="AA311" s="74" t="str">
        <ns0:v>Manter ativo; rever disponibilidade e preços trimestralmente.</ns0:v>
      </ns0:c>
      <ns0:c r="AB311" s="74" t="str">
        <ns0:v>Média</ns0:v>
      </ns0:c>
    </ns0:row>
    <ns0:row r="312">
      <ns0:c r="A312" s="71" t="str">
        <ns0:v>Prestige V</ns0:v>
      </ns0:c>
      <ns0:c r="B312" s="71" t="str">
        <ns0:v>LIST-PV-06</ns0:v>
      </ns0:c>
      <ns0:c r="C312" s="71" t="n">
        <ns0:v>1</ns0:v>
      </ns0:c>
      <ns0:c r="D312" s="71" t="str">
        <ns0:v>T3</ns0:v>
      </ns0:c>
      <ns0:c r="E312" s="74"/>
      <ns0:c r="F312" s="72" t="n">
        <ns0:v>115</ns0:v>
      </ns0:c>
      <ns0:c r="G312" s="72" t="n">
        <ns0:v>71</ns0:v>
      </ns0:c>
      <ns0:c r="H312" s="72" t="n">
        <ns0:v>186</ns0:v>
      </ns0:c>
      <ns0:c r="I312" s="78" t="n">
        <ns0:v>646275</ns0:v>
      </ns0:c>
      <ns0:c r="J312" s="71" t="n">
        <ns0:v>2026</ns0:v>
      </ns0:c>
      <ns0:c r="K312" s="78" t="n">
        <ns0:v>5619.782608695652</ns0:v>
      </ns0:c>
      <ns0:c r="L312" s="78" t="n">
        <ns0:v>3474.5967741935483</ns0:v>
      </ns0:c>
      <ns0:c r="M312" s="74" t="str">
        <ns0:v>Ativo</ns0:v>
      </ns0:c>
      <ns0:c r="N312" s="74" t="str">
        <ns0:v>Idealista / CasaCerta</ns0:v>
      </ns0:c>
      <ns0:c r="O312" s="74" t="str">
        <ns0:v>https://www.idealista.pt/imovel/35323574/</ns0:v>
      </ns0:c>
      <ns0:c r="P312" s="75" t="n">
        <ns0:v>46295</ns0:v>
      </ns0:c>
      <ns0:c r="Q312" s="74" t="str">
        <ns0:v>Premium Ria/lifestyle</ns0:v>
      </ns0:c>
      <ns0:c r="R312" s="74" t="str">
        <ns0:v>Nova construção</ns0:v>
      </ns0:c>
      <ns0:c r="S312" s="74" t="n">
        <ns0:v>2027</ns0:v>
      </ns0:c>
      <ns0:c r="T312" s="74" t="str">
        <ns0:v>Sim</ns0:v>
      </ns0:c>
      <ns0:c r="U312" s="74" t="str">
        <ns0:v>Sim</ns0:v>
      </ns0:c>
      <ns0:c r="V312" s="74"/>
      <ns0:c r="W312" s="79" t="n">
        <ns0:v>0.85</ns0:v>
      </ns0:c>
      <ns0:c r="X312" s="74" t="str">
        <ns0:v>A · Benchmark estratégico</ns0:v>
      </ns0:c>
      <ns0:c r="Y312" s="74" t="str">
        <ns0:v>Alta</ns0:v>
      </ns0:c>
      <ns0:c r="Z312" s="74" t="str">
        <ns0:v>Área interior ~115 m² + varanda 18 m² + terraço 53 m²; área bruta publicada ~189 m².</ns0:v>
      </ns0:c>
      <ns0:c r="AA312" s="74" t="str">
        <ns0:v>Manter ativo; rever disponibilidade e preços trimestralmente.</ns0:v>
      </ns0:c>
      <ns0:c r="AB312" s="74" t="str">
        <ns0:v>Média</ns0:v>
      </ns0:c>
    </ns0:row>
    <ns0:row r="313">
      <ns0:c r="A313" s="71" t="str">
        <ns0:v>Prestige V</ns0:v>
      </ns0:c>
      <ns0:c r="B313" s="71" t="str">
        <ns0:v>LIST-PV-07</ns0:v>
      </ns0:c>
      <ns0:c r="C313" s="71" t="n">
        <ns0:v>1</ns0:v>
      </ns0:c>
      <ns0:c r="D313" s="71" t="str">
        <ns0:v>T3</ns0:v>
      </ns0:c>
      <ns0:c r="E313" s="74"/>
      <ns0:c r="F313" s="72" t="n">
        <ns0:v>115</ns0:v>
      </ns0:c>
      <ns0:c r="G313" s="72" t="n">
        <ns0:v>71</ns0:v>
      </ns0:c>
      <ns0:c r="H313" s="72" t="n">
        <ns0:v>186</ns0:v>
      </ns0:c>
      <ns0:c r="I313" s="78" t="n">
        <ns0:v>656250</ns0:v>
      </ns0:c>
      <ns0:c r="J313" s="71" t="n">
        <ns0:v>2026</ns0:v>
      </ns0:c>
      <ns0:c r="K313" s="78" t="n">
        <ns0:v>5706.521739130435</ns0:v>
      </ns0:c>
      <ns0:c r="L313" s="78" t="n">
        <ns0:v>3528.2258064516127</ns0:v>
      </ns0:c>
      <ns0:c r="M313" s="74" t="str">
        <ns0:v>Ativo</ns0:v>
      </ns0:c>
      <ns0:c r="N313" s="74" t="str">
        <ns0:v>Idealista</ns0:v>
      </ns0:c>
      <ns0:c r="O313" s="74" t="str">
        <ns0:v>https://www.idealista.pt/imovel/35323573/</ns0:v>
      </ns0:c>
      <ns0:c r="P313" s="75" t="n">
        <ns0:v>46295</ns0:v>
      </ns0:c>
      <ns0:c r="Q313" s="74" t="str">
        <ns0:v>Premium Ria/lifestyle</ns0:v>
      </ns0:c>
      <ns0:c r="R313" s="74" t="str">
        <ns0:v>Nova construção</ns0:v>
      </ns0:c>
      <ns0:c r="S313" s="74" t="n">
        <ns0:v>2027</ns0:v>
      </ns0:c>
      <ns0:c r="T313" s="74" t="str">
        <ns0:v>Sim</ns0:v>
      </ns0:c>
      <ns0:c r="U313" s="74" t="str">
        <ns0:v>Sim</ns0:v>
      </ns0:c>
      <ns0:c r="V313" s="74"/>
      <ns0:c r="W313" s="79" t="n">
        <ns0:v>0.85</ns0:v>
      </ns0:c>
      <ns0:c r="X313" s="74" t="str">
        <ns0:v>A · Benchmark estratégico</ns0:v>
      </ns0:c>
      <ns0:c r="Y313" s="74" t="str">
        <ns0:v>Alta</ns0:v>
      </ns0:c>
      <ns0:c r="Z313" s="74" t="str">
        <ns0:v>Área interior ~115 m² + varanda 18 m² + terraço 53 m²; área bruta publicada ~190 m².</ns0:v>
      </ns0:c>
      <ns0:c r="AA313" s="74" t="str">
        <ns0:v>Manter ativo; rever disponibilidade e preços trimestralmente.</ns0:v>
      </ns0:c>
      <ns0:c r="AB313" s="74" t="str">
        <ns0:v>Média</ns0:v>
      </ns0:c>
    </ns0:row>
    <ns0:row r="314">
      <ns0:c r="A314" s="71" t="str">
        <ns0:v>Prestige V</ns0:v>
      </ns0:c>
      <ns0:c r="B314" s="71" t="str">
        <ns0:v>LIST-PV-08</ns0:v>
      </ns0:c>
      <ns0:c r="C314" s="71" t="n">
        <ns0:v>1</ns0:v>
      </ns0:c>
      <ns0:c r="D314" s="71" t="str">
        <ns0:v>T3</ns0:v>
      </ns0:c>
      <ns0:c r="E314" s="74"/>
      <ns0:c r="F314" s="72" t="n">
        <ns0:v>115</ns0:v>
      </ns0:c>
      <ns0:c r="G314" s="72" t="n">
        <ns0:v>71</ns0:v>
      </ns0:c>
      <ns0:c r="H314" s="72" t="n">
        <ns0:v>186</ns0:v>
      </ns0:c>
      <ns0:c r="I314" s="78" t="n">
        <ns0:v>677050</ns0:v>
      </ns0:c>
      <ns0:c r="J314" s="71" t="n">
        <ns0:v>2026</ns0:v>
      </ns0:c>
      <ns0:c r="K314" s="78" t="n">
        <ns0:v>5887.391304347826</ns0:v>
      </ns0:c>
      <ns0:c r="L314" s="78" t="n">
        <ns0:v>3640.05376344086</ns0:v>
      </ns0:c>
      <ns0:c r="M314" s="74" t="str">
        <ns0:v>Ativo</ns0:v>
      </ns0:c>
      <ns0:c r="N314" s="74" t="str">
        <ns0:v>CasaCerta</ns0:v>
      </ns0:c>
      <ns0:c r="O314" s="74" t="str">
        <ns0:v>https://casacerta.pt/imovel/1148303/apartamento-t3-para-venda-em-moncarapacho-e-fuseta</ns0:v>
      </ns0:c>
      <ns0:c r="P314" s="75" t="n">
        <ns0:v>46295</ns0:v>
      </ns0:c>
      <ns0:c r="Q314" s="74" t="str">
        <ns0:v>Premium Ria/lifestyle</ns0:v>
      </ns0:c>
      <ns0:c r="R314" s="74" t="str">
        <ns0:v>Nova construção</ns0:v>
      </ns0:c>
      <ns0:c r="S314" s="74" t="n">
        <ns0:v>2027</ns0:v>
      </ns0:c>
      <ns0:c r="T314" s="74" t="str">
        <ns0:v>Sim</ns0:v>
      </ns0:c>
      <ns0:c r="U314" s="74" t="str">
        <ns0:v>Sim</ns0:v>
      </ns0:c>
      <ns0:c r="V314" s="74"/>
      <ns0:c r="W314" s="79" t="n">
        <ns0:v>0.85</ns0:v>
      </ns0:c>
      <ns0:c r="X314" s="74" t="str">
        <ns0:v>A · Benchmark estratégico</ns0:v>
      </ns0:c>
      <ns0:c r="Y314" s="74" t="str">
        <ns0:v>Alta</ns0:v>
      </ns0:c>
      <ns0:c r="Z314" s="74" t="str">
        <ns0:v>Área interior ~115 m² + varanda 18 m² + terraço 53 m²; benchmark ativo Prestige V.</ns0:v>
      </ns0:c>
      <ns0:c r="AA314" s="74" t="str">
        <ns0:v>Manter ativo; rever disponibilidade e preços trimestralmente.</ns0:v>
      </ns0:c>
      <ns0:c r="AB314" s="74" t="str">
        <ns0:v>Média</ns0:v>
      </ns0:c>
    </ns0:row>
    <ns0:row r="315">
      <ns0:c r="A315" s="71" t="str">
        <ns0:v>Plessis Luxury Residence</ns0:v>
      </ns0:c>
      <ns0:c r="B315" s="71" t="str">
        <ns0:v>LIST-PL-01</ns0:v>
      </ns0:c>
      <ns0:c r="C315" s="71" t="str">
        <ns0:v>R/C</ns0:v>
      </ns0:c>
      <ns0:c r="D315" s="71" t="str">
        <ns0:v>T2</ns0:v>
      </ns0:c>
      <ns0:c r="E315" s="74"/>
      <ns0:c r="F315" s="72"/>
      <ns0:c r="G315" s="72"/>
      <ns0:c r="H315" s="72" t="n">
        <ns0:v>109</ns0:v>
      </ns0:c>
      <ns0:c r="I315" s="78" t="n">
        <ns0:v>473000</ns0:v>
      </ns0:c>
      <ns0:c r="J315" s="71" t="n">
        <ns0:v>2026</ns0:v>
      </ns0:c>
      <ns0:c r="K315" s="78"/>
      <ns0:c r="L315" s="78" t="n">
        <ns0:v>4339.4495412844035</ns0:v>
      </ns0:c>
      <ns0:c r="M315" s="74" t="str">
        <ns0:v>Ativo</ns0:v>
      </ns0:c>
      <ns0:c r="N315" s="74" t="str">
        <ns0:v>Idealista</ns0:v>
      </ns0:c>
      <ns0:c r="O315" s="74" t="str">
        <ns0:v>https://www.idealista.pt/imovel/35110857/</ns0:v>
      </ns0:c>
      <ns0:c r="P315" s="75" t="n">
        <ns0:v>46295</ns0:v>
      </ns0:c>
      <ns0:c r="Q315" s="74" t="str">
        <ns0:v>Premium regional / lifestyle</ns0:v>
      </ns0:c>
      <ns0:c r="R315" s="74" t="str">
        <ns0:v>Nova construção</ns0:v>
      </ns0:c>
      <ns0:c r="S315" s="74" t="n">
        <ns0:v>2026</ns0:v>
      </ns0:c>
      <ns0:c r="T315" s="74" t="str">
        <ns0:v>Sim</ns0:v>
      </ns0:c>
      <ns0:c r="U315" s="74" t="str">
        <ns0:v>Sim</ns0:v>
      </ns0:c>
      <ns0:c r="V315" s="74"/>
      <ns0:c r="W315" s="79" t="n">
        <ns0:v>0.75</ns0:v>
      </ns0:c>
      <ns0:c r="X315" s="74" t="str">
        <ns0:v>B · Benchmark premium regional</ns0:v>
      </ns0:c>
      <ns0:c r="Y315" s="74" t="str">
        <ns0:v>Média</ns0:v>
      </ns0:c>
      <ns0:c r="Z315" s="74" t="str">
        <ns0:v>Área bruta publicada 109 m²; fonte não separa ABP e exterior. Ler €/m² como área bruta total.</ns0:v>
      </ns0:c>
      <ns0:c r="AA315" s="74" t="str">
        <ns0:v>Manter como benchmark estratégico; confirmar áreas interiores quando disponíveis.</ns0:v>
      </ns0:c>
      <ns0:c r="AB315" s="74" t="str">
        <ns0:v>Média</ns0:v>
      </ns0:c>
    </ns0:row>
    <ns0:row r="316">
      <ns0:c r="A316" s="71" t="str">
        <ns0:v>Plessis Luxury Residence</ns0:v>
      </ns0:c>
      <ns0:c r="B316" s="71" t="str">
        <ns0:v>LIST-PL-02</ns0:v>
      </ns0:c>
      <ns0:c r="C316" s="71" t="n">
        <ns0:v>1</ns0:v>
      </ns0:c>
      <ns0:c r="D316" s="71" t="str">
        <ns0:v>T3</ns0:v>
      </ns0:c>
      <ns0:c r="E316" s="74"/>
      <ns0:c r="F316" s="72"/>
      <ns0:c r="G316" s="72"/>
      <ns0:c r="H316" s="72" t="n">
        <ns0:v>139</ns0:v>
      </ns0:c>
      <ns0:c r="I316" s="78" t="n">
        <ns0:v>553000</ns0:v>
      </ns0:c>
      <ns0:c r="J316" s="71" t="n">
        <ns0:v>2026</ns0:v>
      </ns0:c>
      <ns0:c r="K316" s="78"/>
      <ns0:c r="L316" s="78" t="n">
        <ns0:v>3978.4172661870502</ns0:v>
      </ns0:c>
      <ns0:c r="M316" s="74" t="str">
        <ns0:v>Ativo</ns0:v>
      </ns0:c>
      <ns0:c r="N316" s="74" t="str">
        <ns0:v>Idealista</ns0:v>
      </ns0:c>
      <ns0:c r="O316" s="74" t="str">
        <ns0:v>https://www.idealista.pt/empreendimento/35108138/</ns0:v>
      </ns0:c>
      <ns0:c r="P316" s="75" t="n">
        <ns0:v>46295</ns0:v>
      </ns0:c>
      <ns0:c r="Q316" s="74" t="str">
        <ns0:v>Premium regional / lifestyle</ns0:v>
      </ns0:c>
      <ns0:c r="R316" s="74" t="str">
        <ns0:v>Nova construção</ns0:v>
      </ns0:c>
      <ns0:c r="S316" s="74" t="n">
        <ns0:v>2026</ns0:v>
      </ns0:c>
      <ns0:c r="T316" s="74" t="str">
        <ns0:v>Sim</ns0:v>
      </ns0:c>
      <ns0:c r="U316" s="74" t="str">
        <ns0:v>Sim</ns0:v>
      </ns0:c>
      <ns0:c r="V316" s="74"/>
      <ns0:c r="W316" s="79" t="n">
        <ns0:v>0.75</ns0:v>
      </ns0:c>
      <ns0:c r="X316" s="74" t="str">
        <ns0:v>B · Benchmark premium regional</ns0:v>
      </ns0:c>
      <ns0:c r="Y316" s="74" t="str">
        <ns0:v>Média</ns0:v>
      </ns0:c>
      <ns0:c r="Z316" s="74" t="str">
        <ns0:v>Área bruta publicada 139 m²; fonte não separa ABP e exterior.</ns0:v>
      </ns0:c>
      <ns0:c r="AA316" s="74" t="str">
        <ns0:v>Manter como benchmark estratégico; confirmar áreas interiores quando disponíveis.</ns0:v>
      </ns0:c>
      <ns0:c r="AB316" s="74" t="str">
        <ns0:v>Média</ns0:v>
      </ns0:c>
    </ns0:row>
    <ns0:row r="317">
      <ns0:c r="A317" s="71" t="str">
        <ns0:v>Plessis Luxury Residence</ns0:v>
      </ns0:c>
      <ns0:c r="B317" s="71" t="str">
        <ns0:v>LIST-PL-03</ns0:v>
      </ns0:c>
      <ns0:c r="C317" s="71" t="str">
        <ns0:v>R/C</ns0:v>
      </ns0:c>
      <ns0:c r="D317" s="71" t="str">
        <ns0:v>T3</ns0:v>
      </ns0:c>
      <ns0:c r="E317" s="74"/>
      <ns0:c r="F317" s="72"/>
      <ns0:c r="G317" s="72"/>
      <ns0:c r="H317" s="72" t="n">
        <ns0:v>131</ns0:v>
      </ns0:c>
      <ns0:c r="I317" s="78" t="n">
        <ns0:v>563000</ns0:v>
      </ns0:c>
      <ns0:c r="J317" s="71" t="n">
        <ns0:v>2026</ns0:v>
      </ns0:c>
      <ns0:c r="K317" s="78"/>
      <ns0:c r="L317" s="78" t="n">
        <ns0:v>4297.7099236641225</ns0:v>
      </ns0:c>
      <ns0:c r="M317" s="74" t="str">
        <ns0:v>Ativo</ns0:v>
      </ns0:c>
      <ns0:c r="N317" s="74" t="str">
        <ns0:v>Idealista</ns0:v>
      </ns0:c>
      <ns0:c r="O317" s="74" t="str">
        <ns0:v>https://www.idealista.pt/imovel/35110835/</ns0:v>
      </ns0:c>
      <ns0:c r="P317" s="75" t="n">
        <ns0:v>46295</ns0:v>
      </ns0:c>
      <ns0:c r="Q317" s="74" t="str">
        <ns0:v>Premium regional / lifestyle</ns0:v>
      </ns0:c>
      <ns0:c r="R317" s="74" t="str">
        <ns0:v>Nova construção</ns0:v>
      </ns0:c>
      <ns0:c r="S317" s="74" t="n">
        <ns0:v>2026</ns0:v>
      </ns0:c>
      <ns0:c r="T317" s="74" t="str">
        <ns0:v>Sim</ns0:v>
      </ns0:c>
      <ns0:c r="U317" s="74" t="str">
        <ns0:v>Sim</ns0:v>
      </ns0:c>
      <ns0:c r="V317" s="74"/>
      <ns0:c r="W317" s="79" t="n">
        <ns0:v>0.75</ns0:v>
      </ns0:c>
      <ns0:c r="X317" s="74" t="str">
        <ns0:v>B · Benchmark premium regional</ns0:v>
      </ns0:c>
      <ns0:c r="Y317" s="74" t="str">
        <ns0:v>Média</ns0:v>
      </ns0:c>
      <ns0:c r="Z317" s="74" t="str">
        <ns0:v>Área bruta publicada 131 m²; fonte não separa ABP e exterior.</ns0:v>
      </ns0:c>
      <ns0:c r="AA317" s="74" t="str">
        <ns0:v>Manter como benchmark estratégico; confirmar áreas interiores quando disponíveis.</ns0:v>
      </ns0:c>
      <ns0:c r="AB317" s="74" t="str">
        <ns0:v>Média</ns0:v>
      </ns0:c>
    </ns0:row>
    <ns0:row r="318">
      <ns0:c r="A318" s="71" t="str">
        <ns0:v>Plessis Luxury Residence</ns0:v>
      </ns0:c>
      <ns0:c r="B318" s="71" t="str">
        <ns0:v>LIST-PL-04</ns0:v>
      </ns0:c>
      <ns0:c r="C318" s="71" t="n">
        <ns0:v>2</ns0:v>
      </ns0:c>
      <ns0:c r="D318" s="71" t="str">
        <ns0:v>T2</ns0:v>
      </ns0:c>
      <ns0:c r="E318" s="74"/>
      <ns0:c r="F318" s="72" t="n">
        <ns0:v>90.26</ns0:v>
      </ns0:c>
      <ns0:c r="G318" s="72" t="n">
        <ns0:v>88</ns0:v>
      </ns0:c>
      <ns0:c r="H318" s="72" t="n">
        <ns0:v>178.26</ns0:v>
      </ns0:c>
      <ns0:c r="I318" s="78" t="n">
        <ns0:v>578000</ns0:v>
      </ns0:c>
      <ns0:c r="J318" s="71" t="n">
        <ns0:v>2026</ns0:v>
      </ns0:c>
      <ns0:c r="K318" s="78" t="n">
        <ns0:v>6403.722579215599</ns0:v>
      </ns0:c>
      <ns0:c r="L318" s="78" t="n">
        <ns0:v>3242.454841243128</ns0:v>
      </ns0:c>
      <ns0:c r="M318" s="74" t="str">
        <ns0:v>Ativo</ns0:v>
      </ns0:c>
      <ns0:c r="N318" s="74" t="str">
        <ns0:v>SuperCasa</ns0:v>
      </ns0:c>
      <ns0:c r="O318" s="74" t="str">
        <ns0:v>https://supercasa.pt/comprar-casas/olhao/com-ultimo-andar</ns0:v>
      </ns0:c>
      <ns0:c r="P318" s="75" t="n">
        <ns0:v>46295</ns0:v>
      </ns0:c>
      <ns0:c r="Q318" s="74" t="str">
        <ns0:v>Premium regional / lifestyle</ns0:v>
      </ns0:c>
      <ns0:c r="R318" s="74" t="str">
        <ns0:v>Nova construção</ns0:v>
      </ns0:c>
      <ns0:c r="S318" s="74" t="n">
        <ns0:v>2026</ns0:v>
      </ns0:c>
      <ns0:c r="T318" s="74" t="str">
        <ns0:v>Sim</ns0:v>
      </ns0:c>
      <ns0:c r="U318" s="74" t="str">
        <ns0:v>Sim</ns0:v>
      </ns0:c>
      <ns0:c r="V318" s="74"/>
      <ns0:c r="W318" s="79" t="n">
        <ns0:v>0.75</ns0:v>
      </ns0:c>
      <ns0:c r="X318" s="74" t="str">
        <ns0:v>B · Benchmark premium regional</ns0:v>
      </ns0:c>
      <ns0:c r="Y318" s="74" t="str">
        <ns0:v>Alta</ns0:v>
      </ns0:c>
      <ns0:c r="Z318" s="74" t="str">
        <ns0:v>Penthouse: ABP publicada 90,26 m² + terraço privativo de cobertura 88 m² com piscina/jacuzzi.</ns0:v>
      </ns0:c>
      <ns0:c r="AA318" s="74" t="str">
        <ns0:v>Manter como benchmark estratégico; confirmar áreas interiores quando disponíveis.</ns0:v>
      </ns0:c>
      <ns0:c r="AB318" s="74" t="str">
        <ns0:v>Média</ns0:v>
      </ns0:c>
    </ns0:row>
    <ns0:row r="319">
      <ns0:c r="A319" s="71" t="str">
        <ns0:v>Plessis Luxury Residence</ns0:v>
      </ns0:c>
      <ns0:c r="B319" s="71" t="str">
        <ns0:v>LIST-PL-05</ns0:v>
      </ns0:c>
      <ns0:c r="C319" s="71" t="n">
        <ns0:v>2</ns0:v>
      </ns0:c>
      <ns0:c r="D319" s="71" t="str">
        <ns0:v>T2</ns0:v>
      </ns0:c>
      <ns0:c r="E319" s="74"/>
      <ns0:c r="F319" s="72"/>
      <ns0:c r="G319" s="72"/>
      <ns0:c r="H319" s="72" t="n">
        <ns0:v>214</ns0:v>
      </ns0:c>
      <ns0:c r="I319" s="78" t="n">
        <ns0:v>598000</ns0:v>
      </ns0:c>
      <ns0:c r="J319" s="71" t="n">
        <ns0:v>2026</ns0:v>
      </ns0:c>
      <ns0:c r="K319" s="78"/>
      <ns0:c r="L319" s="78" t="n">
        <ns0:v>2794.392523364486</ns0:v>
      </ns0:c>
      <ns0:c r="M319" s="74" t="str">
        <ns0:v>Ativo</ns0:v>
      </ns0:c>
      <ns0:c r="N319" s="74" t="str">
        <ns0:v>Idealista</ns0:v>
      </ns0:c>
      <ns0:c r="O319" s="74" t="str">
        <ns0:v>https://www.idealista.pt/imovel/35110834/</ns0:v>
      </ns0:c>
      <ns0:c r="P319" s="75" t="n">
        <ns0:v>46295</ns0:v>
      </ns0:c>
      <ns0:c r="Q319" s="74" t="str">
        <ns0:v>Premium regional / lifestyle</ns0:v>
      </ns0:c>
      <ns0:c r="R319" s="74" t="str">
        <ns0:v>Nova construção</ns0:v>
      </ns0:c>
      <ns0:c r="S319" s="74" t="n">
        <ns0:v>2026</ns0:v>
      </ns0:c>
      <ns0:c r="T319" s="74" t="str">
        <ns0:v>Sim</ns0:v>
      </ns0:c>
      <ns0:c r="U319" s="74" t="str">
        <ns0:v>Sim</ns0:v>
      </ns0:c>
      <ns0:c r="V319" s="74"/>
      <ns0:c r="W319" s="79" t="n">
        <ns0:v>0.75</ns0:v>
      </ns0:c>
      <ns0:c r="X319" s="74" t="str">
        <ns0:v>B · Benchmark premium regional</ns0:v>
      </ns0:c>
      <ns0:c r="Y319" s="74" t="str">
        <ns0:v>Média</ns0:v>
      </ns0:c>
      <ns0:c r="Z319" s="74" t="str">
        <ns0:v>Área bruta publicada 214 m²; unidade com terraço, sem separação pública fiável entre interior e exterior.</ns0:v>
      </ns0:c>
      <ns0:c r="AA319" s="74" t="str">
        <ns0:v>Manter como benchmark estratégico; confirmar áreas interiores quando disponíveis.</ns0:v>
      </ns0:c>
      <ns0:c r="AB319" s="74" t="str">
        <ns0:v>Média</ns0:v>
      </ns0:c>
    </ns0:row>
    <ns0:row r="320">
      <ns0:c r="A320" s="71" t="str">
        <ns0:v>Plessis Luxury Residence</ns0:v>
      </ns0:c>
      <ns0:c r="B320" s="71" t="str">
        <ns0:v>LIST-PL-06</ns0:v>
      </ns0:c>
      <ns0:c r="C320" s="71" t="n">
        <ns0:v>2</ns0:v>
      </ns0:c>
      <ns0:c r="D320" s="71" t="str">
        <ns0:v>T3</ns0:v>
      </ns0:c>
      <ns0:c r="E320" s="74"/>
      <ns0:c r="F320" s="72"/>
      <ns0:c r="G320" s="72"/>
      <ns0:c r="H320" s="72" t="n">
        <ns0:v>139</ns0:v>
      </ns0:c>
      <ns0:c r="I320" s="78" t="n">
        <ns0:v>783000</ns0:v>
      </ns0:c>
      <ns0:c r="J320" s="71" t="n">
        <ns0:v>2026</ns0:v>
      </ns0:c>
      <ns0:c r="K320" s="78"/>
      <ns0:c r="L320" s="78" t="n">
        <ns0:v>5633.093525179856</ns0:v>
      </ns0:c>
      <ns0:c r="M320" s="74" t="str">
        <ns0:v>Ativo</ns0:v>
      </ns0:c>
      <ns0:c r="N320" s="74" t="str">
        <ns0:v>Idealista</ns0:v>
      </ns0:c>
      <ns0:c r="O320" s="74" t="str">
        <ns0:v>https://www.idealista.pt/empreendimento/35108138/</ns0:v>
      </ns0:c>
      <ns0:c r="P320" s="75" t="n">
        <ns0:v>46295</ns0:v>
      </ns0:c>
      <ns0:c r="Q320" s="74" t="str">
        <ns0:v>Premium regional / lifestyle</ns0:v>
      </ns0:c>
      <ns0:c r="R320" s="74" t="str">
        <ns0:v>Nova construção</ns0:v>
      </ns0:c>
      <ns0:c r="S320" s="74" t="n">
        <ns0:v>2026</ns0:v>
      </ns0:c>
      <ns0:c r="T320" s="74" t="str">
        <ns0:v>Sim</ns0:v>
      </ns0:c>
      <ns0:c r="U320" s="74" t="str">
        <ns0:v>Sim</ns0:v>
      </ns0:c>
      <ns0:c r="V320" s="74"/>
      <ns0:c r="W320" s="79" t="n">
        <ns0:v>0.75</ns0:v>
      </ns0:c>
      <ns0:c r="X320" s="74" t="str">
        <ns0:v>B · Benchmark premium regional</ns0:v>
      </ns0:c>
      <ns0:c r="Y320" s="74" t="str">
        <ns0:v>Média</ns0:v>
      </ns0:c>
      <ns0:c r="Z320" s="74" t="str">
        <ns0:v>Penthouse T3; área bruta publicada 139 m²; exterior não separado na fonte consultada.</ns0:v>
      </ns0:c>
      <ns0:c r="AA320" s="74" t="str">
        <ns0:v>Manter como benchmark estratégico; confirmar áreas interiores quando disponíveis.</ns0:v>
      </ns0:c>
      <ns0:c r="AB320" s="74" t="str">
        <ns0:v>Média</ns0:v>
      </ns0:c>
    </ns0:row>
    <ns0:row r="321">
      <ns0:c r="A321" s="1"/>
      <ns0:c r="B321" s="1"/>
      <ns0:c r="C321" s="1"/>
      <ns0:c r="D321" s="1"/>
      <ns0:c r="F321" s="5"/>
      <ns0:c r="G321" s="5"/>
      <ns0:c r="H321" s="5"/>
      <ns0:c r="I321" s="6"/>
      <ns0:c r="J321" s="1"/>
      <ns0:c r="K321" s="6"/>
      <ns0:c r="L321" s="6"/>
      <ns0:c r="P321" s="8"/>
      <ns0:c r="W321" s="7"/>
    </ns0:row>
    <ns0:row r="322">
      <ns0:c r="A322" s="1"/>
      <ns0:c r="B322" s="1"/>
      <ns0:c r="C322" s="1"/>
      <ns0:c r="D322" s="1"/>
      <ns0:c r="F322" s="5"/>
      <ns0:c r="G322" s="5"/>
      <ns0:c r="H322" s="5"/>
      <ns0:c r="I322" s="6"/>
      <ns0:c r="J322" s="1"/>
      <ns0:c r="K322" s="6"/>
      <ns0:c r="L322" s="6"/>
      <ns0:c r="P322" s="8"/>
      <ns0:c r="W322" s="7"/>
    </ns0:row>
    <ns0:row r="323">
      <ns0:c r="A323" s="1"/>
      <ns0:c r="B323" s="1"/>
      <ns0:c r="C323" s="1"/>
      <ns0:c r="D323" s="1"/>
      <ns0:c r="F323" s="5"/>
      <ns0:c r="G323" s="5"/>
      <ns0:c r="H323" s="5"/>
      <ns0:c r="I323" s="6"/>
      <ns0:c r="J323" s="1"/>
      <ns0:c r="K323" s="6"/>
      <ns0:c r="L323" s="6"/>
      <ns0:c r="P323" s="8"/>
      <ns0:c r="W323" s="7"/>
    </ns0:row>
    <ns0:row r="324">
      <ns0:c r="A324" s="1"/>
      <ns0:c r="B324" s="1"/>
      <ns0:c r="C324" s="1"/>
      <ns0:c r="D324" s="1"/>
      <ns0:c r="F324" s="5"/>
      <ns0:c r="G324" s="5"/>
      <ns0:c r="H324" s="5"/>
      <ns0:c r="I324" s="6"/>
      <ns0:c r="J324" s="1"/>
      <ns0:c r="K324" s="6"/>
      <ns0:c r="L324" s="6"/>
      <ns0:c r="P324" s="8"/>
      <ns0:c r="W324" s="7"/>
    </ns0:row>
    <ns0:row r="325">
      <ns0:c r="A325" s="1"/>
      <ns0:c r="B325" s="1"/>
      <ns0:c r="C325" s="1"/>
      <ns0:c r="D325" s="1"/>
      <ns0:c r="F325" s="5"/>
      <ns0:c r="G325" s="5"/>
      <ns0:c r="H325" s="5"/>
      <ns0:c r="I325" s="6"/>
      <ns0:c r="J325" s="1"/>
      <ns0:c r="K325" s="6"/>
      <ns0:c r="L325" s="6"/>
      <ns0:c r="P325" s="8"/>
      <ns0:c r="W325" s="7"/>
    </ns0:row>
    <ns0:row r="326">
      <ns0:c r="A326" s="1"/>
      <ns0:c r="B326" s="1"/>
      <ns0:c r="C326" s="1"/>
      <ns0:c r="D326" s="1"/>
      <ns0:c r="F326" s="5"/>
      <ns0:c r="G326" s="5"/>
      <ns0:c r="H326" s="5"/>
      <ns0:c r="I326" s="6"/>
      <ns0:c r="J326" s="1"/>
      <ns0:c r="K326" s="6"/>
      <ns0:c r="L326" s="6"/>
      <ns0:c r="P326" s="8"/>
      <ns0:c r="W326" s="7"/>
    </ns0:row>
    <ns0:row r="327">
      <ns0:c r="A327" s="1"/>
      <ns0:c r="B327" s="1"/>
      <ns0:c r="C327" s="1"/>
      <ns0:c r="D327" s="1"/>
      <ns0:c r="F327" s="5"/>
      <ns0:c r="G327" s="5"/>
      <ns0:c r="H327" s="5"/>
      <ns0:c r="I327" s="6"/>
      <ns0:c r="J327" s="1"/>
      <ns0:c r="K327" s="6"/>
      <ns0:c r="L327" s="6"/>
      <ns0:c r="P327" s="8"/>
      <ns0:c r="W327" s="7"/>
    </ns0:row>
    <ns0:row r="328">
      <ns0:c r="A328" s="1"/>
      <ns0:c r="B328" s="1"/>
      <ns0:c r="C328" s="1"/>
      <ns0:c r="D328" s="1"/>
      <ns0:c r="F328" s="5"/>
      <ns0:c r="G328" s="5"/>
      <ns0:c r="H328" s="5"/>
      <ns0:c r="I328" s="6"/>
      <ns0:c r="J328" s="1"/>
      <ns0:c r="K328" s="6"/>
      <ns0:c r="L328" s="6"/>
      <ns0:c r="P328" s="8"/>
      <ns0:c r="W328" s="7"/>
    </ns0:row>
    <ns0:row r="329">
      <ns0:c r="A329" s="1"/>
      <ns0:c r="B329" s="1"/>
      <ns0:c r="C329" s="1"/>
      <ns0:c r="D329" s="1"/>
      <ns0:c r="F329" s="5"/>
      <ns0:c r="G329" s="5"/>
      <ns0:c r="H329" s="5"/>
      <ns0:c r="I329" s="6"/>
      <ns0:c r="J329" s="1"/>
      <ns0:c r="K329" s="6"/>
      <ns0:c r="L329" s="6"/>
      <ns0:c r="P329" s="8"/>
      <ns0:c r="W329" s="7"/>
    </ns0:row>
    <ns0:row r="330">
      <ns0:c r="A330" s="1"/>
      <ns0:c r="B330" s="1"/>
      <ns0:c r="C330" s="1"/>
      <ns0:c r="D330" s="1"/>
      <ns0:c r="F330" s="5"/>
      <ns0:c r="G330" s="5"/>
      <ns0:c r="H330" s="5"/>
      <ns0:c r="I330" s="6"/>
      <ns0:c r="J330" s="1"/>
      <ns0:c r="K330" s="6"/>
      <ns0:c r="L330" s="6"/>
      <ns0:c r="P330" s="8"/>
      <ns0:c r="W330" s="7"/>
    </ns0:row>
    <ns0:row r="331">
      <ns0:c r="A331" s="1"/>
      <ns0:c r="B331" s="1"/>
      <ns0:c r="C331" s="1"/>
      <ns0:c r="D331" s="1"/>
      <ns0:c r="F331" s="5"/>
      <ns0:c r="G331" s="5"/>
      <ns0:c r="H331" s="5"/>
      <ns0:c r="I331" s="6"/>
      <ns0:c r="J331" s="1"/>
      <ns0:c r="K331" s="6"/>
      <ns0:c r="L331" s="6"/>
      <ns0:c r="P331" s="8"/>
      <ns0:c r="W331" s="7"/>
    </ns0:row>
  </ns0:sheetData>
  <ns0:conditionalFormatting sqref="X2:X331">
    <ns0:cfRule type="expression" dxfId="6" priority="2">
      <ns0:formula>LEFT($X2,1)="A"</ns0:formula>
    </ns0:cfRule>
    <ns0:cfRule type="expression" dxfId="5" priority="3">
      <ns0:formula>LEFT($X2,1)="C"</ns0:formula>
    </ns0:cfRule>
  </ns0:conditionalFormatting>
  <ns0:conditionalFormatting sqref="AB2:AB331">
    <ns0:cfRule type="expression" dxfId="4" priority="1">
      <ns0:formula>$AB2="Alta"</ns0:formula>
    </ns0:cfRule>
  </ns0:conditionalFormatting>
  <ns0:dataValidations count="4">
    <ns0:dataValidation type="list" sqref="M2:M306">
      <ns0:formula1>"Projeto,Ativo,Rever,Histórico,Reservado,Vendido"</ns0:formula1>
    </ns0:dataValidation>
    <ns0:dataValidation type="list" sqref="Q2:Q306">
      <ns0:formula1>"Projeto,Premium waterfront/marina,Benchmark local,Histórico,A classificar"</ns0:formula1>
    </ns0:dataValidation>
    <ns0:dataValidation type="list" sqref="T2:U306">
      <ns0:formula1>"Sim,Não,A confirmar"</ns0:formula1>
    </ns0:dataValidation>
    <ns0:dataValidation type="list" sqref="R2:R174 R176:R306">
      <ns0:formula1>"Nova construção,Usado recente,Usado,A confirmar"</ns0:formula1>
    </ns0:dataValidation>
  </ns0:dataValidations>
  <ns0:pageMargins left="0.7" right="0.7" top="0.75" bottom="0.75" header="0.3" footer="0.3"/>
  <ns0:tableParts count="1">
    <ns0:tablePart ns1:id="R25b6baa583634dbb"/>
  </ns0:tableParts>
</ns0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80" customWidth="1"/>
  </x:cols>
  <x:sheetData>
    <x:row r="1">
      <x:c r="A1" s="2" t="s">
        <x:v>316</x:v>
      </x:c>
    </x:row>
    <x:row r="2">
      <x:c r="A2" s="3"/>
    </x:row>
    <x:row r="3">
      <x:c r="A3" s="2" t="s">
        <x:v>317</x:v>
      </x:c>
    </x:row>
    <x:row r="4">
      <x:c r="A4" s="3" t="s">
        <x:v>318</x:v>
      </x:c>
    </x:row>
    <x:row r="5">
      <x:c r="A5" s="3" t="s">
        <x:v>319</x:v>
      </x:c>
    </x:row>
    <x:row r="6">
      <x:c r="A6" s="3" t="s">
        <x:v>320</x:v>
      </x:c>
    </x:row>
    <x:row r="7">
      <x:c r="A7" s="3"/>
    </x:row>
    <x:row r="8">
      <x:c r="A8" s="2" t="s">
        <x:v>321</x:v>
      </x:c>
    </x:row>
    <x:row r="9" ht="28.799999237060547">
      <x:c r="A9" s="2" t="s">
        <x:v>322</x:v>
      </x:c>
    </x:row>
    <x:row r="10">
      <x:c r="A10" s="2" t="s">
        <x:v>323</x:v>
      </x:c>
    </x:row>
    <x:row r="11">
      <x:c r="A11" s="2" t="s">
        <x:v>324</x:v>
      </x:c>
    </x:row>
    <x:row r="12">
      <x:c r="A12" s="2" t="s">
        <x:v>325</x:v>
      </x:c>
    </x:row>
    <x:row r="13">
      <x:c r="A13" s="2" t="s">
        <x:v>326</x:v>
      </x:c>
    </x:row>
    <x:row r="14">
      <x:c r="A14" s="2" t="s">
        <x:v>327</x:v>
      </x:c>
    </x:row>
    <x:row r="15">
      <x:c r="A15" s="2" t="s">
        <x:v>328</x:v>
      </x:c>
    </x:row>
    <x:row r="16">
      <x:c r="A16" s="2" t="s">
        <x:v>329</x:v>
      </x:c>
    </x:row>
    <x:row r="17">
      <x:c r="A17" s="2" t="s">
        <x:v>330</x:v>
      </x:c>
    </x:row>
    <x:row r="18">
      <x:c r="A18" s="3"/>
    </x:row>
    <x:row r="19">
      <x:c r="A19" s="2" t="s">
        <x:v>331</x:v>
      </x:c>
    </x:row>
    <x:row r="20">
      <x:c r="A20" s="3" t="s">
        <x:v>332</x:v>
      </x:c>
    </x:row>
    <x:row r="21">
      <x:c r="A21" s="3" t="s">
        <x:v>333</x:v>
      </x:c>
    </x:row>
    <x:row r="22">
      <x:c r="A22" s="3" t="s">
        <x:v>334</x:v>
      </x:c>
    </x:row>
    <x:row r="23">
      <x:c r="A23" s="3"/>
    </x:row>
    <x:row r="24">
      <x:c r="A24" s="2" t="s">
        <x:v>335</x:v>
      </x:c>
    </x:row>
    <x:row r="25">
      <x:c r="A25" s="3" t="s">
        <x:v>336</x:v>
      </x:c>
    </x:row>
    <x:row r="26">
      <x:c r="A26" s="3" t="s">
        <x:v>337</x:v>
      </x:c>
    </x:row>
    <x:row r="27">
      <x:c r="A27" s="3" t="s">
        <x:v>338</x:v>
      </x:c>
    </x:row>
    <x:row r="28">
      <x:c r="A28" s="3" t="s">
        <x:v>339</x:v>
      </x:c>
    </x:row>
    <x:row r="29">
      <x:c r="A29" s="3" t="s">
        <x:v>340</x:v>
      </x:c>
    </x:row>
    <x:row r="30">
      <x:c r="A30" s="3"/>
    </x:row>
    <x:row r="31">
      <x:c r="A31" s="2" t="s">
        <x:v>341</x:v>
      </x:c>
    </x:row>
    <x:row r="32">
      <x:c r="A32" s="2" t="s">
        <x:v>342</x:v>
      </x:c>
    </x:row>
    <x:row r="33">
      <x:c r="A33" s="2" t="s">
        <x:v>343</x:v>
      </x:c>
    </x:row>
    <x:row r="34">
      <x:c r="A34" s="2" t="s">
        <x:v>344</x:v>
      </x:c>
    </x:row>
    <x:row r="35">
      <x:c r="A35" s="2" t="s">
        <x:v>345</x:v>
      </x:c>
    </x:row>
    <x:row r="36" ht="28.799999237060547">
      <x:c r="A36" s="2" t="s">
        <x:v>346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399999618530273"/>
  <x:cols>
    <x:col min="1" max="1" width="15.77734375" customWidth="1"/>
    <x:col min="2" max="2" width="5.109375" customWidth="1"/>
    <x:col min="3" max="3" width="16" customWidth="1"/>
    <x:col min="4" max="4" width="8.33203125" customWidth="1"/>
    <x:col min="5" max="5" width="8.5546875" customWidth="1"/>
    <x:col min="6" max="6" width="31.109375" customWidth="1"/>
  </x:cols>
  <x:sheetData>
    <x:row r="1" ht="21">
      <x:c r="A1" s="104" t="s">
        <x:v>347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05" t="s">
        <x:v>348</x:v>
      </x:c>
      <x:c r="B3" s="105" t="s">
        <x:v>349</x:v>
      </x:c>
      <x:c r="C3" s="105" t="s">
        <x:v>350</x:v>
      </x:c>
      <x:c r="D3" s="74"/>
      <x:c r="E3" s="74"/>
      <x:c r="F3" s="74"/>
      <x:c r="G3" s="74"/>
      <x:c r="H3" s="74"/>
    </x:row>
    <x:row r="4">
      <x:c r="A4" s="74" t="str">
        <x:v>Total de linhas</x:v>
      </x:c>
      <x:c r="B4" s="74" t="n">
        <x:v>319</x:v>
      </x:c>
      <x:c r="C4" s="74" t="str">
        <x:v>Inclui The View e concorrentes</x:v>
      </x:c>
      <x:c r="D4" s="74"/>
      <x:c r="E4" s="74"/>
      <x:c r="F4" s="74"/>
      <x:c r="G4" s="74"/>
      <x:c r="H4" s="74"/>
    </x:row>
    <x:row r="5">
      <x:c r="A5" s="74" t="str">
        <x:v>Frações The View</x:v>
      </x:c>
      <x:c r="B5" s="74" t="n">
        <x:v>39</x:v>
      </x:c>
      <x:c r="C5" s="74" t="str">
        <x:v>Projeto próprio</x:v>
      </x:c>
      <x:c r="D5" s="74"/>
      <x:c r="E5" s="74"/>
      <x:c r="F5" s="74"/>
      <x:c r="G5" s="74"/>
      <x:c r="H5" s="74"/>
    </x:row>
    <x:row r="6">
      <x:c r="A6" s="74" t="str">
        <x:v>Frações concorrentes</x:v>
      </x:c>
      <x:c r="B6" s="74" t="n">
        <x:v>280</x:v>
      </x:c>
      <x:c r="C6" s="74" t="str">
        <x:v>Base competitiva atual</x:v>
      </x:c>
      <x:c r="D6" s="74"/>
      <x:c r="E6" s="74"/>
      <x:c r="F6" s="74"/>
      <x:c r="G6" s="74"/>
      <x:c r="H6" s="74"/>
    </x:row>
    <x:row r="7">
      <x:c r="A7" s="74" t="str">
        <x:v>Linhas 2024</x:v>
      </x:c>
      <x:c r="B7" s="74" t="n">
        <x:v>103</x:v>
      </x:c>
      <x:c r="C7" s="74" t="str">
        <x:v>Histórico com peso temporal 0,20</x:v>
      </x:c>
      <x:c r="D7" s="74"/>
      <x:c r="E7" s="74"/>
      <x:c r="F7" s="74"/>
      <x:c r="G7" s="74"/>
      <x:c r="H7" s="74"/>
    </x:row>
    <x:row r="8">
      <x:c r="A8" s="74" t="str">
        <x:v>Linhas 2026</x:v>
      </x:c>
      <x:c r="B8" s="74" t="n">
        <x:v>216</x:v>
      </x:c>
      <x:c r="C8" s="74" t="str">
        <x:v>Base mais atual</x:v>
      </x:c>
      <x:c r="D8" s="74"/>
      <x:c r="E8" s="74"/>
      <x:c r="F8" s="74"/>
      <x:c r="G8" s="74"/>
      <x:c r="H8" s="74"/>
    </x:row>
    <x:row r="9">
      <x:c r="A9" s="74" t="str">
        <x:v>Empreendimentos concorrentes</x:v>
      </x:c>
      <x:c r="B9" s="74" t="n">
        <x:v>8</x:v>
      </x:c>
      <x:c r="C9" s="74" t="str">
        <x:v>Base atual após inclusão de Prestige V e Plessis</x:v>
      </x:c>
      <x:c r="D9" s="74"/>
      <x:c r="E9" s="74"/>
      <x:c r="F9" s="74"/>
      <x:c r="G9" s="74"/>
      <x:c r="H9" s="74"/>
    </x:row>
    <x:row r="10">
      <x:c r="A10" s="74"/>
      <x:c r="B10" s="74"/>
      <x:c r="C10" s="74"/>
      <x:c r="D10" s="74"/>
      <x:c r="E10" s="74"/>
      <x:c r="F10" s="74"/>
      <x:c r="G10" s="74"/>
      <x:c r="H10" s="74"/>
    </x:row>
    <x:row r="11">
      <x:c r="A11" s="74"/>
      <x:c r="B11" s="74"/>
      <x:c r="C11" s="74"/>
      <x:c r="D11" s="74"/>
      <x:c r="E11" s="74"/>
      <x:c r="F11" s="74"/>
      <x:c r="G11" s="74"/>
      <x:c r="H11" s="74"/>
    </x:row>
    <x:row r="12">
      <x:c r="A12" s="105" t="str">
        <x:v>Empreendimento</x:v>
      </x:c>
      <x:c r="B12" s="105" t="str">
        <x:v>Linhas</x:v>
      </x:c>
      <x:c r="C12" s="105" t="str">
        <x:v>Mediana €/m² total</x:v>
      </x:c>
      <x:c r="D12" s="105" t="str">
        <x:v>Mín. €/m²</x:v>
      </x:c>
      <x:c r="E12" s="105" t="str">
        <x:v>Máx. €/m²</x:v>
      </x:c>
      <x:c r="F12" s="105" t="str">
        <x:v>Diagnóstico</x:v>
      </x:c>
      <x:c r="G12" s="74"/>
      <x:c r="H12" s="74"/>
    </x:row>
    <x:row r="13">
      <x:c r="A13" s="74" t="str">
        <x:v>Aura Living</x:v>
      </x:c>
      <x:c r="B13" s="74" t="n">
        <x:v>27</x:v>
      </x:c>
      <x:c r="C13" s="106" t="n">
        <x:v>5561</x:v>
      </x:c>
      <x:c r="D13" s="106" t="n">
        <x:v>4173</x:v>
      </x:c>
      <x:c r="E13" s="106" t="n">
        <x:v>9380</x:v>
      </x:c>
      <x:c r="F13" s="74" t="str">
        <x:v>Benchmark complementar; peso estratégico 0,50.</x:v>
      </x:c>
      <x:c r="G13" s="74"/>
      <x:c r="H13" s="74"/>
    </x:row>
    <x:row r="14">
      <x:c r="A14" s="74" t="str">
        <x:v>Del Mar Waterfront</x:v>
      </x:c>
      <x:c r="B14" s="74" t="n">
        <x:v>47</x:v>
      </x:c>
      <x:c r="C14" s="106" t="n">
        <x:v>5508</x:v>
      </x:c>
      <x:c r="D14" s="106" t="n">
        <x:v>3714</x:v>
      </x:c>
      <x:c r="E14" s="106" t="n">
        <x:v>8618</x:v>
      </x:c>
      <x:c r="F14" s="74" t="str">
        <x:v>Principal benchmark premium; oferta 2026 enriquecida e linhas não confirmadas marcadas para validação.</x:v>
      </x:c>
      <x:c r="G14" s="74"/>
      <x:c r="H14" s="74"/>
    </x:row>
    <x:row r="15">
      <x:c r="A15" s="74" t="str">
        <x:v>EVO Lux Garden</x:v>
      </x:c>
      <x:c r="B15" s="74" t="n">
        <x:v>77</x:v>
      </x:c>
      <x:c r="C15" s="106" t="n">
        <x:v>3969</x:v>
      </x:c>
      <x:c r="D15" s="106" t="n">
        <x:v>2278</x:v>
      </x:c>
      <x:c r="E15" s="106" t="n">
        <x:v>4926</x:v>
      </x:c>
      <x:c r="F15" s="74" t="str">
        <x:v>Comparável mecânico relevante; manter diversidade visual para não dominar os resultados.</x:v>
      </x:c>
      <x:c r="G15" s="74"/>
      <x:c r="H15" s="74"/>
    </x:row>
    <x:row r="16">
      <x:c r="A16" s="74" t="str">
        <x:v>Le Parc</x:v>
      </x:c>
      <x:c r="B16" s="74" t="n">
        <x:v>59</x:v>
      </x:c>
      <x:c r="C16" s="106" t="n">
        <x:v>3202</x:v>
      </x:c>
      <x:c r="D16" s="106" t="n">
        <x:v>2116</x:v>
      </x:c>
      <x:c r="E16" s="106" t="n">
        <x:v>4585</x:v>
      </x:c>
      <x:c r="F16" s="74" t="str">
        <x:v>Benchmark local secundário; peso 0,35 ativo e 0,20 histórico.</x:v>
      </x:c>
      <x:c r="G16" s="74"/>
      <x:c r="H16" s="74"/>
    </x:row>
    <x:row r="17">
      <x:c r="A17" s="74" t="str">
        <x:v>Palácio BR Avenida</x:v>
      </x:c>
      <x:c r="B17" s="74" t="n">
        <x:v>31</x:v>
      </x:c>
      <x:c r="C17" s="74" t="n">
        <x:v>4222</x:v>
      </x:c>
      <x:c r="D17" s="74" t="n">
        <x:v>3709</x:v>
      </x:c>
      <x:c r="E17" s="74" t="n">
        <x:v>5030</x:v>
      </x:c>
      <x:c r="F17" s="74" t="str">
        <x:v>Referência existente; manter até nova revisão específica.</x:v>
      </x:c>
      <x:c r="G17" s="74"/>
      <x:c r="H17" s="74"/>
    </x:row>
    <x:row r="18">
      <x:c r="A18" s="74" t="str">
        <x:v>Plessis Luxury Residence</x:v>
      </x:c>
      <x:c r="B18" s="74" t="n">
        <x:v>6</x:v>
      </x:c>
      <x:c r="C18" s="74" t="n">
        <x:v>4138</x:v>
      </x:c>
      <x:c r="D18" s="74" t="n">
        <x:v>2794</x:v>
      </x:c>
      <x:c r="E18" s="74" t="n">
        <x:v>5633</x:v>
      </x:c>
      <x:c r="F18" s="74" t="str">
        <x:v>Novo benchmark premium regional; peso 0,75; várias áreas públicas são brutas totais.</x:v>
      </x:c>
      <x:c r="G18" s="74"/>
      <x:c r="H18" s="74"/>
    </x:row>
    <x:row r="19">
      <x:c r="A19" s="74" t="str">
        <x:v>Prestige V</x:v>
      </x:c>
      <x:c r="B19" s="74" t="n">
        <x:v>8</x:v>
      </x:c>
      <x:c r="C19" s="74" t="n">
        <x:v>4105</x:v>
      </x:c>
      <x:c r="D19" s="74" t="n">
        <x:v>3475</x:v>
      </x:c>
      <x:c r="E19" s="74" t="n">
        <x:v>4377</x:v>
      </x:c>
      <x:c r="F19" s="74" t="str">
        <x:v>Novo benchmark estratégico Ria/Fuseta; peso 0,85; fontes detalhadas T2/T3.</x:v>
      </x:c>
      <x:c r="G19" s="74"/>
      <x:c r="H19" s="74"/>
    </x:row>
    <x:row r="20">
      <x:c r="A20" s="74" t="str">
        <x:v>Saramago Condomínio</x:v>
      </x:c>
      <x:c r="B20" s="74" t="n">
        <x:v>25</x:v>
      </x:c>
      <x:c r="C20" s="74" t="n">
        <x:v>3487</x:v>
      </x:c>
      <x:c r="D20" s="74" t="n">
        <x:v>2893</x:v>
      </x:c>
      <x:c r="E20" s="74" t="n">
        <x:v>4413</x:v>
      </x:c>
      <x:c r="F20" s="74" t="str">
        <x:v>Benchmark local/contextual existente.</x:v>
      </x:c>
      <x:c r="G20" s="74"/>
      <x:c r="H20" s="74"/>
    </x:row>
    <x:row r="21">
      <x:c r="A21" s="74" t="str">
        <x:v>The View</x:v>
      </x:c>
      <x:c r="B21" s="74" t="n">
        <x:v>39</x:v>
      </x:c>
      <x:c r="C21" s="74" t="n">
        <x:v>4089</x:v>
      </x:c>
      <x:c r="D21" s="74" t="n">
        <x:v>3599</x:v>
      </x:c>
      <x:c r="E21" s="74" t="n">
        <x:v>6674</x:v>
      </x:c>
      <x:c r="F21" s="74" t="str">
        <x:v>Projeto próprio.</x:v>
      </x:c>
      <x:c r="G21" s="74"/>
      <x:c r="H21" s="74"/>
    </x:row>
    <x:row r="22">
      <x:c r="A22" s="74"/>
      <x:c r="B22" s="74"/>
      <x:c r="C22" s="74"/>
      <x:c r="D22" s="74"/>
      <x:c r="E22" s="74"/>
      <x:c r="F22" s="74"/>
      <x:c r="G22" s="74"/>
      <x:c r="H22" s="74"/>
    </x:row>
    <x:row r="23">
      <x:c r="A23" s="74"/>
      <x:c r="B23" s="74"/>
      <x:c r="C23" s="74"/>
      <x:c r="D23" s="74"/>
      <x:c r="E23" s="74"/>
      <x:c r="F23" s="74"/>
      <x:c r="G23" s="74"/>
      <x:c r="H23" s="74"/>
    </x:row>
    <x:row r="24">
      <x:c r="A24" s="74"/>
      <x:c r="B24" s="74"/>
      <x:c r="C24" s="74"/>
      <x:c r="D24" s="74"/>
      <x:c r="E24" s="74"/>
      <x:c r="F24" s="74"/>
      <x:c r="G24" s="74"/>
      <x:c r="H24" s="74"/>
    </x:row>
    <x:row r="25">
      <x:c r="A25" s="74"/>
      <x:c r="B25" s="74"/>
      <x:c r="C25" s="74"/>
      <x:c r="D25" s="74"/>
      <x:c r="E25" s="74"/>
      <x:c r="F25" s="74"/>
      <x:c r="G25" s="74"/>
      <x:c r="H25" s="74"/>
    </x:row>
    <x:row r="26">
      <x:c r="A26" s="74"/>
      <x:c r="B26" s="74"/>
      <x:c r="C26" s="74"/>
      <x:c r="D26" s="74"/>
      <x:c r="E26" s="74"/>
      <x:c r="F26" s="74"/>
      <x:c r="G26" s="74"/>
      <x:c r="H26" s="74"/>
    </x:row>
    <x:row r="27">
      <x:c r="A27" s="74"/>
      <x:c r="B27" s="74"/>
      <x:c r="C27" s="74"/>
      <x:c r="D27" s="74"/>
      <x:c r="E27" s="74"/>
      <x:c r="F27" s="74"/>
      <x:c r="G27" s="74"/>
      <x:c r="H27" s="74"/>
    </x:row>
    <x:row r="28">
      <x:c r="A28" s="74"/>
      <x:c r="B28" s="74"/>
      <x:c r="C28" s="74"/>
      <x:c r="D28" s="74"/>
      <x:c r="E28" s="74"/>
      <x:c r="F28" s="74"/>
      <x:c r="G28" s="74"/>
      <x:c r="H28" s="74"/>
    </x:row>
    <x:row r="29">
      <x:c r="A29" s="74"/>
      <x:c r="B29" s="74"/>
      <x:c r="C29" s="74"/>
      <x:c r="D29" s="74"/>
      <x:c r="E29" s="74"/>
      <x:c r="F29" s="74"/>
      <x:c r="G29" s="74"/>
      <x:c r="H29" s="74"/>
    </x:row>
    <x:row r="30">
      <x:c r="A30" s="74"/>
      <x:c r="B30" s="74"/>
      <x:c r="C30" s="74"/>
      <x:c r="D30" s="74"/>
      <x:c r="E30" s="74"/>
      <x:c r="F30" s="74"/>
      <x:c r="G30" s="74"/>
      <x:c r="H30" s="74"/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26" customWidth="1"/>
    <x:col min="2" max="3" width="42" customWidth="1"/>
    <x:col min="4" max="4" width="36" customWidth="1"/>
    <x:col min="5" max="6" width="26" customWidth="1"/>
  </x:cols>
  <x:sheetData>
    <x:row r="1" ht="21">
      <x:c r="A1" s="104" t="s">
        <x:v>351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10" t="s">
        <x:v>352</x:v>
      </x:c>
      <x:c r="B3" s="110" t="s">
        <x:v>353</x:v>
      </x:c>
      <x:c r="C3" s="110" t="s">
        <x:v>354</x:v>
      </x:c>
      <x:c r="D3" s="110" t="s">
        <x:v>355</x:v>
      </x:c>
      <x:c r="E3" s="110" t="s">
        <x:v>356</x:v>
      </x:c>
      <x:c r="F3" s="110" t="s">
        <x:v>357</x:v>
      </x:c>
      <x:c r="G3" s="74"/>
      <x:c r="H3" s="74"/>
    </x:row>
    <x:row r="4" ht="28.799999237060547">
      <x:c r="A4" s="90" t="s">
        <x:v>358</x:v>
      </x:c>
      <x:c r="B4" s="90" t="s">
        <x:v>359</x:v>
      </x:c>
      <x:c r="C4" s="90" t="s">
        <x:v>360</x:v>
      </x:c>
      <x:c r="D4" s="90" t="s">
        <x:v>361</x:v>
      </x:c>
      <x:c r="E4" s="90"/>
      <x:c r="F4" s="90" t="str">
        <x:v>Em curso</x:v>
      </x:c>
      <x:c r="G4" s="74"/>
      <x:c r="H4" s="74"/>
    </x:row>
    <x:row r="5" ht="28.799999237060547">
      <x:c r="A5" s="90" t="s">
        <x:v>358</x:v>
      </x:c>
      <x:c r="B5" s="90" t="s">
        <x:v>362</x:v>
      </x:c>
      <x:c r="C5" s="90" t="s">
        <x:v>363</x:v>
      </x:c>
      <x:c r="D5" s="90" t="s">
        <x:v>364</x:v>
      </x:c>
      <x:c r="E5" s="90"/>
      <x:c r="F5" s="90" t="str">
        <x:v>Em curso</x:v>
      </x:c>
      <x:c r="G5" s="74"/>
      <x:c r="H5" s="74"/>
    </x:row>
    <x:row r="6" ht="28.799999237060547">
      <x:c r="A6" s="90" t="s">
        <x:v>358</x:v>
      </x:c>
      <x:c r="B6" s="90" t="s">
        <x:v>365</x:v>
      </x:c>
      <x:c r="C6" s="90" t="s">
        <x:v>366</x:v>
      </x:c>
      <x:c r="D6" s="90" t="s">
        <x:v>367</x:v>
      </x:c>
      <x:c r="E6" s="90"/>
      <x:c r="F6" s="90" t="str">
        <x:v>Concluído</x:v>
      </x:c>
      <x:c r="G6" s="74"/>
      <x:c r="H6" s="74"/>
    </x:row>
    <x:row r="7">
      <x:c r="A7" s="90" t="s">
        <x:v>368</x:v>
      </x:c>
      <x:c r="B7" s="90" t="s">
        <x:v>369</x:v>
      </x:c>
      <x:c r="C7" s="90" t="s">
        <x:v>370</x:v>
      </x:c>
      <x:c r="D7" s="90" t="s">
        <x:v>371</x:v>
      </x:c>
      <x:c r="E7" s="90"/>
      <x:c r="F7" s="90" t="str">
        <x:v>Em curso</x:v>
      </x:c>
      <x:c r="G7" s="74"/>
      <x:c r="H7" s="74"/>
    </x:row>
    <x:row r="8">
      <x:c r="A8" s="90" t="s">
        <x:v>368</x:v>
      </x:c>
      <x:c r="B8" s="90" t="s">
        <x:v>372</x:v>
      </x:c>
      <x:c r="C8" s="90" t="s">
        <x:v>373</x:v>
      </x:c>
      <x:c r="D8" s="90" t="s">
        <x:v>374</x:v>
      </x:c>
      <x:c r="E8" s="90"/>
      <x:c r="F8" s="90" t="str">
        <x:v>Em curso</x:v>
      </x:c>
      <x:c r="G8" s="74"/>
      <x:c r="H8" s="74"/>
    </x:row>
    <x:row r="9" ht="28.799999237060547">
      <x:c r="A9" s="90" t="s">
        <x:v>368</x:v>
      </x:c>
      <x:c r="B9" s="90" t="s">
        <x:v>375</x:v>
      </x:c>
      <x:c r="C9" s="90" t="s">
        <x:v>376</x:v>
      </x:c>
      <x:c r="D9" s="90" t="s">
        <x:v>377</x:v>
      </x:c>
      <x:c r="E9" s="90"/>
      <x:c r="F9" s="90" t="str">
        <x:v>Por fazer</x:v>
      </x:c>
      <x:c r="G9" s="74"/>
      <x:c r="H9" s="74"/>
    </x:row>
    <x:row r="10">
      <x:c r="A10" s="90" t="s">
        <x:v>378</x:v>
      </x:c>
      <x:c r="B10" s="90" t="s">
        <x:v>379</x:v>
      </x:c>
      <x:c r="C10" s="90" t="s">
        <x:v>380</x:v>
      </x:c>
      <x:c r="D10" s="90" t="s">
        <x:v>381</x:v>
      </x:c>
      <x:c r="E10" s="90"/>
      <x:c r="F10" s="90" t="s">
        <x:v>382</x:v>
      </x:c>
      <x:c r="G10" s="74"/>
      <x:c r="H10" s="74"/>
    </x:row>
    <x:row r="11">
      <x:c r="A11" s="74"/>
      <x:c r="B11" s="74" t="str">
        <x:v>Revalidar Prestige V, Plessis e Del Mar trimestralmente</x:v>
      </x:c>
      <x:c r="C11" s="74" t="str">
        <x:v>Atualizar preço, status, fonte e disponibilidade; preservar histórico</x:v>
      </x:c>
      <x:c r="D11" s="74" t="str">
        <x:v>Evita compset ativo desatualizado</x:v>
      </x:c>
      <x:c r="E11" s="74"/>
      <x:c r="F11" s="74" t="str">
        <x:v>Novo</x:v>
      </x:c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>
      <x:c r="A14" s="74"/>
      <x:c r="B14" s="74"/>
      <x:c r="C14" s="74"/>
      <x:c r="D14" s="74"/>
      <x:c r="E14" s="74"/>
      <x:c r="F14" s="74"/>
      <x:c r="G14" s="74"/>
      <x:c r="H14" s="74"/>
    </x:row>
  </x:sheetData>
  <x:mergeCells>
    <x:mergeCell ref="A1:F1"/>
  </x:mergeCells>
  <x:dataValidations count="1">
    <x:dataValidation type="list" sqref="F4:F10">
      <x:formula1>"Por fazer,Em progresso,Concluído"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28" customWidth="1"/>
    <x:col min="3" max="3" width="18" customWidth="1"/>
    <x:col min="4" max="4" width="24" customWidth="1"/>
    <x:col min="5" max="5" width="18" customWidth="1"/>
    <x:col min="6" max="6" width="14" customWidth="1"/>
    <x:col min="7" max="7" width="18" customWidth="1"/>
    <x:col min="8" max="8" width="24" customWidth="1"/>
    <x:col min="9" max="9" width="22" customWidth="1"/>
    <x:col min="10" max="10" width="12" customWidth="1"/>
    <x:col min="11" max="11" width="14" customWidth="1"/>
    <x:col min="12" max="12" width="38" customWidth="1"/>
    <x:col min="13" max="14" width="42" customWidth="1"/>
  </x:cols>
  <x:sheetData>
    <x:row r="1" ht="28.799999237060547">
      <x:c r="A1" s="70" t="s">
        <x:v>352</x:v>
      </x:c>
      <x:c r="B1" s="70" t="s">
        <x:v>383</x:v>
      </x:c>
      <x:c r="C1" s="70" t="s">
        <x:v>384</x:v>
      </x:c>
      <x:c r="D1" s="70" t="s">
        <x:v>385</x:v>
      </x:c>
      <x:c r="E1" s="70" t="s">
        <x:v>386</x:v>
      </x:c>
      <x:c r="F1" s="70" t="s">
        <x:v>387</x:v>
      </x:c>
      <x:c r="G1" s="70" t="s">
        <x:v>388</x:v>
      </x:c>
      <x:c r="H1" s="70" t="s">
        <x:v>389</x:v>
      </x:c>
      <x:c r="I1" s="70" t="s">
        <x:v>390</x:v>
      </x:c>
      <x:c r="J1" s="70" t="s">
        <x:v>391</x:v>
      </x:c>
      <x:c r="K1" s="70" t="s">
        <x:v>392</x:v>
      </x:c>
      <x:c r="L1" s="70" t="s">
        <x:v>393</x:v>
      </x:c>
      <x:c r="M1" s="70" t="s">
        <x:v>394</x:v>
      </x:c>
      <x:c r="N1" s="70" t="s">
        <x:v>395</x:v>
      </x:c>
    </x:row>
    <x:row r="2" ht="57.599998474121094">
      <x:c r="A2" s="90" t="s">
        <x:v>358</x:v>
      </x:c>
      <x:c r="B2" s="90" t="s">
        <x:v>396</x:v>
      </x:c>
      <x:c r="C2" s="90" t="s">
        <x:v>0</x:v>
      </x:c>
      <x:c r="D2" s="90" t="s">
        <x:v>397</x:v>
      </x:c>
      <x:c r="E2" s="90" t="s">
        <x:v>398</x:v>
      </x:c>
      <x:c r="F2" s="90" t="s">
        <x:v>399</x:v>
      </x:c>
      <x:c r="G2" s="90" t="s">
        <x:v>400</x:v>
      </x:c>
      <x:c r="H2" s="90" t="s">
        <x:v>238</x:v>
      </x:c>
      <x:c r="I2" s="90" t="s">
        <x:v>401</x:v>
      </x:c>
      <x:c r="J2" s="91">
        <x:v>0.95</x:v>
      </x:c>
      <x:c r="K2" s="90" t="s">
        <x:v>402</x:v>
      </x:c>
      <x:c r="L2" s="90" t="s">
        <x:v>403</x:v>
      </x:c>
      <x:c r="M2" s="90" t="s">
        <x:v>404</x:v>
      </x:c>
      <x:c r="N2" s="90" t="s">
        <x:v>405</x:v>
      </x:c>
    </x:row>
    <x:row r="3" ht="43.20000076293945">
      <x:c r="A3" s="90" t="s">
        <x:v>358</x:v>
      </x:c>
      <x:c r="B3" s="90" t="s">
        <x:v>406</x:v>
      </x:c>
      <x:c r="C3" s="90" t="s">
        <x:v>0</x:v>
      </x:c>
      <x:c r="D3" s="90" t="s">
        <x:v>407</x:v>
      </x:c>
      <x:c r="E3" s="90" t="s">
        <x:v>408</x:v>
      </x:c>
      <x:c r="F3" s="90" t="s">
        <x:v>409</x:v>
      </x:c>
      <x:c r="G3" s="90" t="s">
        <x:v>410</x:v>
      </x:c>
      <x:c r="H3" s="90" t="s">
        <x:v>238</x:v>
      </x:c>
      <x:c r="I3" s="90" t="s">
        <x:v>401</x:v>
      </x:c>
      <x:c r="J3" s="91">
        <x:v>0.9</x:v>
      </x:c>
      <x:c r="K3" s="90" t="s">
        <x:v>402</x:v>
      </x:c>
      <x:c r="L3" s="90" t="s">
        <x:v>411</x:v>
      </x:c>
      <x:c r="M3" s="90" t="s">
        <x:v>412</x:v>
      </x:c>
      <x:c r="N3" s="90" t="s">
        <x:v>413</x:v>
      </x:c>
    </x:row>
    <x:row r="4" ht="43.20000076293945">
      <x:c r="A4" s="90" t="s">
        <x:v>358</x:v>
      </x:c>
      <x:c r="B4" s="90" t="s">
        <x:v>176</x:v>
      </x:c>
      <x:c r="C4" s="90" t="s">
        <x:v>0</x:v>
      </x:c>
      <x:c r="D4" s="90" t="s">
        <x:v>414</x:v>
      </x:c>
      <x:c r="E4" s="90" t="s">
        <x:v>415</x:v>
      </x:c>
      <x:c r="F4" s="90" t="s">
        <x:v>416</x:v>
      </x:c>
      <x:c r="G4" s="90" t="s">
        <x:v>417</x:v>
      </x:c>
      <x:c r="H4" s="90" t="s">
        <x:v>418</x:v>
      </x:c>
      <x:c r="I4" s="90" t="s">
        <x:v>419</x:v>
      </x:c>
      <x:c r="J4" s="91">
        <x:v>0.75</x:v>
      </x:c>
      <x:c r="K4" s="90" t="s">
        <x:v>402</x:v>
      </x:c>
      <x:c r="L4" s="90" t="s">
        <x:v>420</x:v>
      </x:c>
      <x:c r="M4" s="90" t="s">
        <x:v>421</x:v>
      </x:c>
      <x:c r="N4" s="90" t="s">
        <x:v>422</x:v>
      </x:c>
    </x:row>
    <x:row r="5" ht="43.20000076293945">
      <x:c r="A5" s="90" t="str">
        <x:v>Alta</x:v>
      </x:c>
      <x:c r="B5" s="90" t="str">
        <x:v>Plessis Luxury Residence</x:v>
      </x:c>
      <x:c r="C5" s="90" t="str">
        <x:v>Empreendimento</x:v>
      </x:c>
      <x:c r="D5" s="90" t="str">
        <x:v>Pechão, Olhão; vistas Ria Formosa/salinas</x:v>
      </x:c>
      <x:c r="E5" s="90" t="str">
        <x:v>T2, T3 e T4; penthouses</x:v>
      </x:c>
      <x:c r="F5" s="90" t="str">
        <x:v>473.000 €</x:v>
      </x:c>
      <x:c r="G5" s="90" t="str">
        <x:v>37 apartamentos; 90-247 m² publicados</x:v>
      </x:c>
      <x:c r="H5" s="90" t="str">
        <x:v>Premium regional / lifestyle</x:v>
      </x:c>
      <x:c r="I5" s="90" t="str">
        <x:v>B · Benchmark premium regional</x:v>
      </x:c>
      <x:c r="J5" s="91" t="n">
        <x:v>0.75</x:v>
      </x:c>
      <x:c r="K5" s="90" t="str">
        <x:v>Ativo</x:v>
      </x:c>
      <x:c r="L5" s="90" t="str">
        <x:v>Manter unidades reais no Dados; completar ABP/exterior quando fontes discriminarem áreas</x:v>
      </x:c>
      <x:c r="M5" s="90" t="str">
        <x:v>https://www.idealista.pt/empreendimento/35108138/</x:v>
      </x:c>
      <x:c r="N5" s="90" t="str">
        <x:v>Atualizado com oferta pública 2026. Bom benchmark premium regional, mas com localização inferior à Marina/Waterfront.</x:v>
      </x:c>
    </x:row>
    <x:row r="6" ht="43.20000076293945">
      <x:c r="A6" s="90" t="s">
        <x:v>368</x:v>
      </x:c>
      <x:c r="B6" s="90" t="s">
        <x:v>423</x:v>
      </x:c>
      <x:c r="C6" s="90" t="s">
        <x:v>424</x:v>
      </x:c>
      <x:c r="D6" s="90" t="s">
        <x:v>425</x:v>
      </x:c>
      <x:c r="E6" s="90" t="s">
        <x:v>426</x:v>
      </x:c>
      <x:c r="F6" s="90" t="s">
        <x:v>427</x:v>
      </x:c>
      <x:c r="G6" s="90" t="s">
        <x:v>428</x:v>
      </x:c>
      <x:c r="H6" s="90" t="s">
        <x:v>429</x:v>
      </x:c>
      <x:c r="I6" s="90" t="s">
        <x:v>419</x:v>
      </x:c>
      <x:c r="J6" s="91">
        <x:v>0.6</x:v>
      </x:c>
      <x:c r="K6" s="90" t="s">
        <x:v>402</x:v>
      </x:c>
      <x:c r="L6" s="90" t="s">
        <x:v>430</x:v>
      </x:c>
      <x:c r="M6" s="90" t="s">
        <x:v>412</x:v>
      </x:c>
      <x:c r="N6" s="90" t="s">
        <x:v>431</x:v>
      </x:c>
    </x:row>
    <x:row r="7" ht="57.599998474121094">
      <x:c r="A7" s="90" t="s">
        <x:v>368</x:v>
      </x:c>
      <x:c r="B7" s="90" t="s">
        <x:v>432</x:v>
      </x:c>
      <x:c r="C7" s="90" t="s">
        <x:v>433</x:v>
      </x:c>
      <x:c r="D7" s="90" t="s">
        <x:v>434</x:v>
      </x:c>
      <x:c r="E7" s="90" t="s">
        <x:v>435</x:v>
      </x:c>
      <x:c r="F7" s="90" t="s">
        <x:v>436</x:v>
      </x:c>
      <x:c r="G7" s="90" t="s">
        <x:v>433</x:v>
      </x:c>
      <x:c r="H7" s="90" t="s">
        <x:v>437</x:v>
      </x:c>
      <x:c r="I7" s="90" t="s">
        <x:v>419</x:v>
      </x:c>
      <x:c r="J7" s="91">
        <x:v>0.55000000000000004</x:v>
      </x:c>
      <x:c r="K7" s="90" t="s">
        <x:v>402</x:v>
      </x:c>
      <x:c r="L7" s="90" t="s">
        <x:v>438</x:v>
      </x:c>
      <x:c r="M7" s="90" t="s">
        <x:v>439</x:v>
      </x:c>
      <x:c r="N7" s="90" t="s">
        <x:v>440</x:v>
      </x:c>
    </x:row>
    <x:row r="8" ht="43.20000076293945">
      <x:c r="A8" s="90" t="s">
        <x:v>378</x:v>
      </x:c>
      <x:c r="B8" s="90" t="s">
        <x:v>441</x:v>
      </x:c>
      <x:c r="C8" s="90" t="s">
        <x:v>442</x:v>
      </x:c>
      <x:c r="D8" s="90" t="s">
        <x:v>443</x:v>
      </x:c>
      <x:c r="E8" s="90" t="s">
        <x:v>444</x:v>
      </x:c>
      <x:c r="F8" s="90" t="s">
        <x:v>445</x:v>
      </x:c>
      <x:c r="G8" s="90" t="s">
        <x:v>446</x:v>
      </x:c>
      <x:c r="H8" s="90" t="s">
        <x:v>447</x:v>
      </x:c>
      <x:c r="I8" s="90" t="s">
        <x:v>448</x:v>
      </x:c>
      <x:c r="J8" s="91">
        <x:v>0.45</x:v>
      </x:c>
      <x:c r="K8" s="90" t="s">
        <x:v>402</x:v>
      </x:c>
      <x:c r="L8" s="90" t="s">
        <x:v>449</x:v>
      </x:c>
      <x:c r="M8" s="90" t="s">
        <x:v>450</x:v>
      </x:c>
      <x:c r="N8" s="90" t="s">
        <x:v>451</x:v>
      </x:c>
    </x:row>
    <x:row r="9" ht="43.20000076293945">
      <x:c r="A9" s="90" t="s">
        <x:v>378</x:v>
      </x:c>
      <x:c r="B9" s="90" t="s">
        <x:v>452</x:v>
      </x:c>
      <x:c r="C9" s="90" t="s">
        <x:v>453</x:v>
      </x:c>
      <x:c r="D9" s="90" t="s">
        <x:v>454</x:v>
      </x:c>
      <x:c r="E9" s="90" t="s">
        <x:v>455</x:v>
      </x:c>
      <x:c r="F9" s="90" t="s">
        <x:v>456</x:v>
      </x:c>
      <x:c r="G9" s="90" t="s">
        <x:v>457</x:v>
      </x:c>
      <x:c r="H9" s="90" t="s">
        <x:v>458</x:v>
      </x:c>
      <x:c r="I9" s="90" t="s">
        <x:v>448</x:v>
      </x:c>
      <x:c r="J9" s="91">
        <x:v>0.35</x:v>
      </x:c>
      <x:c r="K9" s="90" t="s">
        <x:v>402</x:v>
      </x:c>
      <x:c r="L9" s="90" t="s">
        <x:v>459</x:v>
      </x:c>
      <x:c r="M9" s="90" t="s">
        <x:v>460</x:v>
      </x:c>
      <x:c r="N9" s="90" t="s">
        <x:v>461</x:v>
      </x:c>
    </x:row>
    <x:row r="10">
      <x:c r="A10" s="74" t="str">
        <x:v>Alta</x:v>
      </x:c>
      <x:c r="B10" s="74" t="str">
        <x:v>Prestige V</x:v>
      </x:c>
      <x:c r="C10" s="74" t="str">
        <x:v>Empreendimento</x:v>
      </x:c>
      <x:c r="D10" s="74" t="str">
        <x:v>Fuseta, a poucos metros da Ria Formosa</x:v>
      </x:c>
      <x:c r="E10" s="74" t="str">
        <x:v>T2 e T3</x:v>
      </x:c>
      <x:c r="F10" s="74" t="str">
        <x:v>605.850 €</x:v>
      </x:c>
      <x:c r="G10" s="74" t="str">
        <x:v>18 apartamentos + 6 moradias; apartamentos ~145-186 m² na leitura interior+exterior</x:v>
      </x:c>
      <x:c r="H10" s="74" t="str">
        <x:v>Premium Ria/lifestyle</x:v>
      </x:c>
      <x:c r="I10" s="74" t="str">
        <x:v>A · Benchmark estratégico</x:v>
      </x:c>
      <x:c r="J10" s="74" t="n">
        <x:v>0.85</x:v>
      </x:c>
      <x:c r="K10" s="74" t="str">
        <x:v>Ativo</x:v>
      </x:c>
      <x:c r="L10" s="74" t="str">
        <x:v>Manter apenas apartamentos T2/T3 comparáveis; rever preços e disponibilidade trimestralmente</x:v>
      </x:c>
      <x:c r="M10" s="74" t="str">
        <x:v>https://www.idealista.pt/imovel/35323572/empreendimento/35323517/</x:v>
      </x:c>
      <x:c r="N10" s="74" t="str">
        <x:v>Novo benchmark estratégico 2026. Produto premium com piscina privativa e proximidade à Ria; não é waterfront Marina de Olhão.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</x:row>
  </x:sheetData>
  <x:conditionalFormatting sqref="A2:A9">
    <x:cfRule type="expression" dxfId="3" priority="1">
      <x:formula>$A2="Alta"</x:formula>
    </x:cfRule>
    <x:cfRule type="expression" dxfId="2" priority="2">
      <x:formula>$A2="Média"</x:formula>
    </x:cfRule>
    <x:cfRule type="expression" dxfId="1" priority="3">
      <x:formula>$A2="Baixa"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399999618530273"/>
  <x:cols>
    <x:col min="1" max="1" width="18" customWidth="1"/>
    <x:col min="2" max="2" width="36" customWidth="1"/>
    <x:col min="3" max="3" width="16" customWidth="1"/>
    <x:col min="4" max="4" width="14" customWidth="1"/>
    <x:col min="5" max="5" width="38" customWidth="1"/>
    <x:col min="6" max="6" width="28" customWidth="1"/>
  </x:cols>
  <x:sheetData>
    <x:row r="1" ht="28.799999237060547">
      <x:c r="A1" s="70" t="s">
        <x:v>462</x:v>
      </x:c>
      <x:c r="B1" s="70" t="s">
        <x:v>463</x:v>
      </x:c>
      <x:c r="C1" s="70" t="s">
        <x:v>464</x:v>
      </x:c>
      <x:c r="D1" s="70" t="s">
        <x:v>465</x:v>
      </x:c>
      <x:c r="E1" s="70" t="s">
        <x:v>466</x:v>
      </x:c>
      <x:c r="F1" s="70" t="s">
        <x:v>467</x:v>
      </x:c>
    </x:row>
    <x:row r="2" ht="28.799999237060547">
      <x:c r="A2" s="90" t="s">
        <x:v>385</x:v>
      </x:c>
      <x:c r="B2" s="90" t="s">
        <x:v>468</x:v>
      </x:c>
      <x:c r="C2" s="90">
        <x:v>1</x:v>
      </x:c>
      <x:c r="D2" s="90" t="s">
        <x:v>29</x:v>
      </x:c>
      <x:c r="E2" s="90" t="s">
        <x:v>469</x:v>
      </x:c>
      <x:c r="F2" s="90" t="s">
        <x:v>470</x:v>
      </x:c>
    </x:row>
    <x:row r="3" ht="28.799999237060547">
      <x:c r="A3" s="90" t="s">
        <x:v>385</x:v>
      </x:c>
      <x:c r="B3" s="90" t="s">
        <x:v>471</x:v>
      </x:c>
      <x:c r="C3" s="90">
        <x:v>0.7</x:v>
      </x:c>
      <x:c r="D3" s="90" t="s">
        <x:v>33</x:v>
      </x:c>
      <x:c r="E3" s="90" t="s">
        <x:v>472</x:v>
      </x:c>
      <x:c r="F3" s="90" t="s">
        <x:v>176</x:v>
      </x:c>
    </x:row>
    <x:row r="4" ht="28.799999237060547">
      <x:c r="A4" s="90" t="s">
        <x:v>385</x:v>
      </x:c>
      <x:c r="B4" s="90" t="s">
        <x:v>473</x:v>
      </x:c>
      <x:c r="C4" s="90">
        <x:v>0.35</x:v>
      </x:c>
      <x:c r="D4" s="90" t="s">
        <x:v>474</x:v>
      </x:c>
      <x:c r="E4" s="90" t="s">
        <x:v>475</x:v>
      </x:c>
      <x:c r="F4" s="90" t="s">
        <x:v>452</x:v>
      </x:c>
    </x:row>
    <x:row r="5">
      <x:c r="A5" s="90" t="s">
        <x:v>476</x:v>
      </x:c>
      <x:c r="B5" s="90" t="s">
        <x:v>477</x:v>
      </x:c>
      <x:c r="C5" s="90">
        <x:v>1</x:v>
      </x:c>
      <x:c r="D5" s="90" t="s">
        <x:v>478</x:v>
      </x:c>
      <x:c r="E5" s="90" t="s">
        <x:v>479</x:v>
      </x:c>
      <x:c r="F5" s="90" t="s">
        <x:v>480</x:v>
      </x:c>
    </x:row>
    <x:row r="6">
      <x:c r="A6" s="90" t="str">
        <x:v>Atualidade</x:v>
      </x:c>
      <x:c r="B6" s="90" t="str">
        <x:v>2024 ou dados históricos</x:v>
      </x:c>
      <x:c r="C6" s="90" t="n">
        <x:v>0.2</x:v>
      </x:c>
      <x:c r="D6" s="90" t="str">
        <x:v>C</x:v>
      </x:c>
      <x:c r="E6" s="90" t="str">
        <x:v>Manter para histórico/contexto; não deve puxar a recomendação atual sozinho.</x:v>
      </x:c>
      <x:c r="F6" s="90" t="str">
        <x:v>Dados 2024</x:v>
      </x:c>
    </x:row>
    <x:row r="7" ht="28.799999237060547">
      <x:c r="A7" s="90" t="s">
        <x:v>481</x:v>
      </x:c>
      <x:c r="B7" s="90" t="s">
        <x:v>482</x:v>
      </x:c>
      <x:c r="C7" s="90">
        <x:v>0.9</x:v>
      </x:c>
      <x:c r="D7" s="90" t="s">
        <x:v>478</x:v>
      </x:c>
      <x:c r="E7" s="90" t="s">
        <x:v>483</x:v>
      </x:c>
      <x:c r="F7" s="90" t="s">
        <x:v>484</x:v>
      </x:c>
    </x:row>
    <x:row r="8" ht="28.799999237060547">
      <x:c r="A8" s="90" t="s">
        <x:v>481</x:v>
      </x:c>
      <x:c r="B8" s="90" t="s">
        <x:v>485</x:v>
      </x:c>
      <x:c r="C8" s="90">
        <x:v>0.5</x:v>
      </x:c>
      <x:c r="D8" s="90" t="s">
        <x:v>486</x:v>
      </x:c>
      <x:c r="E8" s="90" t="s">
        <x:v>487</x:v>
      </x:c>
      <x:c r="F8" s="90" t="s">
        <x:v>488</x:v>
      </x:c>
    </x:row>
    <x:row r="9" ht="28.799999237060547">
      <x:c r="A9" s="90" t="s">
        <x:v>489</x:v>
      </x:c>
      <x:c r="B9" s="90" t="s">
        <x:v>490</x:v>
      </x:c>
      <x:c r="C9" s="90">
        <x:v>1</x:v>
      </x:c>
      <x:c r="D9" s="90" t="s">
        <x:v>478</x:v>
      </x:c>
      <x:c r="E9" s="90" t="s">
        <x:v>491</x:v>
      </x:c>
      <x:c r="F9" s="90" t="s">
        <x:v>492</x:v>
      </x:c>
    </x:row>
    <x:row r="10">
      <x:c r="A10" s="90" t="s">
        <x:v>489</x:v>
      </x:c>
      <x:c r="B10" s="90" t="s">
        <x:v>493</x:v>
      </x:c>
      <x:c r="C10" s="90">
        <x:v>0.4</x:v>
      </x:c>
      <x:c r="D10" s="90" t="s">
        <x:v>474</x:v>
      </x:c>
      <x:c r="E10" s="90" t="s">
        <x:v>494</x:v>
      </x:c>
      <x:c r="F10" s="90" t="s">
        <x:v>495</x:v>
      </x:c>
    </x:row>
    <x:row r="11">
      <x:c r="A11" s="74" t="str">
        <x:v>Atualidade</x:v>
      </x:c>
      <x:c r="B11" s="74" t="str">
        <x:v>2025</x:v>
      </x:c>
      <x:c r="C11" s="74" t="n">
        <x:v>0.6</x:v>
      </x:c>
      <x:c r="D11" s="74" t="str">
        <x:v>B/C</x:v>
      </x:c>
      <x:c r="E11" s="74" t="str">
        <x:v>Pode apoiar a leitura, mas abaixo de oferta ativa 2026.</x:v>
      </x:c>
      <x:c r="F11" s="74" t="str">
        <x:v>Registo validado de 2025</x:v>
      </x:c>
    </x:row>
    <x:row r="12">
      <x:c r="A12" s="74" t="str">
        <x:v>Compset 2026</x:v>
      </x:c>
      <x:c r="B12" s="74" t="str">
        <x:v>Del Mar Waterfront ativo</x:v>
      </x:c>
      <x:c r="C12" s="74" t="n">
        <x:v>1</x:v>
      </x:c>
      <x:c r="D12" s="74" t="str">
        <x:v>A</x:v>
      </x:c>
      <x:c r="E12" s="74" t="str">
        <x:v>Principal benchmark premium waterfront/marina.</x:v>
      </x:c>
      <x:c r="F12" s="74" t="str">
        <x:v>Del Mar</x:v>
      </x:c>
    </x:row>
    <x:row r="13">
      <x:c r="A13" s="74" t="str">
        <x:v>Compset 2026</x:v>
      </x:c>
      <x:c r="B13" s="74" t="str">
        <x:v>Prestige V</x:v>
      </x:c>
      <x:c r="C13" s="74" t="n">
        <x:v>0.85</x:v>
      </x:c>
      <x:c r="D13" s="74" t="str">
        <x:v>A</x:v>
      </x:c>
      <x:c r="E13" s="74" t="str">
        <x:v>Benchmark estratégico premium Ria/lifestyle.</x:v>
      </x:c>
      <x:c r="F13" s="74" t="str">
        <x:v>Prestige V</x:v>
      </x:c>
    </x:row>
    <x:row r="14">
      <x:c r="A14" s="74" t="str">
        <x:v>Compset 2026</x:v>
      </x:c>
      <x:c r="B14" s="74" t="str">
        <x:v>Plessis Luxury Residence</x:v>
      </x:c>
      <x:c r="C14" s="74" t="n">
        <x:v>0.75</x:v>
      </x:c>
      <x:c r="D14" s="74" t="str">
        <x:v>B</x:v>
      </x:c>
      <x:c r="E14" s="74" t="str">
        <x:v>Benchmark premium regional; localização menos direta.</x:v>
      </x:c>
      <x:c r="F14" s="74" t="str">
        <x:v>Plessis</x:v>
      </x:c>
    </x:row>
    <x:row r="15">
      <x:c r="A15" s="74" t="str">
        <x:v>Compset 2026</x:v>
      </x:c>
      <x:c r="B15" s="74" t="str">
        <x:v>Aura Living</x:v>
      </x:c>
      <x:c r="C15" s="74" t="n">
        <x:v>0.5</x:v>
      </x:c>
      <x:c r="D15" s="74" t="str">
        <x:v>B</x:v>
      </x:c>
      <x:c r="E15" s="74" t="str">
        <x:v>Benchmark complementar / piso inferior de mercado.</x:v>
      </x:c>
      <x:c r="F15" s="74" t="str">
        <x:v>Aura</x:v>
      </x:c>
    </x:row>
    <x:row r="16">
      <x:c r="A16" s="74" t="str">
        <x:v>Compset 2026</x:v>
      </x:c>
      <x:c r="B16" s="74" t="str">
        <x:v>Le Parc ativo</x:v>
      </x:c>
      <x:c r="C16" s="74" t="n">
        <x:v>0.35</x:v>
      </x:c>
      <x:c r="D16" s="74" t="str">
        <x:v>C</x:v>
      </x:c>
      <x:c r="E16" s="74" t="str">
        <x:v>Benchmark local secundário/contextual.</x:v>
      </x:c>
      <x:c r="F16" s="74" t="str">
        <x:v>Le Parc</x:v>
      </x:c>
    </x:row>
    <x:row r="17">
      <x:c r="A17" s="74"/>
      <x:c r="B17" s="74"/>
      <x:c r="C17" s="74"/>
      <x:c r="D17" s="74"/>
      <x:c r="E17" s="74"/>
      <x:c r="F17" s="74"/>
    </x:row>
    <x:row r="18">
      <x:c r="A18" s="74"/>
      <x:c r="B18" s="74"/>
      <x:c r="C18" s="74"/>
      <x:c r="D18" s="74"/>
      <x:c r="E18" s="74"/>
      <x:c r="F18" s="7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399999618530273"/>
  <x:cols>
    <x:col min="1" max="2" width="22" customWidth="1"/>
    <x:col min="3" max="3" width="9.33203125" customWidth="1"/>
    <x:col min="4" max="5" width="22" customWidth="1"/>
    <x:col min="6" max="6" width="3.21875" customWidth="1"/>
    <x:col min="7" max="7" width="13.5546875" customWidth="1"/>
    <x:col min="8" max="8" width="8.21875" customWidth="1"/>
    <x:col min="9" max="9" width="7.77734375" customWidth="1"/>
    <x:col min="10" max="10" width="12.33203125" customWidth="1"/>
    <x:col min="11" max="11" width="17.44140625" customWidth="1"/>
    <x:col min="12" max="12" width="17.6640625" customWidth="1"/>
    <x:col min="13" max="14" width="22" customWidth="1"/>
    <x:col min="15" max="15" width="38" customWidth="1"/>
    <x:col min="16" max="16" width="15.88671875" customWidth="1"/>
    <x:col min="17" max="18" width="22" customWidth="1"/>
    <x:col min="19" max="19" width="12.5546875" customWidth="1"/>
    <x:col min="20" max="21" width="9.33203125" customWidth="1"/>
    <x:col min="22" max="22" width="17.88671875" customWidth="1"/>
    <x:col min="23" max="23" width="13.77734375" customWidth="1"/>
    <x:col min="24" max="25" width="22" customWidth="1"/>
    <x:col min="26" max="27" width="38" customWidth="1"/>
    <x:col min="28" max="28" width="22" customWidth="1"/>
    <x:col min="30" max="30" width="6" customWidth="1"/>
    <x:col min="31" max="31" width="62" customWidth="1"/>
  </x:cols>
  <x:sheetData>
    <x:row r="1" ht="24" customHeight="1">
      <x:c r="A1" s="70" t="s">
        <x:v>0</x:v>
      </x:c>
      <x:c r="B1" s="70" t="s">
        <x:v>1</x:v>
      </x:c>
      <x:c r="C1" s="70" t="s">
        <x:v>2</x:v>
      </x:c>
      <x:c r="D1" s="70" t="s">
        <x:v>3</x:v>
      </x:c>
      <x:c r="E1" s="70" t="s">
        <x:v>4</x:v>
      </x:c>
      <x:c r="F1" s="70" t="s">
        <x:v>5</x:v>
      </x:c>
      <x:c r="G1" s="70" t="s">
        <x:v>6</x:v>
      </x:c>
      <x:c r="H1" s="70" t="s">
        <x:v>7</x:v>
      </x:c>
      <x:c r="I1" s="70" t="s">
        <x:v>8</x:v>
      </x:c>
      <x:c r="J1" s="70" t="s">
        <x:v>9</x:v>
      </x:c>
      <x:c r="K1" s="70" t="s">
        <x:v>10</x:v>
      </x:c>
      <x:c r="L1" s="70" t="s">
        <x:v>11</x:v>
      </x:c>
      <x:c r="M1" s="70" t="s">
        <x:v>12</x:v>
      </x:c>
      <x:c r="N1" s="70" t="s">
        <x:v>13</x:v>
      </x:c>
      <x:c r="O1" s="70" t="s">
        <x:v>14</x:v>
      </x:c>
      <x:c r="P1" s="70" t="s">
        <x:v>15</x:v>
      </x:c>
      <x:c r="Q1" s="70" t="s">
        <x:v>16</x:v>
      </x:c>
      <x:c r="R1" s="70" t="s">
        <x:v>17</x:v>
      </x:c>
      <x:c r="S1" s="70" t="s">
        <x:v>18</x:v>
      </x:c>
      <x:c r="T1" s="70" t="s">
        <x:v>19</x:v>
      </x:c>
      <x:c r="U1" s="70" t="s">
        <x:v>20</x:v>
      </x:c>
      <x:c r="V1" s="70" t="s">
        <x:v>21</x:v>
      </x:c>
      <x:c r="W1" s="70" t="s">
        <x:v>22</x:v>
      </x:c>
      <x:c r="X1" s="70" t="s">
        <x:v>23</x:v>
      </x:c>
      <x:c r="Y1" s="70" t="s">
        <x:v>24</x:v>
      </x:c>
      <x:c r="Z1" s="70" t="s">
        <x:v>25</x:v>
      </x:c>
      <x:c r="AA1" s="70" t="s">
        <x:v>26</x:v>
      </x:c>
      <x:c r="AB1" s="70" t="s">
        <x:v>27</x:v>
      </x:c>
      <x:c r="AD1" s="29" t="s">
        <x:v>496</x:v>
      </x:c>
      <x:c r="AE1" s="29"/>
      <x:c r="AF1" s="29"/>
      <x:c r="AG1" s="29"/>
      <x:c r="AH1" s="29"/>
    </x:row>
    <x:row r="2" ht="43.20000076293945">
      <x:c r="A2" s="94" t="s">
        <x:v>396</x:v>
      </x:c>
      <x:c r="B2" s="94" t="s">
        <x:v>497</x:v>
      </x:c>
      <x:c r="C2" s="94" t="s">
        <x:v>428</x:v>
      </x:c>
      <x:c r="D2" s="94" t="s">
        <x:v>498</x:v>
      </x:c>
      <x:c r="E2" s="94" t="s">
        <x:v>499</x:v>
      </x:c>
      <x:c r="F2" s="94"/>
      <x:c r="G2" s="94"/>
      <x:c r="H2" s="94"/>
      <x:c r="I2" s="95">
        <x:v>690000</x:v>
      </x:c>
      <x:c r="J2" s="94">
        <x:v>2026</x:v>
      </x:c>
      <x:c r="K2" s="95" t="str">
        <x:f t="shared" ref="K2:K9" si="0">IF(OR(F2="",I2=""),"",I2/F2)</x:f>
      </x:c>
      <x:c r="L2" s="95" t="str">
        <x:f t="shared" ref="L2:L9" si="1">IF(OR(H2="",I2=""),"",I2/H2)</x:f>
      </x:c>
      <x:c r="M2" s="94" t="s">
        <x:v>500</x:v>
      </x:c>
      <x:c r="N2" s="94" t="s">
        <x:v>501</x:v>
      </x:c>
      <x:c r="O2" s="94" t="s">
        <x:v>404</x:v>
      </x:c>
      <x:c r="P2" s="96">
        <x:v>46149</x:v>
      </x:c>
      <x:c r="Q2" s="94" t="s">
        <x:v>238</x:v>
      </x:c>
      <x:c r="R2" s="94" t="s">
        <x:v>32</x:v>
      </x:c>
      <x:c r="S2" s="94"/>
      <x:c r="T2" s="94" t="s">
        <x:v>502</x:v>
      </x:c>
      <x:c r="U2" s="94" t="s">
        <x:v>502</x:v>
      </x:c>
      <x:c r="V2" s="94"/>
      <x:c r="W2" s="97">
        <x:v>0.95</x:v>
      </x:c>
      <x:c r="X2" s="94" t="s">
        <x:v>401</x:v>
      </x:c>
      <x:c r="Y2" s="94" t="s">
        <x:v>368</x:v>
      </x:c>
      <x:c r="Z2" s="94" t="s">
        <x:v>503</x:v>
      </x:c>
      <x:c r="AA2" s="94" t="s">
        <x:v>504</x:v>
      </x:c>
      <x:c r="AB2" s="94" t="s">
        <x:v>358</x:v>
      </x:c>
      <x:c r="AD2" s="12" t="s">
        <x:v>505</x:v>
      </x:c>
      <x:c r="AE2" s="12" t="s">
        <x:v>506</x:v>
      </x:c>
    </x:row>
    <x:row r="3" ht="43.20000076293945">
      <x:c r="A3" s="94" t="s">
        <x:v>406</x:v>
      </x:c>
      <x:c r="B3" s="94" t="s">
        <x:v>507</x:v>
      </x:c>
      <x:c r="C3" s="94" t="s">
        <x:v>428</x:v>
      </x:c>
      <x:c r="D3" s="94" t="s">
        <x:v>508</x:v>
      </x:c>
      <x:c r="E3" s="94" t="s">
        <x:v>509</x:v>
      </x:c>
      <x:c r="F3" s="94"/>
      <x:c r="G3" s="94"/>
      <x:c r="H3" s="94"/>
      <x:c r="I3" s="95">
        <x:v>720000</x:v>
      </x:c>
      <x:c r="J3" s="94">
        <x:v>2026</x:v>
      </x:c>
      <x:c r="K3" s="95" t="str">
        <x:f t="shared" si="0"/>
      </x:c>
      <x:c r="L3" s="95" t="str">
        <x:f t="shared" si="1"/>
      </x:c>
      <x:c r="M3" s="94" t="s">
        <x:v>500</x:v>
      </x:c>
      <x:c r="N3" s="94" t="s">
        <x:v>510</x:v>
      </x:c>
      <x:c r="O3" s="94" t="s">
        <x:v>412</x:v>
      </x:c>
      <x:c r="P3" s="96">
        <x:v>46149</x:v>
      </x:c>
      <x:c r="Q3" s="94" t="s">
        <x:v>238</x:v>
      </x:c>
      <x:c r="R3" s="94" t="s">
        <x:v>32</x:v>
      </x:c>
      <x:c r="S3" s="94"/>
      <x:c r="T3" s="94" t="s">
        <x:v>502</x:v>
      </x:c>
      <x:c r="U3" s="94" t="s">
        <x:v>502</x:v>
      </x:c>
      <x:c r="V3" s="94"/>
      <x:c r="W3" s="97">
        <x:v>0.9</x:v>
      </x:c>
      <x:c r="X3" s="94" t="s">
        <x:v>401</x:v>
      </x:c>
      <x:c r="Y3" s="94" t="s">
        <x:v>368</x:v>
      </x:c>
      <x:c r="Z3" s="94" t="s">
        <x:v>511</x:v>
      </x:c>
      <x:c r="AA3" s="94" t="s">
        <x:v>512</x:v>
      </x:c>
      <x:c r="AB3" s="94" t="s">
        <x:v>358</x:v>
      </x:c>
      <x:c r="AD3" s="12" t="s">
        <x:v>513</x:v>
      </x:c>
      <x:c r="AE3" s="12" t="s">
        <x:v>514</x:v>
      </x:c>
    </x:row>
    <x:row r="4" ht="28.799999237060547">
      <x:c r="A4" s="94" t="s">
        <x:v>176</x:v>
      </x:c>
      <x:c r="B4" s="94" t="s">
        <x:v>515</x:v>
      </x:c>
      <x:c r="C4" s="94" t="s">
        <x:v>428</x:v>
      </x:c>
      <x:c r="D4" s="94" t="s">
        <x:v>516</x:v>
      </x:c>
      <x:c r="E4" s="94" t="s">
        <x:v>428</x:v>
      </x:c>
      <x:c r="F4" s="94"/>
      <x:c r="G4" s="94"/>
      <x:c r="H4" s="94"/>
      <x:c r="I4" s="95">
        <x:v>535500</x:v>
      </x:c>
      <x:c r="J4" s="94">
        <x:v>2026</x:v>
      </x:c>
      <x:c r="K4" s="95" t="str">
        <x:f t="shared" si="0"/>
      </x:c>
      <x:c r="L4" s="95" t="str">
        <x:f t="shared" si="1"/>
      </x:c>
      <x:c r="M4" s="94" t="s">
        <x:v>500</x:v>
      </x:c>
      <x:c r="N4" s="94" t="s">
        <x:v>510</x:v>
      </x:c>
      <x:c r="O4" s="94" t="s">
        <x:v>421</x:v>
      </x:c>
      <x:c r="P4" s="96">
        <x:v>46149</x:v>
      </x:c>
      <x:c r="Q4" s="94" t="s">
        <x:v>418</x:v>
      </x:c>
      <x:c r="R4" s="94" t="s">
        <x:v>32</x:v>
      </x:c>
      <x:c r="S4" s="94"/>
      <x:c r="T4" s="94" t="s">
        <x:v>502</x:v>
      </x:c>
      <x:c r="U4" s="94" t="s">
        <x:v>502</x:v>
      </x:c>
      <x:c r="V4" s="94">
        <x:v>300</x:v>
      </x:c>
      <x:c r="W4" s="97">
        <x:v>0.75</x:v>
      </x:c>
      <x:c r="X4" s="94" t="s">
        <x:v>419</x:v>
      </x:c>
      <x:c r="Y4" s="94" t="s">
        <x:v>368</x:v>
      </x:c>
      <x:c r="Z4" s="94" t="s">
        <x:v>517</x:v>
      </x:c>
      <x:c r="AA4" s="94" t="s">
        <x:v>518</x:v>
      </x:c>
      <x:c r="AB4" s="94" t="s">
        <x:v>358</x:v>
      </x:c>
      <x:c r="AD4" s="12" t="s">
        <x:v>519</x:v>
      </x:c>
      <x:c r="AE4" s="12" t="s">
        <x:v>520</x:v>
      </x:c>
    </x:row>
    <x:row r="5" ht="43.20000076293945">
      <x:c r="A5" s="94" t="str">
        <x:v>Plessis Luxury Residence</x:v>
      </x:c>
      <x:c r="B5" s="94" t="str">
        <x:v>CAND-004</x:v>
      </x:c>
      <x:c r="C5" s="94" t="str">
        <x:v>R/C a 2</x:v>
      </x:c>
      <x:c r="D5" s="94" t="str">
        <x:v>T2 / T3 / T4</x:v>
      </x:c>
      <x:c r="E5" s="94" t="str">
        <x:v>Ria Formosa / salinas</x:v>
      </x:c>
      <x:c r="F5" s="94"/>
      <x:c r="G5" s="94"/>
      <x:c r="H5" s="94"/>
      <x:c r="I5" s="95" t="n">
        <x:v>473000</x:v>
      </x:c>
      <x:c r="J5" s="94" t="n">
        <x:v>2026</x:v>
      </x:c>
      <x:c r="K5" s="95">
        <x:f t="shared" si="0"/>
      </x:c>
      <x:c r="L5" s="95">
        <x:f t="shared" si="1"/>
      </x:c>
      <x:c r="M5" s="94" t="str">
        <x:v>Candidato / Ativo</x:v>
      </x:c>
      <x:c r="N5" s="94" t="str">
        <x:v>Idealista</x:v>
      </x:c>
      <x:c r="O5" s="94" t="str">
        <x:v>https://www.idealista.pt/empreendimento/35108138/</x:v>
      </x:c>
      <x:c r="P5" s="98" t="n">
        <x:v>46295</x:v>
      </x:c>
      <x:c r="Q5" s="94" t="str">
        <x:v>Premium regional / lifestyle</x:v>
      </x:c>
      <x:c r="R5" s="94" t="str">
        <x:v>Nova construção</x:v>
      </x:c>
      <x:c r="S5" s="94" t="n">
        <x:v>2026</x:v>
      </x:c>
      <x:c r="T5" s="94" t="str">
        <x:v>Sim</x:v>
      </x:c>
      <x:c r="U5" s="94" t="str">
        <x:v>Sim</x:v>
      </x:c>
      <x:c r="V5" s="94"/>
      <x:c r="W5" s="97" t="n">
        <x:v>0.75</x:v>
      </x:c>
      <x:c r="X5" s="94" t="str">
        <x:v>B · Benchmark premium regional</x:v>
      </x:c>
      <x:c r="Y5" s="94" t="str">
        <x:v>Média</x:v>
      </x:c>
      <x:c r="Z5" s="94" t="str">
        <x:v>Já existem unidades reais adicionadas à folha Dados; várias fontes só publicam área bruta total.</x:v>
      </x:c>
      <x:c r="AA5" s="94" t="str">
        <x:v>Completar ABP/exterior por fração quando houver ficha técnica pública.</x:v>
      </x:c>
      <x:c r="AB5" s="94" t="str">
        <x:v>Média</x:v>
      </x:c>
      <x:c r="AD5" s="12" t="s">
        <x:v>521</x:v>
      </x:c>
      <x:c r="AE5" s="12" t="s">
        <x:v>522</x:v>
      </x:c>
    </x:row>
    <x:row r="6" ht="43.20000076293945">
      <x:c r="A6" s="94" t="s">
        <x:v>423</x:v>
      </x:c>
      <x:c r="B6" s="94" t="s">
        <x:v>523</x:v>
      </x:c>
      <x:c r="C6" s="94" t="s">
        <x:v>428</x:v>
      </x:c>
      <x:c r="D6" s="94" t="s">
        <x:v>524</x:v>
      </x:c>
      <x:c r="E6" s="94" t="s">
        <x:v>428</x:v>
      </x:c>
      <x:c r="F6" s="94"/>
      <x:c r="G6" s="94"/>
      <x:c r="H6" s="94"/>
      <x:c r="I6" s="95">
        <x:v>415000</x:v>
      </x:c>
      <x:c r="J6" s="94">
        <x:v>2026</x:v>
      </x:c>
      <x:c r="K6" s="95" t="str">
        <x:f t="shared" si="0"/>
      </x:c>
      <x:c r="L6" s="95" t="str">
        <x:f t="shared" si="1"/>
      </x:c>
      <x:c r="M6" s="94" t="s">
        <x:v>525</x:v>
      </x:c>
      <x:c r="N6" s="94" t="s">
        <x:v>510</x:v>
      </x:c>
      <x:c r="O6" s="94" t="s">
        <x:v>412</x:v>
      </x:c>
      <x:c r="P6" s="98">
        <x:v>46149</x:v>
      </x:c>
      <x:c r="Q6" s="94" t="s">
        <x:v>429</x:v>
      </x:c>
      <x:c r="R6" s="94" t="s">
        <x:v>32</x:v>
      </x:c>
      <x:c r="S6" s="94"/>
      <x:c r="T6" s="94" t="s">
        <x:v>428</x:v>
      </x:c>
      <x:c r="U6" s="94" t="s">
        <x:v>428</x:v>
      </x:c>
      <x:c r="V6" s="94"/>
      <x:c r="W6" s="97">
        <x:v>0.6</x:v>
      </x:c>
      <x:c r="X6" s="94" t="s">
        <x:v>419</x:v>
      </x:c>
      <x:c r="Y6" s="94" t="s">
        <x:v>378</x:v>
      </x:c>
      <x:c r="Z6" s="94" t="s">
        <x:v>526</x:v>
      </x:c>
      <x:c r="AA6" s="94" t="s">
        <x:v>527</x:v>
      </x:c>
      <x:c r="AB6" s="94" t="s">
        <x:v>368</x:v>
      </x:c>
      <x:c r="AD6" s="12" t="s">
        <x:v>528</x:v>
      </x:c>
      <x:c r="AE6" s="12" t="s">
        <x:v>529</x:v>
      </x:c>
    </x:row>
    <x:row r="7" ht="43.20000076293945">
      <x:c r="A7" s="94" t="s">
        <x:v>432</x:v>
      </x:c>
      <x:c r="B7" s="94" t="s">
        <x:v>530</x:v>
      </x:c>
      <x:c r="C7" s="94" t="s">
        <x:v>428</x:v>
      </x:c>
      <x:c r="D7" s="94" t="s">
        <x:v>531</x:v>
      </x:c>
      <x:c r="E7" s="94" t="s">
        <x:v>532</x:v>
      </x:c>
      <x:c r="F7" s="94"/>
      <x:c r="G7" s="94"/>
      <x:c r="H7" s="94"/>
      <x:c r="I7" s="95">
        <x:v>335000</x:v>
      </x:c>
      <x:c r="J7" s="94">
        <x:v>2026</x:v>
      </x:c>
      <x:c r="K7" s="95" t="str">
        <x:f t="shared" si="0"/>
      </x:c>
      <x:c r="L7" s="95" t="str">
        <x:f t="shared" si="1"/>
      </x:c>
      <x:c r="M7" s="94" t="s">
        <x:v>533</x:v>
      </x:c>
      <x:c r="N7" s="94" t="s">
        <x:v>501</x:v>
      </x:c>
      <x:c r="O7" s="94" t="s">
        <x:v>439</x:v>
      </x:c>
      <x:c r="P7" s="98">
        <x:v>46149</x:v>
      </x:c>
      <x:c r="Q7" s="94" t="s">
        <x:v>437</x:v>
      </x:c>
      <x:c r="R7" s="94" t="s">
        <x:v>534</x:v>
      </x:c>
      <x:c r="S7" s="94"/>
      <x:c r="T7" s="94" t="s">
        <x:v>428</x:v>
      </x:c>
      <x:c r="U7" s="94" t="s">
        <x:v>428</x:v>
      </x:c>
      <x:c r="V7" s="94"/>
      <x:c r="W7" s="97">
        <x:v>0.55000000000000004</x:v>
      </x:c>
      <x:c r="X7" s="94" t="s">
        <x:v>419</x:v>
      </x:c>
      <x:c r="Y7" s="94" t="s">
        <x:v>378</x:v>
      </x:c>
      <x:c r="Z7" s="94" t="s">
        <x:v>535</x:v>
      </x:c>
      <x:c r="AA7" s="94" t="s">
        <x:v>536</x:v>
      </x:c>
      <x:c r="AB7" s="94" t="s">
        <x:v>368</x:v>
      </x:c>
      <x:c r="AD7" s="12" t="s">
        <x:v>537</x:v>
      </x:c>
      <x:c r="AE7" s="12" t="s">
        <x:v>538</x:v>
      </x:c>
    </x:row>
    <x:row r="8" ht="43.20000076293945">
      <x:c r="A8" s="94" t="s">
        <x:v>441</x:v>
      </x:c>
      <x:c r="B8" s="94" t="s">
        <x:v>539</x:v>
      </x:c>
      <x:c r="C8" s="94" t="s">
        <x:v>428</x:v>
      </x:c>
      <x:c r="D8" s="94" t="s">
        <x:v>428</x:v>
      </x:c>
      <x:c r="E8" s="94" t="s">
        <x:v>428</x:v>
      </x:c>
      <x:c r="F8" s="94"/>
      <x:c r="G8" s="94"/>
      <x:c r="H8" s="94"/>
      <x:c r="I8" s="95">
        <x:v>335000</x:v>
      </x:c>
      <x:c r="J8" s="94">
        <x:v>2026</x:v>
      </x:c>
      <x:c r="K8" s="95" t="str">
        <x:f t="shared" si="0"/>
      </x:c>
      <x:c r="L8" s="95" t="str">
        <x:f t="shared" si="1"/>
      </x:c>
      <x:c r="M8" s="94" t="s">
        <x:v>500</x:v>
      </x:c>
      <x:c r="N8" s="94" t="s">
        <x:v>501</x:v>
      </x:c>
      <x:c r="O8" s="94" t="s">
        <x:v>450</x:v>
      </x:c>
      <x:c r="P8" s="98">
        <x:v>46149</x:v>
      </x:c>
      <x:c r="Q8" s="94" t="s">
        <x:v>447</x:v>
      </x:c>
      <x:c r="R8" s="94" t="s">
        <x:v>540</x:v>
      </x:c>
      <x:c r="S8" s="94"/>
      <x:c r="T8" s="94" t="s">
        <x:v>428</x:v>
      </x:c>
      <x:c r="U8" s="94" t="s">
        <x:v>428</x:v>
      </x:c>
      <x:c r="V8" s="94"/>
      <x:c r="W8" s="97">
        <x:v>0.45</x:v>
      </x:c>
      <x:c r="X8" s="94" t="s">
        <x:v>448</x:v>
      </x:c>
      <x:c r="Y8" s="94" t="s">
        <x:v>378</x:v>
      </x:c>
      <x:c r="Z8" s="94" t="s">
        <x:v>541</x:v>
      </x:c>
      <x:c r="AA8" s="94" t="s">
        <x:v>542</x:v>
      </x:c>
      <x:c r="AB8" s="94" t="s">
        <x:v>378</x:v>
      </x:c>
    </x:row>
    <x:row r="9" ht="43.20000076293945">
      <x:c r="A9" s="94" t="s">
        <x:v>452</x:v>
      </x:c>
      <x:c r="B9" s="94" t="s">
        <x:v>543</x:v>
      </x:c>
      <x:c r="C9" s="94" t="s">
        <x:v>428</x:v>
      </x:c>
      <x:c r="D9" s="94" t="s">
        <x:v>544</x:v>
      </x:c>
      <x:c r="E9" s="94" t="s">
        <x:v>545</x:v>
      </x:c>
      <x:c r="F9" s="94"/>
      <x:c r="G9" s="94"/>
      <x:c r="H9" s="94"/>
      <x:c r="I9" s="95">
        <x:v>860000</x:v>
      </x:c>
      <x:c r="J9" s="94">
        <x:v>2026</x:v>
      </x:c>
      <x:c r="K9" s="95" t="str">
        <x:f t="shared" si="0"/>
      </x:c>
      <x:c r="L9" s="95" t="str">
        <x:f t="shared" si="1"/>
      </x:c>
      <x:c r="M9" s="94" t="s">
        <x:v>546</x:v>
      </x:c>
      <x:c r="N9" s="94" t="s">
        <x:v>501</x:v>
      </x:c>
      <x:c r="O9" s="94" t="s">
        <x:v>460</x:v>
      </x:c>
      <x:c r="P9" s="98">
        <x:v>46149</x:v>
      </x:c>
      <x:c r="Q9" s="94" t="s">
        <x:v>458</x:v>
      </x:c>
      <x:c r="R9" s="94" t="s">
        <x:v>32</x:v>
      </x:c>
      <x:c r="S9" s="94"/>
      <x:c r="T9" s="94" t="s">
        <x:v>502</x:v>
      </x:c>
      <x:c r="U9" s="94" t="s">
        <x:v>502</x:v>
      </x:c>
      <x:c r="V9" s="94"/>
      <x:c r="W9" s="97">
        <x:v>0.35</x:v>
      </x:c>
      <x:c r="X9" s="94" t="s">
        <x:v>448</x:v>
      </x:c>
      <x:c r="Y9" s="94" t="s">
        <x:v>378</x:v>
      </x:c>
      <x:c r="Z9" s="94" t="s">
        <x:v>547</x:v>
      </x:c>
      <x:c r="AA9" s="94" t="s">
        <x:v>548</x:v>
      </x:c>
      <x:c r="AB9" s="94" t="s">
        <x:v>378</x:v>
      </x:c>
    </x:row>
    <x:row r="10">
      <x:c r="A10" s="74" t="str">
        <x:v>Prestige V</x:v>
      </x:c>
      <x:c r="B10" s="74" t="str">
        <x:v>CAND-009</x:v>
      </x:c>
      <x:c r="C10" s="74" t="n">
        <x:v>1</x:v>
      </x:c>
      <x:c r="D10" s="74" t="str">
        <x:v>T2 / T3</x:v>
      </x:c>
      <x:c r="E10" s="74" t="str">
        <x:v>Ria Formosa / Fuseta</x:v>
      </x:c>
      <x:c r="F10" s="74"/>
      <x:c r="G10" s="74"/>
      <x:c r="H10" s="74"/>
      <x:c r="I10" s="74" t="n">
        <x:v>605850</x:v>
      </x:c>
      <x:c r="J10" s="74" t="n">
        <x:v>2026</x:v>
      </x:c>
      <x:c r="K10" s="74"/>
      <x:c r="L10" s="74"/>
      <x:c r="M10" s="74" t="str">
        <x:v>Candidato / Ativo</x:v>
      </x:c>
      <x:c r="N10" s="74" t="str">
        <x:v>Idealista / CasaCerta</x:v>
      </x:c>
      <x:c r="O10" s="74" t="str">
        <x:v>https://www.idealista.pt/imovel/35323572/empreendimento/35323517/</x:v>
      </x:c>
      <x:c r="P10" s="75" t="n">
        <x:v>46295</x:v>
      </x:c>
      <x:c r="Q10" s="74" t="str">
        <x:v>Premium Ria/lifestyle</x:v>
      </x:c>
      <x:c r="R10" s="74" t="str">
        <x:v>Nova construção</x:v>
      </x:c>
      <x:c r="S10" s="74" t="n">
        <x:v>2027</x:v>
      </x:c>
      <x:c r="T10" s="74" t="str">
        <x:v>Sim</x:v>
      </x:c>
      <x:c r="U10" s="74" t="str">
        <x:v>Sim</x:v>
      </x:c>
      <x:c r="V10" s="74"/>
      <x:c r="W10" s="74" t="n">
        <x:v>0.85</x:v>
      </x:c>
      <x:c r="X10" s="74" t="str">
        <x:v>A · Benchmark estratégico</x:v>
      </x:c>
      <x:c r="Y10" s="74" t="str">
        <x:v>Alta</x:v>
      </x:c>
      <x:c r="Z10" s="74" t="str">
        <x:v>Unidades T2/T3 ativas já adicionadas à folha Dados com fontes individuais.</x:v>
      </x:c>
      <x:c r="AA10" s="74" t="str">
        <x:v>Revalidar disponibilidade/preço e, quando possível, fração oficial/orientação.</x:v>
      </x:c>
      <x:c r="AB10" s="74" t="str">
        <x:v>Média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  <x:c r="P11" s="74"/>
      <x:c r="Q11" s="74"/>
      <x:c r="R11" s="74"/>
      <x:c r="S11" s="74"/>
      <x:c r="T11" s="74"/>
      <x:c r="U11" s="74"/>
      <x:c r="V11" s="74"/>
      <x:c r="W11" s="74"/>
      <x:c r="X11" s="74"/>
      <x:c r="Y11" s="74"/>
      <x:c r="Z11" s="74"/>
      <x:c r="AA11" s="74"/>
      <x:c r="AB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  <x:c r="O12" s="74"/>
      <x:c r="P12" s="74"/>
      <x:c r="Q12" s="74"/>
      <x:c r="R12" s="74"/>
      <x:c r="S12" s="74"/>
      <x:c r="T12" s="74"/>
      <x:c r="U12" s="74"/>
      <x:c r="V12" s="74"/>
      <x:c r="W12" s="74"/>
      <x:c r="X12" s="74"/>
      <x:c r="Y12" s="74"/>
      <x:c r="Z12" s="74"/>
      <x:c r="AA12" s="74"/>
      <x:c r="AB12" s="74"/>
    </x:row>
  </x:sheetData>
  <x:mergeCells>
    <x:mergeCell ref="AD1:AH1"/>
  </x:mergeCells>
  <x:dataValidations count="3">
    <x:dataValidation type="list" sqref="M2:M9">
      <x:formula1>"Candidato / Ativo,Candidato / A validar,Candidato / Listagens individuais,Candidato / Estratégico,Ativo,Histórico"</x:formula1>
    </x:dataValidation>
    <x:dataValidation type="list" sqref="X2:X9">
      <x:formula1>"A · Premium ativo,B · Benchmark local,C · Histórico/secundário"</x:formula1>
    </x:dataValidation>
    <x:dataValidation type="list" sqref="AB2:AB9">
      <x:formula1>"Alta,Média,Baixa"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d12b1102d3489e"/>
  </x:tableParts>
</x:worksheet>
</file>

<file path=xl/worksheets/sheet8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14" customWidth="1"/>
    <x:col min="3" max="3" width="18" customWidth="1"/>
    <x:col min="4" max="4" width="16" customWidth="1"/>
    <x:col min="5" max="5" width="22" customWidth="1"/>
    <x:col min="6" max="6" width="12" customWidth="1"/>
    <x:col min="7" max="9" width="13" customWidth="1"/>
    <x:col min="10" max="10" width="22" customWidth="1"/>
    <x:col min="11" max="11" width="42" customWidth="1"/>
    <x:col min="12" max="12" width="62" customWidth="1"/>
  </x:cols>
  <x:sheetData>
    <x:row r="1" ht="28.799999237060547">
      <x:c r="A1" s="20" t="s">
        <x:v>549</x:v>
      </x:c>
      <x:c r="B1" s="20" t="s">
        <x:v>13</x:v>
      </x:c>
      <x:c r="C1" s="20" t="s">
        <x:v>550</x:v>
      </x:c>
      <x:c r="D1" s="20" t="s">
        <x:v>385</x:v>
      </x:c>
      <x:c r="E1" s="20" t="s">
        <x:v>16</x:v>
      </x:c>
      <x:c r="F1" s="20" t="s">
        <x:v>551</x:v>
      </x:c>
      <x:c r="G1" s="20" t="s">
        <x:v>552</x:v>
      </x:c>
      <x:c r="H1" s="20" t="s">
        <x:v>553</x:v>
      </x:c>
      <x:c r="I1" s="20" t="s">
        <x:v>554</x:v>
      </x:c>
      <x:c r="J1" s="20" t="s">
        <x:v>555</x:v>
      </x:c>
      <x:c r="K1" s="20" t="s">
        <x:v>556</x:v>
      </x:c>
      <x:c r="L1" s="20" t="s">
        <x:v>14</x:v>
      </x:c>
    </x:row>
    <x:row r="2" ht="28.799999237060547">
      <x:c r="A2" s="12" t="s">
        <x:v>557</x:v>
      </x:c>
      <x:c r="B2" s="12" t="s">
        <x:v>501</x:v>
      </x:c>
      <x:c r="C2" s="12" t="s">
        <x:v>558</x:v>
      </x:c>
      <x:c r="D2" s="12" t="s">
        <x:v>559</x:v>
      </x:c>
      <x:c r="E2" s="12" t="s">
        <x:v>560</x:v>
      </x:c>
      <x:c r="F2" s="21">
        <x:v>3121</x:v>
      </x:c>
      <x:c r="G2" s="22">
        <x:v>5.0000000000000001E-3</x:v>
      </x:c>
      <x:c r="H2" s="22">
        <x:v>2.4E-2</x:v>
      </x:c>
      <x:c r="I2" s="22">
        <x:v>0.108</x:v>
      </x:c>
      <x:c r="J2" s="12" t="s">
        <x:v>561</x:v>
      </x:c>
      <x:c r="K2" s="12" t="s">
        <x:v>562</x:v>
      </x:c>
      <x:c r="L2" s="12" t="s">
        <x:v>563</x:v>
      </x:c>
    </x:row>
    <x:row r="3" ht="28.799999237060547">
      <x:c r="A3" s="12" t="s">
        <x:v>557</x:v>
      </x:c>
      <x:c r="B3" s="12" t="s">
        <x:v>501</x:v>
      </x:c>
      <x:c r="C3" s="12" t="s">
        <x:v>558</x:v>
      </x:c>
      <x:c r="D3" s="12" t="s">
        <x:v>564</x:v>
      </x:c>
      <x:c r="E3" s="12" t="s">
        <x:v>565</x:v>
      </x:c>
      <x:c r="F3" s="21">
        <x:v>4009</x:v>
      </x:c>
      <x:c r="G3" s="22">
        <x:v>5.0000000000000001E-3</x:v>
      </x:c>
      <x:c r="H3" s="22">
        <x:v>2.8000000000000001E-2</x:v>
      </x:c>
      <x:c r="I3" s="22">
        <x:v>0.109</x:v>
      </x:c>
      <x:c r="J3" s="12" t="s">
        <x:v>566</x:v>
      </x:c>
      <x:c r="K3" s="12" t="s">
        <x:v>567</x:v>
      </x:c>
      <x:c r="L3" s="12" t="s">
        <x:v>568</x:v>
      </x:c>
    </x:row>
    <x:row r="4" ht="28.799999237060547">
      <x:c r="A4" s="12" t="s">
        <x:v>557</x:v>
      </x:c>
      <x:c r="B4" s="12" t="s">
        <x:v>501</x:v>
      </x:c>
      <x:c r="C4" s="12" t="s">
        <x:v>558</x:v>
      </x:c>
      <x:c r="D4" s="12" t="s">
        <x:v>425</x:v>
      </x:c>
      <x:c r="E4" s="12" t="s">
        <x:v>569</x:v>
      </x:c>
      <x:c r="F4" s="21">
        <x:v>3261</x:v>
      </x:c>
      <x:c r="G4" s="22">
        <x:v>1.6E-2</x:v>
      </x:c>
      <x:c r="H4" s="22">
        <x:v>2.7E-2</x:v>
      </x:c>
      <x:c r="I4" s="22">
        <x:v>9.7000000000000003E-2</x:v>
      </x:c>
      <x:c r="J4" s="12" t="s">
        <x:v>178</x:v>
      </x:c>
      <x:c r="K4" s="12" t="s">
        <x:v>570</x:v>
      </x:c>
      <x:c r="L4" s="12" t="s">
        <x:v>571</x:v>
      </x:c>
    </x:row>
    <x:row r="5" ht="43.20000076293945">
      <x:c r="A5" s="12" t="s">
        <x:v>572</x:v>
      </x:c>
      <x:c r="B5" s="12" t="s">
        <x:v>573</x:v>
      </x:c>
      <x:c r="C5" s="12" t="s">
        <x:v>574</x:v>
      </x:c>
      <x:c r="D5" s="12" t="s">
        <x:v>559</x:v>
      </x:c>
      <x:c r="E5" s="12" t="s">
        <x:v>560</x:v>
      </x:c>
      <x:c r="F5" s="21">
        <x:v>2076</x:v>
      </x:c>
      <x:c r="G5" s="22"/>
      <x:c r="H5" s="22"/>
      <x:c r="I5" s="22">
        <x:v>0.16800000000000001</x:v>
      </x:c>
      <x:c r="J5" s="12" t="s">
        <x:v>575</x:v>
      </x:c>
      <x:c r="K5" s="12" t="s">
        <x:v>576</x:v>
      </x:c>
      <x:c r="L5" s="12" t="s">
        <x:v>577</x:v>
      </x:c>
    </x:row>
    <x:row r="6" ht="43.20000076293945">
      <x:c r="A6" s="12" t="s">
        <x:v>572</x:v>
      </x:c>
      <x:c r="B6" s="12" t="s">
        <x:v>573</x:v>
      </x:c>
      <x:c r="C6" s="12" t="s">
        <x:v>574</x:v>
      </x:c>
      <x:c r="D6" s="12" t="s">
        <x:v>564</x:v>
      </x:c>
      <x:c r="E6" s="12" t="s">
        <x:v>565</x:v>
      </x:c>
      <x:c r="F6" s="21">
        <x:v>3139</x:v>
      </x:c>
      <x:c r="G6" s="22"/>
      <x:c r="H6" s="22"/>
      <x:c r="I6" s="22"/>
      <x:c r="J6" s="12" t="s">
        <x:v>575</x:v>
      </x:c>
      <x:c r="K6" s="12" t="s">
        <x:v>578</x:v>
      </x:c>
      <x:c r="L6" s="12" t="s">
        <x:v>577</x:v>
      </x:c>
    </x:row>
    <x:row r="7" ht="43.20000076293945">
      <x:c r="A7" s="12" t="s">
        <x:v>579</x:v>
      </x:c>
      <x:c r="B7" s="12" t="s">
        <x:v>573</x:v>
      </x:c>
      <x:c r="C7" s="12" t="s">
        <x:v>574</x:v>
      </x:c>
      <x:c r="D7" s="12" t="s">
        <x:v>559</x:v>
      </x:c>
      <x:c r="E7" s="12" t="s">
        <x:v>560</x:v>
      </x:c>
      <x:c r="F7" s="21">
        <x:v>2198</x:v>
      </x:c>
      <x:c r="G7" s="22"/>
      <x:c r="H7" s="22"/>
      <x:c r="I7" s="22">
        <x:v>0.17499999999999999</x:v>
      </x:c>
      <x:c r="J7" s="12" t="s">
        <x:v>580</x:v>
      </x:c>
      <x:c r="K7" s="12" t="s">
        <x:v>581</x:v>
      </x:c>
      <x:c r="L7" s="12" t="s">
        <x:v>582</x:v>
      </x:c>
    </x:row>
  </x:sheetData>
  <x:pageMargins left="0.7" right="0.7" top="0.75" bottom="0.75" header="0.3" footer="0.3"/>
  <x:tableParts count="1">
    <x:tablePart xmlns:r="http://schemas.openxmlformats.org/officeDocument/2006/relationships" r:id="Ra68d24752bbd456c"/>
  </x:tableParts>
</x:worksheet>
</file>

<file path=xl/worksheets/sheet9.xml><?xml version="1.0" encoding="utf-8"?>
<x:worksheet xmlns:x="http://schemas.openxmlformats.org/spreadsheetml/2006/main">
  <x:sheetFormatPr defaultRowHeight="14.399999618530273"/>
  <x:cols>
    <x:col min="1" max="1" width="8" customWidth="1"/>
    <x:col min="2" max="2" width="18" customWidth="1"/>
    <x:col min="3" max="3" width="55" customWidth="1"/>
    <x:col min="4" max="4" width="48" customWidth="1"/>
    <x:col min="6" max="6" width="18" customWidth="1"/>
    <x:col min="7" max="7" width="42" customWidth="1"/>
    <x:col min="8" max="8" width="62" customWidth="1"/>
  </x:cols>
  <x:sheetData>
    <x:row r="1" ht="22.350000381469727" customHeight="1">
      <x:c r="A1" s="112" t="s">
        <x:v>583</x:v>
      </x:c>
      <x:c r="B1" s="74"/>
      <x:c r="C1" s="74"/>
      <x:c r="D1" s="74"/>
      <x:c r="E1" s="74"/>
      <x:c r="F1" s="74"/>
      <x:c r="G1" s="74"/>
      <x:c r="H1" s="74"/>
      <x:c r="I1" s="74"/>
      <x:c r="J1" s="74"/>
      <x:c r="K1" s="74"/>
      <x:c r="L1" s="74"/>
      <x:c r="M1" s="74"/>
    </x:row>
    <x:row r="2">
      <x:c r="A2" s="74"/>
      <x:c r="B2" s="74"/>
      <x:c r="C2" s="74"/>
      <x:c r="D2" s="74"/>
      <x:c r="E2" s="74"/>
      <x:c r="F2" s="74"/>
      <x:c r="G2" s="74"/>
      <x:c r="H2" s="74"/>
      <x:c r="I2" s="74"/>
      <x:c r="J2" s="74"/>
      <x:c r="K2" s="74"/>
      <x:c r="L2" s="74"/>
      <x:c r="M2" s="74"/>
    </x:row>
    <x:row r="3" ht="28.799999237060547">
      <x:c r="A3" s="70" t="s">
        <x:v>584</x:v>
      </x:c>
      <x:c r="B3" s="70" t="s">
        <x:v>349</x:v>
      </x:c>
      <x:c r="C3" s="70" t="s">
        <x:v>585</x:v>
      </x:c>
      <x:c r="D3" s="70" t="s">
        <x:v>586</x:v>
      </x:c>
      <x:c r="E3" s="74"/>
      <x:c r="F3" s="70" t="s">
        <x:v>587</x:v>
      </x:c>
      <x:c r="G3" s="74"/>
      <x:c r="H3" s="74"/>
      <x:c r="I3" s="74"/>
      <x:c r="J3" s="74"/>
      <x:c r="K3" s="74"/>
      <x:c r="L3" s="74"/>
      <x:c r="M3" s="74"/>
    </x:row>
    <x:row r="4" ht="72">
      <x:c r="A4" s="113" t="s">
        <x:v>588</x:v>
      </x:c>
      <x:c r="B4" s="114">
        <x:v>4025.4237288135591</x:v>
      </x:c>
      <x:c r="C4" s="90" t="s">
        <x:v>589</x:v>
      </x:c>
      <x:c r="D4" s="90" t="s">
        <x:v>590</x:v>
      </x:c>
      <x:c r="E4" s="74"/>
      <x:c r="F4" s="90" t="s">
        <x:v>501</x:v>
      </x:c>
      <x:c r="G4" s="90" t="s">
        <x:v>591</x:v>
      </x:c>
      <x:c r="H4" s="90" t="s">
        <x:v>563</x:v>
      </x:c>
      <x:c r="I4" s="74"/>
      <x:c r="J4" s="74"/>
      <x:c r="K4" s="74"/>
      <x:c r="L4" s="74"/>
      <x:c r="M4" s="74"/>
    </x:row>
    <x:row r="5" ht="86.4000015258789">
      <x:c r="A5" s="113" t="s">
        <x:v>592</x:v>
      </x:c>
      <x:c r="B5" s="114" t="n">
        <x:v>4076.268198203993</x:v>
      </x:c>
      <x:c r="C5" s="90" t="s">
        <x:v>593</x:v>
      </x:c>
      <x:c r="D5" s="90" t="str">
        <x:v>Referência do compset alargado; interpretar por camada/peso e não pela mediana isolada.</x:v>
      </x:c>
      <x:c r="E5" s="74"/>
      <x:c r="F5" s="90" t="s">
        <x:v>594</x:v>
      </x:c>
      <x:c r="G5" s="90" t="s">
        <x:v>595</x:v>
      </x:c>
      <x:c r="H5" s="90" t="s">
        <x:v>571</x:v>
      </x:c>
      <x:c r="I5" s="74"/>
      <x:c r="J5" s="74"/>
      <x:c r="K5" s="74"/>
      <x:c r="L5" s="74"/>
      <x:c r="M5" s="74"/>
    </x:row>
    <x:row r="6" ht="57.599998474121094">
      <x:c r="A6" s="113" t="s">
        <x:v>596</x:v>
      </x:c>
      <x:c r="B6" s="122" t="n">
        <x:f ca="1">Benchmark_Mercado!F4</x:f>
        <x:v>3261</x:v>
      </x:c>
      <x:c r="C6" s="90" t="s">
        <x:v>597</x:v>
      </x:c>
      <x:c r="D6" s="90" t="s">
        <x:v>598</x:v>
      </x:c>
      <x:c r="E6" s="74"/>
      <x:c r="F6" s="90" t="s">
        <x:v>599</x:v>
      </x:c>
      <x:c r="G6" s="90" t="s">
        <x:v>600</x:v>
      </x:c>
      <x:c r="H6" s="90" t="s">
        <x:v>568</x:v>
      </x:c>
      <x:c r="I6" s="74"/>
      <x:c r="J6" s="74"/>
      <x:c r="K6" s="74"/>
      <x:c r="L6" s="74"/>
      <x:c r="M6" s="74"/>
    </x:row>
    <x:row r="7" ht="57.599998474121094">
      <x:c r="A7" s="113" t="s">
        <x:v>601</x:v>
      </x:c>
      <x:c r="B7" s="122" t="n">
        <x:f ca="1">Benchmark_Mercado!F3</x:f>
        <x:v>4009</x:v>
      </x:c>
      <x:c r="C7" s="90" t="s">
        <x:v>597</x:v>
      </x:c>
      <x:c r="D7" s="90" t="s">
        <x:v>602</x:v>
      </x:c>
      <x:c r="E7" s="74"/>
      <x:c r="F7" s="90" t="s">
        <x:v>573</x:v>
      </x:c>
      <x:c r="G7" s="90" t="s">
        <x:v>603</x:v>
      </x:c>
      <x:c r="H7" s="90" t="s">
        <x:v>577</x:v>
      </x:c>
      <x:c r="I7" s="74"/>
      <x:c r="J7" s="74"/>
      <x:c r="K7" s="74"/>
      <x:c r="L7" s="74"/>
      <x:c r="M7" s="74"/>
    </x:row>
    <x:row r="8" ht="57.599998474121094">
      <x:c r="A8" s="113" t="s">
        <x:v>604</x:v>
      </x:c>
      <x:c r="B8" s="122" t="n">
        <x:f ca="1">Benchmark_Mercado!F2</x:f>
        <x:v>3121</x:v>
      </x:c>
      <x:c r="C8" s="90" t="s">
        <x:v>597</x:v>
      </x:c>
      <x:c r="D8" s="90" t="s">
        <x:v>605</x:v>
      </x:c>
      <x:c r="E8" s="74"/>
      <x:c r="F8" s="74"/>
      <x:c r="G8" s="74"/>
      <x:c r="H8" s="74"/>
      <x:c r="I8" s="74"/>
      <x:c r="J8" s="74"/>
      <x:c r="K8" s="74"/>
      <x:c r="L8" s="74"/>
      <x:c r="M8" s="74"/>
    </x:row>
    <x:row r="9" ht="43.20000076293945">
      <x:c r="A9" s="113" t="s">
        <x:v>606</x:v>
      </x:c>
      <x:c r="B9" s="115" t="n">
        <x:f ca="1">B4/B6-1</x:f>
        <x:v>0.23441390028014686</x:v>
      </x:c>
      <x:c r="C9" s="90" t="s">
        <x:v>607</x:v>
      </x:c>
      <x:c r="D9" s="90" t="s">
        <x:v>608</x:v>
      </x:c>
      <x:c r="E9" s="74"/>
      <x:c r="F9" s="74"/>
      <x:c r="G9" s="74"/>
      <x:c r="H9" s="74"/>
      <x:c r="I9" s="74"/>
      <x:c r="J9" s="74"/>
      <x:c r="K9" s="74"/>
      <x:c r="L9" s="74"/>
      <x:c r="M9" s="74"/>
    </x:row>
    <x:row r="10" ht="43.20000076293945">
      <x:c r="A10" s="113" t="s">
        <x:v>609</x:v>
      </x:c>
      <x:c r="B10" s="115" t="n">
        <x:f ca="1">B4/B7-1</x:f>
        <x:v>0.004096714595549722</x:v>
      </x:c>
      <x:c r="C10" s="90" t="s">
        <x:v>610</x:v>
      </x:c>
      <x:c r="D10" s="90" t="s">
        <x:v>611</x:v>
      </x:c>
      <x:c r="E10" s="74"/>
      <x:c r="F10" s="74"/>
      <x:c r="G10" s="74"/>
      <x:c r="H10" s="74"/>
      <x:c r="I10" s="74"/>
      <x:c r="J10" s="74"/>
      <x:c r="K10" s="74"/>
      <x:c r="L10" s="74"/>
      <x:c r="M10" s="74"/>
    </x:row>
    <x:row r="11" ht="57.599998474121094">
      <x:c r="A11" s="113" t="s">
        <x:v>612</x:v>
      </x:c>
      <x:c r="B11" s="115" t="n">
        <x:f ca="1">B4/B8-1</x:f>
        <x:v>0.28978651996589533</x:v>
      </x:c>
      <x:c r="C11" s="90" t="s">
        <x:v>613</x:v>
      </x:c>
      <x:c r="D11" s="90" t="s">
        <x:v>614</x:v>
      </x:c>
      <x:c r="E11" s="74"/>
      <x:c r="F11" s="74"/>
      <x:c r="G11" s="74"/>
      <x:c r="H11" s="74"/>
      <x:c r="I11" s="74"/>
      <x:c r="J11" s="74"/>
      <x:c r="K11" s="74"/>
      <x:c r="L11" s="74"/>
      <x:c r="M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</x:row>
    <x:row r="13">
      <x:c r="A13" s="116" t="s">
        <x:v>615</x:v>
      </x:c>
      <x:c r="B13" s="74"/>
      <x:c r="C13" s="74"/>
      <x:c r="D13" s="74"/>
      <x:c r="E13" s="74"/>
      <x:c r="F13" s="74"/>
      <x:c r="G13" s="74"/>
      <x:c r="H13" s="74"/>
      <x:c r="I13" s="74"/>
      <x:c r="J13" s="74"/>
      <x:c r="K13" s="74"/>
      <x:c r="L13" s="74"/>
      <x:c r="M13" s="74"/>
    </x:row>
    <x:row r="14" ht="72">
      <x:c r="A14" s="90" t="s">
        <x:v>505</x:v>
      </x:c>
      <x:c r="B14" s="90" t="s">
        <x:v>616</x:v>
      </x:c>
      <x:c r="C14" s="90" t="s">
        <x:v>617</x:v>
      </x:c>
      <x:c r="D14" s="74"/>
      <x:c r="E14" s="74"/>
      <x:c r="F14" s="74"/>
      <x:c r="G14" s="74"/>
      <x:c r="H14" s="74"/>
      <x:c r="I14" s="74"/>
      <x:c r="J14" s="74"/>
      <x:c r="K14" s="74"/>
      <x:c r="L14" s="74"/>
      <x:c r="M14" s="74"/>
    </x:row>
    <x:row r="15" ht="43.20000076293945">
      <x:c r="A15" s="90" t="str">
        <x:v>2</x:v>
      </x:c>
      <x:c r="B15" s="90" t="str">
        <x:v>Aplicar peso temporal reduzido aos dados antigos.</x:v>
      </x:c>
      <x:c r="C15" s="90" t="str">
        <x:v>2024 passa a 0,20; 2025 a 0,60; 2026 ativo mantém prioridade.</x:v>
      </x:c>
      <x:c r="D15" s="74"/>
      <x:c r="E15" s="74"/>
      <x:c r="F15" s="74"/>
      <x:c r="G15" s="74"/>
      <x:c r="H15" s="74"/>
      <x:c r="I15" s="74"/>
      <x:c r="J15" s="74"/>
      <x:c r="K15" s="74"/>
      <x:c r="L15" s="74"/>
      <x:c r="M15" s="74"/>
    </x:row>
    <x:row r="16" ht="43.20000076293945">
      <x:c r="A16" s="90" t="str">
        <x:v>3</x:v>
      </x:c>
      <x:c r="B16" s="90" t="str">
        <x:v>Distinguir comparável mecânico de benchmark estratégico.</x:v>
      </x:c>
      <x:c r="C16" s="90" t="str">
        <x:v>Del Mar, Prestige V e Plessis devem ter leitura estratégica além de tipologia/piso.</x:v>
      </x:c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</x:row>
    <x:row r="17" ht="43.20000076293945">
      <x:c r="A17" s="90" t="str">
        <x:v>4</x:v>
      </x:c>
      <x:c r="B17" s="90" t="str">
        <x:v>Preservar Aura e Le Parc como referências complementares.</x:v>
      </x:c>
      <x:c r="C17" s="90" t="str">
        <x:v>Aura com peso 0,50; Le Parc ativo com 0,35, sem eliminar o histórico.</x:v>
      </x:c>
      <x:c r="D17" s="74"/>
      <x:c r="E17" s="74"/>
      <x:c r="F17" s="74"/>
      <x:c r="G17" s="74"/>
      <x:c r="H17" s="74"/>
      <x:c r="I17" s="74"/>
      <x:c r="J17" s="74"/>
      <x:c r="K17" s="74"/>
      <x:c r="L17" s="74"/>
      <x:c r="M17" s="74"/>
    </x:row>
    <x:row r="18" ht="28.799999237060547">
      <x:c r="A18" s="90" t="str">
        <x:v>5</x:v>
      </x:c>
      <x:c r="B18" s="90" t="str">
        <x:v>Tratar definições de área com cautela.</x:v>
      </x:c>
      <x:c r="C18" s="90" t="str">
        <x:v>Plessis publica várias áreas brutas totais; Prestige tem fontes com interior + exteriores discriminados.</x:v>
      </x:c>
      <x:c r="D18" s="74"/>
      <x:c r="E18" s="74"/>
      <x:c r="F18" s="74"/>
      <x:c r="G18" s="74"/>
      <x:c r="H18" s="74"/>
      <x:c r="I18" s="74"/>
      <x:c r="J18" s="74"/>
      <x:c r="K18" s="74"/>
      <x:c r="L18" s="74"/>
      <x:c r="M18" s="74"/>
    </x:row>
    <x:row r="19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</x:row>
    <x:row r="20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</x:row>
    <x:row r="21">
      <x:c r="A21" s="33" t="s">
        <x:v>618</x:v>
      </x:c>
      <x:c r="B21" s="28"/>
      <x:c r="C21" s="28"/>
      <x:c r="D21" s="28"/>
    </x:row>
    <x:row r="22" ht="43.20000076293945">
      <x:c r="A22" s="12" t="s">
        <x:v>619</x:v>
      </x:c>
      <x:c r="B22" s="12">
        <x:v>25</x:v>
      </x:c>
      <x:c r="C22" s="12" t="s">
        <x:v>620</x:v>
      </x:c>
      <x:c r="D22" s="12" t="s">
        <x:v>621</x:v>
      </x:c>
    </x:row>
    <x:row r="23" ht="57.599998474121094">
      <x:c r="A23" s="12" t="s">
        <x:v>622</x:v>
      </x:c>
      <x:c r="B23" s="21" t="n">
        <x:f>MEDIAN(Saramago_2024_Convertido!$L$2:$L$26)</x:f>
        <x:v>3486.646884272997</x:v>
      </x:c>
      <x:c r="C23" s="12" t="s">
        <x:v>623</x:v>
      </x:c>
      <x:c r="D23" s="12" t="s">
        <x:v>624</x:v>
      </x:c>
    </x:row>
    <x:row r="24">
      <x:c r="A24" s="12" t="s">
        <x:v>12</x:v>
      </x:c>
      <x:c r="B24" s="12" t="s">
        <x:v>625</x:v>
      </x:c>
      <x:c r="C24" s="12" t="s">
        <x:v>626</x:v>
      </x:c>
      <x:c r="D24" s="12" t="s">
        <x:v>627</x:v>
      </x:c>
    </x:row>
    <x:row r="25" ht="43.20000076293945">
      <x:c r="A25" s="12" t="s">
        <x:v>22</x:v>
      </x:c>
      <x:c r="B25" s="14">
        <x:v>0.45</x:v>
      </x:c>
      <x:c r="C25" s="12" t="s">
        <x:v>628</x:v>
      </x:c>
      <x:c r="D25" s="12" t="s">
        <x:v>629</x:v>
      </x:c>
    </x:row>
    <x:row r="26" ht="28.799999237060547">
      <x:c r="A26" s="12" t="s">
        <x:v>630</x:v>
      </x:c>
      <x:c r="B26" s="12" t="s">
        <x:v>631</x:v>
      </x:c>
      <x:c r="C26" s="12" t="s">
        <x:v>632</x:v>
      </x:c>
      <x:c r="D26" s="12" t="s">
        <x:v>633</x:v>
      </x:c>
    </x:row>
  </x:sheetData>
  <x:mergeCells>
    <x:mergeCell ref="A1:H1"/>
    <x:mergeCell ref="A13:H13"/>
    <x:mergeCell ref="F3:H3"/>
    <x:mergeCell ref="A21:D21"/>
  </x:mergeCells>
  <x:conditionalFormatting sqref="B9:B11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399999618530273"/>
  <x:cols>
    <x:col min="1" max="1" width="24" customWidth="1"/>
    <x:col min="2" max="4" width="12" customWidth="1"/>
    <x:col min="5" max="5" width="10" customWidth="1"/>
    <x:col min="6" max="13" width="14" customWidth="1"/>
    <x:col min="14" max="14" width="48" customWidth="1"/>
  </x:cols>
  <x:sheetData>
    <x:row r="1" ht="43.20000076293945">
      <x:c r="A1" s="26" t="s">
        <x:v>0</x:v>
      </x:c>
      <x:c r="B1" s="26" t="s">
        <x:v>1</x:v>
      </x:c>
      <x:c r="C1" s="26" t="s">
        <x:v>2</x:v>
      </x:c>
      <x:c r="D1" s="26" t="s">
        <x:v>3</x:v>
      </x:c>
      <x:c r="E1" s="26" t="s">
        <x:v>4</x:v>
      </x:c>
      <x:c r="F1" s="26" t="s">
        <x:v>5</x:v>
      </x:c>
      <x:c r="G1" s="26" t="s">
        <x:v>6</x:v>
      </x:c>
      <x:c r="H1" s="26" t="s">
        <x:v>7</x:v>
      </x:c>
      <x:c r="I1" s="26" t="s">
        <x:v>8</x:v>
      </x:c>
      <x:c r="J1" s="26" t="s">
        <x:v>9</x:v>
      </x:c>
      <x:c r="K1" s="26" t="s">
        <x:v>634</x:v>
      </x:c>
      <x:c r="L1" s="26" t="s">
        <x:v>635</x:v>
      </x:c>
      <x:c r="M1" s="26" t="s">
        <x:v>22</x:v>
      </x:c>
      <x:c r="N1" s="26" t="s">
        <x:v>556</x:v>
      </x:c>
    </x:row>
    <x:row r="2" ht="43.20000076293945">
      <x:c r="A2" s="12" t="s">
        <x:v>176</x:v>
      </x:c>
      <x:c r="B2" s="12" t="s">
        <x:v>177</x:v>
      </x:c>
      <x:c r="C2" s="12">
        <x:v>0</x:v>
      </x:c>
      <x:c r="D2" s="12" t="s">
        <x:v>31</x:v>
      </x:c>
      <x:c r="E2" s="12" t="s">
        <x:v>636</x:v>
      </x:c>
      <x:c r="F2" s="24">
        <x:v>91.55</x:v>
      </x:c>
      <x:c r="G2" s="24">
        <x:v>38.85</x:v>
      </x:c>
      <x:c r="H2" s="24">
        <x:v>130.4</x:v>
      </x:c>
      <x:c r="I2" s="25">
        <x:v>400000</x:v>
      </x:c>
      <x:c r="J2" s="24">
        <x:v>2024</x:v>
      </x:c>
      <x:c r="K2" s="24">
        <x:v>4369.1971600218458</x:v>
      </x:c>
      <x:c r="L2" s="24">
        <x:v>3067.4846625766868</x:v>
      </x:c>
      <x:c r="M2" s="14">
        <x:v>0.45</x:v>
      </x:c>
      <x:c r="N2" s="12" t="s">
        <x:v>637</x:v>
      </x:c>
    </x:row>
    <x:row r="3" ht="43.20000076293945">
      <x:c r="A3" s="12" t="s">
        <x:v>176</x:v>
      </x:c>
      <x:c r="B3" s="12" t="s">
        <x:v>179</x:v>
      </x:c>
      <x:c r="C3" s="12">
        <x:v>0</x:v>
      </x:c>
      <x:c r="D3" s="12" t="s">
        <x:v>64</x:v>
      </x:c>
      <x:c r="E3" s="12" t="s">
        <x:v>636</x:v>
      </x:c>
      <x:c r="F3" s="24">
        <x:v>110.1</x:v>
      </x:c>
      <x:c r="G3" s="24">
        <x:v>44.2</x:v>
      </x:c>
      <x:c r="H3" s="24">
        <x:v>154.30000000000001</x:v>
      </x:c>
      <x:c r="I3" s="25">
        <x:v>500000</x:v>
      </x:c>
      <x:c r="J3" s="24">
        <x:v>2024</x:v>
      </x:c>
      <x:c r="K3" s="24">
        <x:v>4541.3260672116257</x:v>
      </x:c>
      <x:c r="L3" s="24">
        <x:v>3240.4406999351909</x:v>
      </x:c>
      <x:c r="M3" s="14">
        <x:v>0.45</x:v>
      </x:c>
      <x:c r="N3" s="12" t="s">
        <x:v>637</x:v>
      </x:c>
    </x:row>
    <x:row r="4" ht="43.20000076293945">
      <x:c r="A4" s="12" t="s">
        <x:v>176</x:v>
      </x:c>
      <x:c r="B4" s="12" t="s">
        <x:v>180</x:v>
      </x:c>
      <x:c r="C4" s="12">
        <x:v>0</x:v>
      </x:c>
      <x:c r="D4" s="12" t="s">
        <x:v>64</x:v>
      </x:c>
      <x:c r="E4" s="12" t="s">
        <x:v>636</x:v>
      </x:c>
      <x:c r="F4" s="24">
        <x:v>111.1</x:v>
      </x:c>
      <x:c r="G4" s="24">
        <x:v>44.2</x:v>
      </x:c>
      <x:c r="H4" s="24">
        <x:v>155.30000000000001</x:v>
      </x:c>
      <x:c r="I4" s="25">
        <x:v>490000</x:v>
      </x:c>
      <x:c r="J4" s="24">
        <x:v>2024</x:v>
      </x:c>
      <x:c r="K4" s="24">
        <x:v>4410.441044104411</x:v>
      </x:c>
      <x:c r="L4" s="24">
        <x:v>3155.1835157759174</x:v>
      </x:c>
      <x:c r="M4" s="14">
        <x:v>0.45</x:v>
      </x:c>
      <x:c r="N4" s="12" t="s">
        <x:v>637</x:v>
      </x:c>
    </x:row>
    <x:row r="5" ht="43.20000076293945">
      <x:c r="A5" s="12" t="s">
        <x:v>176</x:v>
      </x:c>
      <x:c r="B5" s="12" t="s">
        <x:v>181</x:v>
      </x:c>
      <x:c r="C5" s="12">
        <x:v>0</x:v>
      </x:c>
      <x:c r="D5" s="12" t="s">
        <x:v>64</x:v>
      </x:c>
      <x:c r="E5" s="12" t="s">
        <x:v>636</x:v>
      </x:c>
      <x:c r="F5" s="24">
        <x:v>111.1</x:v>
      </x:c>
      <x:c r="G5" s="24">
        <x:v>44.2</x:v>
      </x:c>
      <x:c r="H5" s="24">
        <x:v>155.30000000000001</x:v>
      </x:c>
      <x:c r="I5" s="25">
        <x:v>500000</x:v>
      </x:c>
      <x:c r="J5" s="24">
        <x:v>2024</x:v>
      </x:c>
      <x:c r="K5" s="24">
        <x:v>4500.4500450045007</x:v>
      </x:c>
      <x:c r="L5" s="24">
        <x:v>3219.5750160978751</x:v>
      </x:c>
      <x:c r="M5" s="14">
        <x:v>0.45</x:v>
      </x:c>
      <x:c r="N5" s="12" t="s">
        <x:v>637</x:v>
      </x:c>
    </x:row>
    <x:row r="6" ht="43.20000076293945">
      <x:c r="A6" s="12" t="s">
        <x:v>176</x:v>
      </x:c>
      <x:c r="B6" s="12" t="s">
        <x:v>182</x:v>
      </x:c>
      <x:c r="C6" s="12">
        <x:v>0</x:v>
      </x:c>
      <x:c r="D6" s="12" t="s">
        <x:v>31</x:v>
      </x:c>
      <x:c r="E6" s="12" t="s">
        <x:v>636</x:v>
      </x:c>
      <x:c r="F6" s="24">
        <x:v>91.55</x:v>
      </x:c>
      <x:c r="G6" s="24">
        <x:v>38.6</x:v>
      </x:c>
      <x:c r="H6" s="24">
        <x:v>130.15</x:v>
      </x:c>
      <x:c r="I6" s="25">
        <x:v>400000</x:v>
      </x:c>
      <x:c r="J6" s="24">
        <x:v>2024</x:v>
      </x:c>
      <x:c r="K6" s="24">
        <x:v>4369.1971600218458</x:v>
      </x:c>
      <x:c r="L6" s="24">
        <x:v>3073.3768728390319</x:v>
      </x:c>
      <x:c r="M6" s="14">
        <x:v>0.45</x:v>
      </x:c>
      <x:c r="N6" s="12" t="s">
        <x:v>637</x:v>
      </x:c>
    </x:row>
    <x:row r="7" ht="43.20000076293945">
      <x:c r="A7" s="12" t="s">
        <x:v>176</x:v>
      </x:c>
      <x:c r="B7" s="12" t="s">
        <x:v>183</x:v>
      </x:c>
      <x:c r="C7" s="12">
        <x:v>1</x:v>
      </x:c>
      <x:c r="D7" s="12" t="s">
        <x:v>31</x:v>
      </x:c>
      <x:c r="E7" s="12" t="s">
        <x:v>636</x:v>
      </x:c>
      <x:c r="F7" s="24">
        <x:v>101.2</x:v>
      </x:c>
      <x:c r="G7" s="24">
        <x:v>21.9</x:v>
      </x:c>
      <x:c r="H7" s="24">
        <x:v>123.1</x:v>
      </x:c>
      <x:c r="I7" s="25">
        <x:v>400000</x:v>
      </x:c>
      <x:c r="J7" s="24">
        <x:v>2024</x:v>
      </x:c>
      <x:c r="K7" s="24">
        <x:v>3952.569169960474</x:v>
      </x:c>
      <x:c r="L7" s="24">
        <x:v>3249.3907392363935</x:v>
      </x:c>
      <x:c r="M7" s="14">
        <x:v>0.45</x:v>
      </x:c>
      <x:c r="N7" s="12" t="s">
        <x:v>637</x:v>
      </x:c>
    </x:row>
    <x:row r="8" ht="43.20000076293945">
      <x:c r="A8" s="12" t="s">
        <x:v>176</x:v>
      </x:c>
      <x:c r="B8" s="12" t="s">
        <x:v>184</x:v>
      </x:c>
      <x:c r="C8" s="12">
        <x:v>1</x:v>
      </x:c>
      <x:c r="D8" s="12" t="s">
        <x:v>42</x:v>
      </x:c>
      <x:c r="E8" s="12" t="s">
        <x:v>636</x:v>
      </x:c>
      <x:c r="F8" s="24">
        <x:v>57</x:v>
      </x:c>
      <x:c r="G8" s="24">
        <x:v>9.85</x:v>
      </x:c>
      <x:c r="H8" s="24">
        <x:v>66.849999999999994</x:v>
      </x:c>
      <x:c r="I8" s="25">
        <x:v>280000</x:v>
      </x:c>
      <x:c r="J8" s="24">
        <x:v>2024</x:v>
      </x:c>
      <x:c r="K8" s="24">
        <x:v>4912.2807017543855</x:v>
      </x:c>
      <x:c r="L8" s="24">
        <x:v>4188.4816753926707</x:v>
      </x:c>
      <x:c r="M8" s="14">
        <x:v>0.45</x:v>
      </x:c>
      <x:c r="N8" s="12" t="s">
        <x:v>637</x:v>
      </x:c>
    </x:row>
    <x:row r="9" ht="43.20000076293945">
      <x:c r="A9" s="12" t="s">
        <x:v>176</x:v>
      </x:c>
      <x:c r="B9" s="12" t="s">
        <x:v>185</x:v>
      </x:c>
      <x:c r="C9" s="12">
        <x:v>1</x:v>
      </x:c>
      <x:c r="D9" s="12" t="s">
        <x:v>42</x:v>
      </x:c>
      <x:c r="E9" s="12" t="s">
        <x:v>636</x:v>
      </x:c>
      <x:c r="F9" s="24">
        <x:v>57</x:v>
      </x:c>
      <x:c r="G9" s="24">
        <x:v>9</x:v>
      </x:c>
      <x:c r="H9" s="24">
        <x:v>66</x:v>
      </x:c>
      <x:c r="I9" s="25">
        <x:v>275000</x:v>
      </x:c>
      <x:c r="J9" s="24">
        <x:v>2024</x:v>
      </x:c>
      <x:c r="K9" s="24">
        <x:v>4824.5614035087719</x:v>
      </x:c>
      <x:c r="L9" s="24">
        <x:v>4166.666666666667</x:v>
      </x:c>
      <x:c r="M9" s="14">
        <x:v>0.45</x:v>
      </x:c>
      <x:c r="N9" s="12" t="s">
        <x:v>637</x:v>
      </x:c>
    </x:row>
    <x:row r="10" ht="43.20000076293945">
      <x:c r="A10" s="12" t="s">
        <x:v>176</x:v>
      </x:c>
      <x:c r="B10" s="12" t="s">
        <x:v>186</x:v>
      </x:c>
      <x:c r="C10" s="12">
        <x:v>1</x:v>
      </x:c>
      <x:c r="D10" s="12" t="s">
        <x:v>31</x:v>
      </x:c>
      <x:c r="E10" s="12" t="s">
        <x:v>636</x:v>
      </x:c>
      <x:c r="F10" s="24">
        <x:v>99.6</x:v>
      </x:c>
      <x:c r="G10" s="24">
        <x:v>18.45</x:v>
      </x:c>
      <x:c r="H10" s="24">
        <x:v>118.05</x:v>
      </x:c>
      <x:c r="I10" s="25">
        <x:v>380000</x:v>
      </x:c>
      <x:c r="J10" s="24">
        <x:v>2024</x:v>
      </x:c>
      <x:c r="K10" s="24">
        <x:v>3815.2610441767069</x:v>
      </x:c>
      <x:c r="L10" s="24">
        <x:v>3218.9750105887338</x:v>
      </x:c>
      <x:c r="M10" s="14">
        <x:v>0.45</x:v>
      </x:c>
      <x:c r="N10" s="12" t="s">
        <x:v>637</x:v>
      </x:c>
    </x:row>
    <x:row r="11" ht="43.20000076293945">
      <x:c r="A11" s="12" t="s">
        <x:v>176</x:v>
      </x:c>
      <x:c r="B11" s="12" t="s">
        <x:v>187</x:v>
      </x:c>
      <x:c r="C11" s="12">
        <x:v>1</x:v>
      </x:c>
      <x:c r="D11" s="12" t="s">
        <x:v>42</x:v>
      </x:c>
      <x:c r="E11" s="12" t="s">
        <x:v>636</x:v>
      </x:c>
      <x:c r="F11" s="24">
        <x:v>57</x:v>
      </x:c>
      <x:c r="G11" s="24">
        <x:v>9.9499999999999993</x:v>
      </x:c>
      <x:c r="H11" s="24">
        <x:v>66.95</x:v>
      </x:c>
      <x:c r="I11" s="25">
        <x:v>275000</x:v>
      </x:c>
      <x:c r="J11" s="24">
        <x:v>2024</x:v>
      </x:c>
      <x:c r="K11" s="24">
        <x:v>4824.5614035087719</x:v>
      </x:c>
      <x:c r="L11" s="24">
        <x:v>4107.5429424943986</x:v>
      </x:c>
      <x:c r="M11" s="14">
        <x:v>0.45</x:v>
      </x:c>
      <x:c r="N11" s="12" t="s">
        <x:v>637</x:v>
      </x:c>
    </x:row>
    <x:row r="12" ht="43.20000076293945">
      <x:c r="A12" s="12" t="s">
        <x:v>176</x:v>
      </x:c>
      <x:c r="B12" s="12" t="s">
        <x:v>188</x:v>
      </x:c>
      <x:c r="C12" s="12">
        <x:v>1</x:v>
      </x:c>
      <x:c r="D12" s="12" t="s">
        <x:v>31</x:v>
      </x:c>
      <x:c r="E12" s="12" t="s">
        <x:v>636</x:v>
      </x:c>
      <x:c r="F12" s="24">
        <x:v>101.2</x:v>
      </x:c>
      <x:c r="G12" s="24">
        <x:v>31.9</x:v>
      </x:c>
      <x:c r="H12" s="24">
        <x:v>133.1</x:v>
      </x:c>
      <x:c r="I12" s="25">
        <x:v>385000</x:v>
      </x:c>
      <x:c r="J12" s="24">
        <x:v>2024</x:v>
      </x:c>
      <x:c r="K12" s="24">
        <x:v>3804.3478260869565</x:v>
      </x:c>
      <x:c r="L12" s="24">
        <x:v>2892.5619834710747</x:v>
      </x:c>
      <x:c r="M12" s="14">
        <x:v>0.45</x:v>
      </x:c>
      <x:c r="N12" s="12" t="s">
        <x:v>637</x:v>
      </x:c>
    </x:row>
    <x:row r="13" ht="43.20000076293945">
      <x:c r="A13" s="12" t="s">
        <x:v>176</x:v>
      </x:c>
      <x:c r="B13" s="12" t="s">
        <x:v>189</x:v>
      </x:c>
      <x:c r="C13" s="12">
        <x:v>2</x:v>
      </x:c>
      <x:c r="D13" s="12" t="s">
        <x:v>31</x:v>
      </x:c>
      <x:c r="E13" s="12" t="s">
        <x:v>636</x:v>
      </x:c>
      <x:c r="F13" s="24">
        <x:v>101.2</x:v>
      </x:c>
      <x:c r="G13" s="24">
        <x:v>22.55</x:v>
      </x:c>
      <x:c r="H13" s="24">
        <x:v>123.75</x:v>
      </x:c>
      <x:c r="I13" s="25">
        <x:v>400000</x:v>
      </x:c>
      <x:c r="J13" s="24">
        <x:v>2024</x:v>
      </x:c>
      <x:c r="K13" s="24">
        <x:v>3952.569169960474</x:v>
      </x:c>
      <x:c r="L13" s="24">
        <x:v>3232.3232323232323</x:v>
      </x:c>
      <x:c r="M13" s="14">
        <x:v>0.45</x:v>
      </x:c>
      <x:c r="N13" s="12" t="s">
        <x:v>637</x:v>
      </x:c>
    </x:row>
    <x:row r="14" ht="43.20000076293945">
      <x:c r="A14" s="12" t="s">
        <x:v>176</x:v>
      </x:c>
      <x:c r="B14" s="12" t="s">
        <x:v>190</x:v>
      </x:c>
      <x:c r="C14" s="12">
        <x:v>2</x:v>
      </x:c>
      <x:c r="D14" s="12" t="s">
        <x:v>42</x:v>
      </x:c>
      <x:c r="E14" s="12" t="s">
        <x:v>636</x:v>
      </x:c>
      <x:c r="F14" s="24">
        <x:v>57</x:v>
      </x:c>
      <x:c r="G14" s="24">
        <x:v>9</x:v>
      </x:c>
      <x:c r="H14" s="24">
        <x:v>66</x:v>
      </x:c>
      <x:c r="I14" s="25">
        <x:v>285000</x:v>
      </x:c>
      <x:c r="J14" s="24">
        <x:v>2024</x:v>
      </x:c>
      <x:c r="K14" s="24">
        <x:v>5000</x:v>
      </x:c>
      <x:c r="L14" s="24">
        <x:v>4318.181818181818</x:v>
      </x:c>
      <x:c r="M14" s="14">
        <x:v>0.45</x:v>
      </x:c>
      <x:c r="N14" s="12" t="s">
        <x:v>637</x:v>
      </x:c>
    </x:row>
    <x:row r="15" ht="43.20000076293945">
      <x:c r="A15" s="12" t="s">
        <x:v>176</x:v>
      </x:c>
      <x:c r="B15" s="12" t="s">
        <x:v>191</x:v>
      </x:c>
      <x:c r="C15" s="12">
        <x:v>2</x:v>
      </x:c>
      <x:c r="D15" s="12" t="s">
        <x:v>42</x:v>
      </x:c>
      <x:c r="E15" s="12" t="s">
        <x:v>636</x:v>
      </x:c>
      <x:c r="F15" s="24">
        <x:v>57</x:v>
      </x:c>
      <x:c r="G15" s="24">
        <x:v>9.85</x:v>
      </x:c>
      <x:c r="H15" s="24">
        <x:v>66.849999999999994</x:v>
      </x:c>
      <x:c r="I15" s="25">
        <x:v>290000</x:v>
      </x:c>
      <x:c r="J15" s="24">
        <x:v>2024</x:v>
      </x:c>
      <x:c r="K15" s="24">
        <x:v>5087.7192982456145</x:v>
      </x:c>
      <x:c r="L15" s="24">
        <x:v>4338.0703066566948</x:v>
      </x:c>
      <x:c r="M15" s="14">
        <x:v>0.45</x:v>
      </x:c>
      <x:c r="N15" s="12" t="s">
        <x:v>637</x:v>
      </x:c>
    </x:row>
    <x:row r="16" ht="43.20000076293945">
      <x:c r="A16" s="12" t="s">
        <x:v>176</x:v>
      </x:c>
      <x:c r="B16" s="12" t="s">
        <x:v>192</x:v>
      </x:c>
      <x:c r="C16" s="12">
        <x:v>2</x:v>
      </x:c>
      <x:c r="D16" s="12" t="s">
        <x:v>31</x:v>
      </x:c>
      <x:c r="E16" s="12" t="s">
        <x:v>636</x:v>
      </x:c>
      <x:c r="F16" s="24">
        <x:v>99.6</x:v>
      </x:c>
      <x:c r="G16" s="24">
        <x:v>19.600000000000001</x:v>
      </x:c>
      <x:c r="H16" s="24">
        <x:v>119.19999999999999</x:v>
      </x:c>
      <x:c r="I16" s="25">
        <x:v>405000</x:v>
      </x:c>
      <x:c r="J16" s="24">
        <x:v>2024</x:v>
      </x:c>
      <x:c r="K16" s="24">
        <x:v>4066.265060240964</x:v>
      </x:c>
      <x:c r="L16" s="24">
        <x:v>3397.6510067114095</x:v>
      </x:c>
      <x:c r="M16" s="14">
        <x:v>0.45</x:v>
      </x:c>
      <x:c r="N16" s="12" t="s">
        <x:v>637</x:v>
      </x:c>
    </x:row>
    <x:row r="17" ht="43.20000076293945">
      <x:c r="A17" s="12" t="s">
        <x:v>176</x:v>
      </x:c>
      <x:c r="B17" s="12" t="s">
        <x:v>193</x:v>
      </x:c>
      <x:c r="C17" s="12">
        <x:v>2</x:v>
      </x:c>
      <x:c r="D17" s="12" t="s">
        <x:v>42</x:v>
      </x:c>
      <x:c r="E17" s="12" t="s">
        <x:v>636</x:v>
      </x:c>
      <x:c r="F17" s="24">
        <x:v>55.85</x:v>
      </x:c>
      <x:c r="G17" s="24">
        <x:v>11.1</x:v>
      </x:c>
      <x:c r="H17" s="24">
        <x:v>66.95</x:v>
      </x:c>
      <x:c r="I17" s="25">
        <x:v>215000</x:v>
      </x:c>
      <x:c r="J17" s="24">
        <x:v>2024</x:v>
      </x:c>
      <x:c r="K17" s="24">
        <x:v>3849.5971351835274</x:v>
      </x:c>
      <x:c r="L17" s="24">
        <x:v>3211.3517550410752</x:v>
      </x:c>
      <x:c r="M17" s="14">
        <x:v>0.45</x:v>
      </x:c>
      <x:c r="N17" s="12" t="s">
        <x:v>637</x:v>
      </x:c>
    </x:row>
    <x:row r="18" ht="43.20000076293945">
      <x:c r="A18" s="12" t="s">
        <x:v>176</x:v>
      </x:c>
      <x:c r="B18" s="12" t="s">
        <x:v>194</x:v>
      </x:c>
      <x:c r="C18" s="12">
        <x:v>3</x:v>
      </x:c>
      <x:c r="D18" s="12" t="s">
        <x:v>31</x:v>
      </x:c>
      <x:c r="E18" s="12" t="s">
        <x:v>636</x:v>
      </x:c>
      <x:c r="F18" s="24">
        <x:v>101.2</x:v>
      </x:c>
      <x:c r="G18" s="24">
        <x:v>21.9</x:v>
      </x:c>
      <x:c r="H18" s="24">
        <x:v>123.1</x:v>
      </x:c>
      <x:c r="I18" s="25">
        <x:v>415000</x:v>
      </x:c>
      <x:c r="J18" s="24">
        <x:v>2024</x:v>
      </x:c>
      <x:c r="K18" s="24">
        <x:v>4100.790513833992</x:v>
      </x:c>
      <x:c r="L18" s="24">
        <x:v>3371.2428919577583</x:v>
      </x:c>
      <x:c r="M18" s="14">
        <x:v>0.45</x:v>
      </x:c>
      <x:c r="N18" s="12" t="s">
        <x:v>637</x:v>
      </x:c>
    </x:row>
    <x:row r="19" ht="43.20000076293945">
      <x:c r="A19" s="12" t="s">
        <x:v>176</x:v>
      </x:c>
      <x:c r="B19" s="12" t="s">
        <x:v>195</x:v>
      </x:c>
      <x:c r="C19" s="12">
        <x:v>3</x:v>
      </x:c>
      <x:c r="D19" s="12" t="s">
        <x:v>42</x:v>
      </x:c>
      <x:c r="E19" s="12" t="s">
        <x:v>636</x:v>
      </x:c>
      <x:c r="F19" s="24">
        <x:v>55.85</x:v>
      </x:c>
      <x:c r="G19" s="24">
        <x:v>11.1</x:v>
      </x:c>
      <x:c r="H19" s="24">
        <x:v>66.95</x:v>
      </x:c>
      <x:c r="I19" s="25">
        <x:v>235000</x:v>
      </x:c>
      <x:c r="J19" s="24">
        <x:v>2024</x:v>
      </x:c>
      <x:c r="K19" s="24">
        <x:v>4207.6991942703671</x:v>
      </x:c>
      <x:c r="L19" s="24">
        <x:v>3510.0821508588497</x:v>
      </x:c>
      <x:c r="M19" s="14">
        <x:v>0.45</x:v>
      </x:c>
      <x:c r="N19" s="12" t="s">
        <x:v>637</x:v>
      </x:c>
    </x:row>
    <x:row r="20" ht="43.20000076293945">
      <x:c r="A20" s="12" t="s">
        <x:v>176</x:v>
      </x:c>
      <x:c r="B20" s="12" t="s">
        <x:v>196</x:v>
      </x:c>
      <x:c r="C20" s="12">
        <x:v>3</x:v>
      </x:c>
      <x:c r="D20" s="12" t="s">
        <x:v>42</x:v>
      </x:c>
      <x:c r="E20" s="12" t="s">
        <x:v>636</x:v>
      </x:c>
      <x:c r="F20" s="24">
        <x:v>57</x:v>
      </x:c>
      <x:c r="G20" s="24">
        <x:v>9.85</x:v>
      </x:c>
      <x:c r="H20" s="24">
        <x:v>66.849999999999994</x:v>
      </x:c>
      <x:c r="I20" s="25">
        <x:v>295000</x:v>
      </x:c>
      <x:c r="J20" s="24">
        <x:v>2024</x:v>
      </x:c>
      <x:c r="K20" s="24">
        <x:v>5175.4385964912281</x:v>
      </x:c>
      <x:c r="L20" s="24">
        <x:v>4412.8646222887064</x:v>
      </x:c>
      <x:c r="M20" s="14">
        <x:v>0.45</x:v>
      </x:c>
      <x:c r="N20" s="12" t="s">
        <x:v>637</x:v>
      </x:c>
    </x:row>
    <x:row r="21" ht="43.20000076293945">
      <x:c r="A21" s="12" t="s">
        <x:v>176</x:v>
      </x:c>
      <x:c r="B21" s="12" t="s">
        <x:v>197</x:v>
      </x:c>
      <x:c r="C21" s="12">
        <x:v>3</x:v>
      </x:c>
      <x:c r="D21" s="12" t="s">
        <x:v>42</x:v>
      </x:c>
      <x:c r="E21" s="12" t="s">
        <x:v>636</x:v>
      </x:c>
      <x:c r="F21" s="24">
        <x:v>55.85</x:v>
      </x:c>
      <x:c r="G21" s="24">
        <x:v>11.55</x:v>
      </x:c>
      <x:c r="H21" s="24">
        <x:v>67.400000000000006</x:v>
      </x:c>
      <x:c r="I21" s="25">
        <x:v>235000</x:v>
      </x:c>
      <x:c r="J21" s="24">
        <x:v>2024</x:v>
      </x:c>
      <x:c r="K21" s="24">
        <x:v>4207.6991942703671</x:v>
      </x:c>
      <x:c r="L21" s="24">
        <x:v>3486.6468842729969</x:v>
      </x:c>
      <x:c r="M21" s="14">
        <x:v>0.45</x:v>
      </x:c>
      <x:c r="N21" s="12" t="s">
        <x:v>637</x:v>
      </x:c>
    </x:row>
    <x:row r="22" ht="43.20000076293945">
      <x:c r="A22" s="12" t="s">
        <x:v>176</x:v>
      </x:c>
      <x:c r="B22" s="12" t="s">
        <x:v>198</x:v>
      </x:c>
      <x:c r="C22" s="12">
        <x:v>3</x:v>
      </x:c>
      <x:c r="D22" s="12" t="s">
        <x:v>31</x:v>
      </x:c>
      <x:c r="E22" s="12" t="s">
        <x:v>636</x:v>
      </x:c>
      <x:c r="F22" s="24">
        <x:v>99.6</x:v>
      </x:c>
      <x:c r="G22" s="24">
        <x:v>19.600000000000001</x:v>
      </x:c>
      <x:c r="H22" s="24">
        <x:v>119.19999999999999</x:v>
      </x:c>
      <x:c r="I22" s="25">
        <x:v>425000</x:v>
      </x:c>
      <x:c r="J22" s="24">
        <x:v>2024</x:v>
      </x:c>
      <x:c r="K22" s="24">
        <x:v>4267.06827309237</x:v>
      </x:c>
      <x:c r="L22" s="24">
        <x:v>3565.4362416107388</x:v>
      </x:c>
      <x:c r="M22" s="14">
        <x:v>0.45</x:v>
      </x:c>
      <x:c r="N22" s="12" t="s">
        <x:v>637</x:v>
      </x:c>
    </x:row>
    <x:row r="23" ht="43.20000076293945">
      <x:c r="A23" s="12" t="s">
        <x:v>176</x:v>
      </x:c>
      <x:c r="B23" s="12" t="s">
        <x:v>199</x:v>
      </x:c>
      <x:c r="C23" s="12">
        <x:v>3</x:v>
      </x:c>
      <x:c r="D23" s="12" t="s">
        <x:v>31</x:v>
      </x:c>
      <x:c r="E23" s="12" t="s">
        <x:v>636</x:v>
      </x:c>
      <x:c r="F23" s="24">
        <x:v>101.2</x:v>
      </x:c>
      <x:c r="G23" s="24">
        <x:v>21.45</x:v>
      </x:c>
      <x:c r="H23" s="24">
        <x:v>122.65</x:v>
      </x:c>
      <x:c r="I23" s="25">
        <x:v>435000</x:v>
      </x:c>
      <x:c r="J23" s="24">
        <x:v>2024</x:v>
      </x:c>
      <x:c r="K23" s="24">
        <x:v>4298.418972332016</x:v>
      </x:c>
      <x:c r="L23" s="24">
        <x:v>3546.6775377089275</x:v>
      </x:c>
      <x:c r="M23" s="14">
        <x:v>0.45</x:v>
      </x:c>
      <x:c r="N23" s="12" t="s">
        <x:v>637</x:v>
      </x:c>
    </x:row>
    <x:row r="24" ht="43.20000076293945">
      <x:c r="A24" s="12" t="s">
        <x:v>176</x:v>
      </x:c>
      <x:c r="B24" s="12" t="s">
        <x:v>200</x:v>
      </x:c>
      <x:c r="C24" s="12">
        <x:v>4</x:v>
      </x:c>
      <x:c r="D24" s="12" t="s">
        <x:v>31</x:v>
      </x:c>
      <x:c r="E24" s="12" t="s">
        <x:v>636</x:v>
      </x:c>
      <x:c r="F24" s="24">
        <x:v>101.2</x:v>
      </x:c>
      <x:c r="G24" s="24">
        <x:v>20.45</x:v>
      </x:c>
      <x:c r="H24" s="24">
        <x:v>121.65</x:v>
      </x:c>
      <x:c r="I24" s="25">
        <x:v>520000</x:v>
      </x:c>
      <x:c r="J24" s="24">
        <x:v>2024</x:v>
      </x:c>
      <x:c r="K24" s="24">
        <x:v>5138.3399209486161</x:v>
      </x:c>
      <x:c r="L24" s="24">
        <x:v>4274.5581586518701</x:v>
      </x:c>
      <x:c r="M24" s="14">
        <x:v>0.45</x:v>
      </x:c>
      <x:c r="N24" s="12" t="s">
        <x:v>637</x:v>
      </x:c>
    </x:row>
    <x:row r="25" ht="43.20000076293945">
      <x:c r="A25" s="12" t="s">
        <x:v>176</x:v>
      </x:c>
      <x:c r="B25" s="12" t="s">
        <x:v>201</x:v>
      </x:c>
      <x:c r="C25" s="12">
        <x:v>4</x:v>
      </x:c>
      <x:c r="D25" s="12" t="s">
        <x:v>64</x:v>
      </x:c>
      <x:c r="E25" s="12" t="s">
        <x:v>636</x:v>
      </x:c>
      <x:c r="F25" s="24">
        <x:v>116.2</x:v>
      </x:c>
      <x:c r="G25" s="24">
        <x:v>20.100000000000001</x:v>
      </x:c>
      <x:c r="H25" s="24">
        <x:v>136.30000000000001</x:v>
      </x:c>
      <x:c r="I25" s="25">
        <x:v>590000</x:v>
      </x:c>
      <x:c r="J25" s="24">
        <x:v>2024</x:v>
      </x:c>
      <x:c r="K25" s="24">
        <x:v>5077.4526678141137</x:v>
      </x:c>
      <x:c r="L25" s="24">
        <x:v>4328.6867204695518</x:v>
      </x:c>
      <x:c r="M25" s="14">
        <x:v>0.45</x:v>
      </x:c>
      <x:c r="N25" s="12" t="s">
        <x:v>637</x:v>
      </x:c>
    </x:row>
    <x:row r="26" ht="43.20000076293945">
      <x:c r="A26" s="12" t="s">
        <x:v>176</x:v>
      </x:c>
      <x:c r="B26" s="12" t="s">
        <x:v>202</x:v>
      </x:c>
      <x:c r="C26" s="12">
        <x:v>4</x:v>
      </x:c>
      <x:c r="D26" s="12" t="s">
        <x:v>31</x:v>
      </x:c>
      <x:c r="E26" s="12" t="s">
        <x:v>636</x:v>
      </x:c>
      <x:c r="F26" s="24">
        <x:v>99.6</x:v>
      </x:c>
      <x:c r="G26" s="24">
        <x:v>19.600000000000001</x:v>
      </x:c>
      <x:c r="H26" s="24">
        <x:v>119.19999999999999</x:v>
      </x:c>
      <x:c r="I26" s="25">
        <x:v>520000</x:v>
      </x:c>
      <x:c r="J26" s="24">
        <x:v>2024</x:v>
      </x:c>
      <x:c r="K26" s="24">
        <x:v>5220.8835341365466</x:v>
      </x:c>
      <x:c r="L26" s="24">
        <x:v>4362.4161073825508</x:v>
      </x:c>
      <x:c r="M26" s="14">
        <x:v>0.45</x:v>
      </x:c>
      <x:c r="N26" s="12" t="s">
        <x:v>637</x:v>
      </x:c>
    </x:row>
  </x:sheetData>
  <x:pageMargins left="0.7" right="0.7" top="0.75" bottom="0.75" header="0.3" footer="0.3"/>
  <x:tableParts count="1">
    <x:tablePart xmlns:r="http://schemas.openxmlformats.org/officeDocument/2006/relationships" r:id="R0544b6f49fb34e11"/>
  </x:tableParts>
</x:worksheet>
</file>