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84b6bcfdb4714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Dados" sheetId="1" ns1:id="R0c79b300d96248eb"/>
    <ns0:sheet name="Instruções" sheetId="2" ns1:id="Rc304e40178d04e4b"/>
    <ns0:sheet name="Resumo BD" sheetId="3" ns1:id="Rcc81885b7ad04d4e"/>
    <ns0:sheet name="Plano de melhoria" sheetId="4" ns1:id="R2b46e9e33e684ab7"/>
    <ns0:sheet name="Candidatos Compset" sheetId="5" ns1:id="Ra7b62220f51249f5"/>
    <ns0:sheet name="Critérios Pesos" sheetId="6" ns1:id="R9089855880064602"/>
    <ns0:sheet name="Candidatos Estrutura" sheetId="7" ns1:id="Re444c803d0ab45bc"/>
    <ns0:sheet name="Benchmark_Mercado" sheetId="8" ns1:id="R3e18b94f84d94b8d"/>
    <ns0:sheet name="Contexto_Mercado" sheetId="9" ns1:id="Rf1804b1d2ad0495a"/>
    <ns0:sheet name="Saramago_2024_Convertido" sheetId="10" ns1:id="R1ec89be0db1f4fff"/>
  </ns0:sheets>
  <ns0:calcPr fullCalcOnLoad="1" forceFullCalc="1"/>
</ns0:workbook>
</file>

<file path=xl/sharedStrings.xml><?xml version="1.0" encoding="utf-8"?>
<x:sst xmlns:x="http://schemas.openxmlformats.org/spreadsheetml/2006/main">
  <x:si>
    <x:t xml:space="preserve">Empreendimento</x:t>
  </x:si>
  <x:si>
    <x:t xml:space="preserve">Fração</x:t>
  </x:si>
  <x:si>
    <x:t xml:space="preserve">Piso</x:t>
  </x:si>
  <x:si>
    <x:t xml:space="preserve">Tipologia</x:t>
  </x:si>
  <x:si>
    <x:t xml:space="preserve">Vista</x:t>
  </x:si>
  <x:si>
    <x:t xml:space="preserve">ABP</x:t>
  </x:si>
  <x:si>
    <x:t xml:space="preserve">Varanda/Terraço</x:t>
  </x:si>
  <x:si>
    <x:t xml:space="preserve">Área Total</x:t>
  </x:si>
  <x:si>
    <x:t xml:space="preserve">PVP</x:t>
  </x:si>
  <x:si>
    <x:t xml:space="preserve">Ano Referência</x:t>
  </x:si>
  <x:si>
    <x:t xml:space="preserve">Sem Varanda/Terraço</x:t>
  </x:si>
  <x:si>
    <x:t xml:space="preserve">Com Varanda/Terraço</x:t>
  </x:si>
  <x:si>
    <x:t xml:space="preserve">Status</x:t>
  </x:si>
  <x:si>
    <x:t xml:space="preserve">Fonte</x:t>
  </x:si>
  <x:si>
    <x:t xml:space="preserve">URL</x:t>
  </x:si>
  <x:si>
    <x:t xml:space="preserve">Data de atualização</x:t>
  </x:si>
  <x:si>
    <x:t xml:space="preserve">Segmento</x:t>
  </x:si>
  <x:si>
    <x:t xml:space="preserve">Condição</x:t>
  </x:si>
  <x:si>
    <x:t xml:space="preserve">Ano de entrega</x:t>
  </x:si>
  <x:si>
    <x:t xml:space="preserve">Garagem</x:t>
  </x:si>
  <x:si>
    <x:t xml:space="preserve">Piscina</x:t>
  </x:si>
  <x:si>
    <x:t xml:space="preserve">Distância ao The View</x:t>
  </x:si>
  <x:si>
    <x:t xml:space="preserve">Peso comparável</x:t>
  </x:si>
  <x:si>
    <x:t xml:space="preserve">Camada compset</x:t>
  </x:si>
  <x:si>
    <x:t xml:space="preserve">Qualidade dados</x:t>
  </x:si>
  <x:si>
    <x:t xml:space="preserve">Observações comerciais</x:t>
  </x:si>
  <x:si>
    <x:t xml:space="preserve">Ação recomendada</x:t>
  </x:si>
  <x:si>
    <x:t xml:space="preserve">Prioridade atualização</x:t>
  </x:si>
  <x:si>
    <x:t xml:space="preserve">Del Mar Waterfront</x:t>
  </x:si>
  <x:si>
    <x:t xml:space="preserve">A</x:t>
  </x:si>
  <x:si>
    <x:t xml:space="preserve">R/C</x:t>
  </x:si>
  <x:si>
    <x:t xml:space="preserve">T2</x:t>
  </x:si>
  <x:si>
    <x:t xml:space="preserve">Nova construção</x:t>
  </x:si>
  <x:si>
    <x:t xml:space="preserve">B</x:t>
  </x:si>
  <x:si>
    <x:t xml:space="preserve">G</x:t>
  </x:si>
  <x:si>
    <x:t xml:space="preserve">H</x:t>
  </x:si>
  <x:si>
    <x:t xml:space="preserve">K</x:t>
  </x:si>
  <x:si>
    <x:t xml:space="preserve">L</x:t>
  </x:si>
  <x:si>
    <x:t xml:space="preserve">M</x:t>
  </x:si>
  <x:si>
    <x:t xml:space="preserve">Q</x:t>
  </x:si>
  <x:si>
    <x:t xml:space="preserve">U</x:t>
  </x:si>
  <x:si>
    <x:t xml:space="preserve">W</x:t>
  </x:si>
  <x:si>
    <x:t xml:space="preserve">T1</x:t>
  </x:si>
  <x:si>
    <x:t xml:space="preserve">X</x:t>
  </x:si>
  <x:si>
    <x:t xml:space="preserve">Y</x:t>
  </x:si>
  <x:si>
    <x:t xml:space="preserve">Z</x:t>
  </x:si>
  <x:si>
    <x:t xml:space="preserve">D</x:t>
  </x:si>
  <x:si>
    <x:t xml:space="preserve">AI</x:t>
  </x:si>
  <x:si>
    <x:t xml:space="preserve">AK</x:t>
  </x:si>
  <x:si>
    <x:t xml:space="preserve">AL</x:t>
  </x:si>
  <x:si>
    <x:t xml:space="preserve">AS</x:t>
  </x:si>
  <x:si>
    <x:t xml:space="preserve">AW</x:t>
  </x:si>
  <x:si>
    <x:t xml:space="preserve">AX</x:t>
  </x:si>
  <x:si>
    <x:t xml:space="preserve">BK</x:t>
  </x:si>
  <x:si>
    <x:t xml:space="preserve">BL</x:t>
  </x:si>
  <x:si>
    <x:t xml:space="preserve">BN</x:t>
  </x:si>
  <x:si>
    <x:t xml:space="preserve">BO</x:t>
  </x:si>
  <x:si>
    <x:t xml:space="preserve">BQ</x:t>
  </x:si>
  <x:si>
    <x:t xml:space="preserve">BS</x:t>
  </x:si>
  <x:si>
    <x:t xml:space="preserve">BU</x:t>
  </x:si>
  <x:si>
    <x:t xml:space="preserve">BW</x:t>
  </x:si>
  <x:si>
    <x:t xml:space="preserve">BX</x:t>
  </x:si>
  <x:si>
    <x:t xml:space="preserve">BY</x:t>
  </x:si>
  <x:si>
    <x:t xml:space="preserve">BZ</x:t>
  </x:si>
  <x:si>
    <x:t xml:space="preserve">T3</x:t>
  </x:si>
  <x:si>
    <x:t xml:space="preserve">CF</x:t>
  </x:si>
  <x:si>
    <x:t xml:space="preserve">CG</x:t>
  </x:si>
  <x:si>
    <x:t xml:space="preserve">CI</x:t>
  </x:si>
  <x:si>
    <x:t xml:space="preserve">CJ</x:t>
  </x:si>
  <x:si>
    <x:t xml:space="preserve">CK</x:t>
  </x:si>
  <x:si>
    <x:t xml:space="preserve">CL</x:t>
  </x:si>
  <x:si>
    <x:t xml:space="preserve">CO</x:t>
  </x:si>
  <x:si>
    <x:t xml:space="preserve">CR</x:t>
  </x:si>
  <x:si>
    <x:t xml:space="preserve">CT</x:t>
  </x:si>
  <x:si>
    <x:t xml:space="preserve">CV</x:t>
  </x:si>
  <x:si>
    <x:t xml:space="preserve">DB</x:t>
  </x:si>
  <x:si>
    <x:t xml:space="preserve">DD</x:t>
  </x:si>
  <x:si>
    <x:t xml:space="preserve">DE</x:t>
  </x:si>
  <x:si>
    <x:t xml:space="preserve">DH</x:t>
  </x:si>
  <x:si>
    <x:t xml:space="preserve">DO</x:t>
  </x:si>
  <x:si>
    <x:t xml:space="preserve">DS</x:t>
  </x:si>
  <x:si>
    <x:t xml:space="preserve">Le Parc</x:t>
  </x:si>
  <x:si>
    <x:t xml:space="preserve">1.1</x:t>
  </x:si>
  <x:si>
    <x:t xml:space="preserve">1.2</x:t>
  </x:si>
  <x:si>
    <x:t xml:space="preserve">2.1</x:t>
  </x:si>
  <x:si>
    <x:t xml:space="preserve">2.2</x:t>
  </x:si>
  <x:si>
    <x:t xml:space="preserve">3.1</x:t>
  </x:si>
  <x:si>
    <x:t xml:space="preserve">3.2</x:t>
  </x:si>
  <x:si>
    <x:t xml:space="preserve">4.1</x:t>
  </x:si>
  <x:si>
    <x:t xml:space="preserve">4.2</x:t>
  </x:si>
  <x:si>
    <x:t xml:space="preserve">1.3</x:t>
  </x:si>
  <x:si>
    <x:t xml:space="preserve">1.4</x:t>
  </x:si>
  <x:si>
    <x:t xml:space="preserve">1.5</x:t>
  </x:si>
  <x:si>
    <x:t xml:space="preserve">1.6</x:t>
  </x:si>
  <x:si>
    <x:t xml:space="preserve">2.3</x:t>
  </x:si>
  <x:si>
    <x:t xml:space="preserve">2.4</x:t>
  </x:si>
  <x:si>
    <x:t xml:space="preserve">2.5</x:t>
  </x:si>
  <x:si>
    <x:t xml:space="preserve">2.6</x:t>
  </x:si>
  <x:si>
    <x:t xml:space="preserve">3.3</x:t>
  </x:si>
  <x:si>
    <x:t xml:space="preserve">3.4</x:t>
  </x:si>
  <x:si>
    <x:t xml:space="preserve">3.5</x:t>
  </x:si>
  <x:si>
    <x:t xml:space="preserve">3.6</x:t>
  </x:si>
  <x:si>
    <x:t xml:space="preserve">4.3</x:t>
  </x:si>
  <x:si>
    <x:t xml:space="preserve">4.4</x:t>
  </x:si>
  <x:si>
    <x:t xml:space="preserve">T4</x:t>
  </x:si>
  <x:si>
    <x:t xml:space="preserve">4.5</x:t>
  </x:si>
  <x:si>
    <x:t xml:space="preserve">5.1</x:t>
  </x:si>
  <x:si>
    <x:t xml:space="preserve">5.2</x:t>
  </x:si>
  <x:si>
    <x:t xml:space="preserve">5.3</x:t>
  </x:si>
  <x:si>
    <x:t xml:space="preserve">5.4</x:t>
  </x:si>
  <x:si>
    <x:t xml:space="preserve">5.5</x:t>
  </x:si>
  <x:si>
    <x:t xml:space="preserve">6.1</x:t>
  </x:si>
  <x:si>
    <x:t xml:space="preserve">6.2</x:t>
  </x:si>
  <x:si>
    <x:t xml:space="preserve">6.3</x:t>
  </x:si>
  <x:si>
    <x:t xml:space="preserve">6.4</x:t>
  </x:si>
  <x:si>
    <x:t xml:space="preserve">6.5</x:t>
  </x:si>
  <x:si>
    <x:t xml:space="preserve">The View</x:t>
  </x:si>
  <x:si>
    <x:t xml:space="preserve">Apartamento 1</x:t>
  </x:si>
  <x:si>
    <x:t xml:space="preserve">Apartamento 2</x:t>
  </x:si>
  <x:si>
    <x:t xml:space="preserve">Apartamento 3</x:t>
  </x:si>
  <x:si>
    <x:t xml:space="preserve">Apartamento 4</x:t>
  </x:si>
  <x:si>
    <x:t xml:space="preserve">T1+1</x:t>
  </x:si>
  <x:si>
    <x:t xml:space="preserve">Apartamento 5</x:t>
  </x:si>
  <x:si>
    <x:t xml:space="preserve">Apartamento 6</x:t>
  </x:si>
  <x:si>
    <x:t xml:space="preserve">T2+1</x:t>
  </x:si>
  <x:si>
    <x:t xml:space="preserve">Apartamento 7</x:t>
  </x:si>
  <x:si>
    <x:t xml:space="preserve">Apartamento 8</x:t>
  </x:si>
  <x:si>
    <x:t xml:space="preserve">Apartamento 9</x:t>
  </x:si>
  <x:si>
    <x:t xml:space="preserve">Apartamento 10</x:t>
  </x:si>
  <x:si>
    <x:t xml:space="preserve">Apartamento 11</x:t>
  </x:si>
  <x:si>
    <x:t xml:space="preserve">Apartamento 12</x:t>
  </x:si>
  <x:si>
    <x:t xml:space="preserve">Apartamento 13</x:t>
  </x:si>
  <x:si>
    <x:t xml:space="preserve">Apartamento 14</x:t>
  </x:si>
  <x:si>
    <x:t xml:space="preserve">Apartamento 15</x:t>
  </x:si>
  <x:si>
    <x:t xml:space="preserve">Apartamento 16</x:t>
  </x:si>
  <x:si>
    <x:t xml:space="preserve">Apartamento 17</x:t>
  </x:si>
  <x:si>
    <x:t xml:space="preserve">Apartamento 18</x:t>
  </x:si>
  <x:si>
    <x:t xml:space="preserve">Apartamento 19</x:t>
  </x:si>
  <x:si>
    <x:t xml:space="preserve">Apartamento 20</x:t>
  </x:si>
  <x:si>
    <x:t xml:space="preserve">Apartamento 21</x:t>
  </x:si>
  <x:si>
    <x:t xml:space="preserve">Apartamento 22</x:t>
  </x:si>
  <x:si>
    <x:t xml:space="preserve">Apartamento 23</x:t>
  </x:si>
  <x:si>
    <x:t xml:space="preserve">Apartamento 24</x:t>
  </x:si>
  <x:si>
    <x:t xml:space="preserve">Apartamento 25</x:t>
  </x:si>
  <x:si>
    <x:t xml:space="preserve">Apartamento 26</x:t>
  </x:si>
  <x:si>
    <x:t xml:space="preserve">Apartamento 27</x:t>
  </x:si>
  <x:si>
    <x:t xml:space="preserve">Apartamento 28</x:t>
  </x:si>
  <x:si>
    <x:t xml:space="preserve">Apartamento 29</x:t>
  </x:si>
  <x:si>
    <x:t xml:space="preserve">Apartamento 30</x:t>
  </x:si>
  <x:si>
    <x:t xml:space="preserve">Apartamento 31</x:t>
  </x:si>
  <x:si>
    <x:t xml:space="preserve">Apartamento 32</x:t>
  </x:si>
  <x:si>
    <x:t xml:space="preserve">Apartamento 33</x:t>
  </x:si>
  <x:si>
    <x:t xml:space="preserve">Apartamento 34</x:t>
  </x:si>
  <x:si>
    <x:t xml:space="preserve">Apartamento 35</x:t>
  </x:si>
  <x:si>
    <x:t xml:space="preserve">T1-Duplex</x:t>
  </x:si>
  <x:si>
    <x:t xml:space="preserve">Apartamento 36</x:t>
  </x:si>
  <x:si>
    <x:t xml:space="preserve">Apartamento 37</x:t>
  </x:si>
  <x:si>
    <x:t xml:space="preserve">Apartamento 38</x:t>
  </x:si>
  <x:si>
    <x:t xml:space="preserve">Apartamento 39</x:t>
  </x:si>
  <x:si>
    <x:t xml:space="preserve">Aura Living</x:t>
  </x:si>
  <x:si>
    <x:t xml:space="preserve">S</x:t>
  </x:si>
  <x:si>
    <x:t xml:space="preserve">O</x:t>
  </x:si>
  <x:si>
    <x:t xml:space="preserve">N</x:t>
  </x:si>
  <x:si>
    <x:t xml:space="preserve">R</x:t>
  </x:si>
  <x:si>
    <x:t xml:space="preserve">AA</x:t>
  </x:si>
  <x:si>
    <x:t xml:space="preserve">BB</x:t>
  </x:si>
  <x:si>
    <x:t xml:space="preserve">CC</x:t>
  </x:si>
  <x:si>
    <x:t xml:space="preserve">EE</x:t>
  </x:si>
  <x:si>
    <x:t xml:space="preserve">FF</x:t>
  </x:si>
  <x:si>
    <x:t xml:space="preserve">GG</x:t>
  </x:si>
  <x:si>
    <x:t xml:space="preserve">HH</x:t>
  </x:si>
  <x:si>
    <x:t xml:space="preserve">I</x:t>
  </x:si>
  <x:si>
    <x:t xml:space="preserve">J</x:t>
  </x:si>
  <x:si>
    <x:t xml:space="preserve">II</x:t>
  </x:si>
  <x:si>
    <x:t xml:space="preserve">JJ</x:t>
  </x:si>
  <x:si>
    <x:t xml:space="preserve">KK</x:t>
  </x:si>
  <x:si>
    <x:t xml:space="preserve">Saramago Condomínio</x:t>
  </x:si>
  <x:si>
    <x:t xml:space="preserve">A0D</x:t>
  </x:si>
  <x:si>
    <x:t xml:space="preserve">Benchmark local</x:t>
  </x:si>
  <x:si>
    <x:t xml:space="preserve">A0E</x:t>
  </x:si>
  <x:si>
    <x:t xml:space="preserve">B0D</x:t>
  </x:si>
  <x:si>
    <x:t xml:space="preserve">C0D</x:t>
  </x:si>
  <x:si>
    <x:t xml:space="preserve">C0E</x:t>
  </x:si>
  <x:si>
    <x:t xml:space="preserve">A1D</x:t>
  </x:si>
  <x:si>
    <x:t xml:space="preserve">A1EF</x:t>
  </x:si>
  <x:si>
    <x:t xml:space="preserve">B1DF</x:t>
  </x:si>
  <x:si>
    <x:t xml:space="preserve">B1E</x:t>
  </x:si>
  <x:si>
    <x:t xml:space="preserve">C1DF</x:t>
  </x:si>
  <x:si>
    <x:t xml:space="preserve">C1E</x:t>
  </x:si>
  <x:si>
    <x:t xml:space="preserve">A2D</x:t>
  </x:si>
  <x:si>
    <x:t xml:space="preserve">A2EF</x:t>
  </x:si>
  <x:si>
    <x:t xml:space="preserve">B2DF</x:t>
  </x:si>
  <x:si>
    <x:t xml:space="preserve">B2E</x:t>
  </x:si>
  <x:si>
    <x:t xml:space="preserve">C2DT</x:t>
  </x:si>
  <x:si>
    <x:t xml:space="preserve">A3D</x:t>
  </x:si>
  <x:si>
    <x:t xml:space="preserve">A3ET</x:t>
  </x:si>
  <x:si>
    <x:t xml:space="preserve">A3EF</x:t>
  </x:si>
  <x:si>
    <x:t xml:space="preserve">B3DT</x:t>
  </x:si>
  <x:si>
    <x:t xml:space="preserve">B3E</x:t>
  </x:si>
  <x:si>
    <x:t xml:space="preserve">C3E</x:t>
  </x:si>
  <x:si>
    <x:t xml:space="preserve">A4D</x:t>
  </x:si>
  <x:si>
    <x:t xml:space="preserve">A4E</x:t>
  </x:si>
  <x:si>
    <x:t xml:space="preserve">B4E</x:t>
  </x:si>
  <x:si>
    <x:t xml:space="preserve">Palácio BR Avenida</x:t>
  </x:si>
  <x:si>
    <x:t xml:space="preserve">Bloco 1 · B.0</x:t>
  </x:si>
  <x:si>
    <x:t xml:space="preserve">Bloco 2 · D.0</x:t>
  </x:si>
  <x:si>
    <x:t xml:space="preserve">Bloco 2 · F.0</x:t>
  </x:si>
  <x:si>
    <x:t xml:space="preserve">T2 Duplex</x:t>
  </x:si>
  <x:si>
    <x:t xml:space="preserve">Bloco 1 · A.1</x:t>
  </x:si>
  <x:si>
    <x:t xml:space="preserve">Bloco 1 · B.1</x:t>
  </x:si>
  <x:si>
    <x:t xml:space="preserve">Bloco 1 · C.1</x:t>
  </x:si>
  <x:si>
    <x:t xml:space="preserve">Bloco 1 · A.2</x:t>
  </x:si>
  <x:si>
    <x:t xml:space="preserve">Bloco 1 · B.2</x:t>
  </x:si>
  <x:si>
    <x:t xml:space="preserve">Bloco 1 · C.2</x:t>
  </x:si>
  <x:si>
    <x:t xml:space="preserve">Bloco 2 · F.2</x:t>
  </x:si>
  <x:si>
    <x:t xml:space="preserve">Bloco 1 · A.3</x:t>
  </x:si>
  <x:si>
    <x:t xml:space="preserve">Bloco 1 · B.3</x:t>
  </x:si>
  <x:si>
    <x:t xml:space="preserve">Bloco 1 · C.3</x:t>
  </x:si>
  <x:si>
    <x:t xml:space="preserve">Bloco 1 · A.4</x:t>
  </x:si>
  <x:si>
    <x:t xml:space="preserve">Bloco 1 · B.4</x:t>
  </x:si>
  <x:si>
    <x:t xml:space="preserve">Bloco 1 · C.4</x:t>
  </x:si>
  <x:si>
    <x:t xml:space="preserve">Bloco 2 · F.4</x:t>
  </x:si>
  <x:si>
    <x:t xml:space="preserve">Bloco 2 · G.4</x:t>
  </x:si>
  <x:si>
    <x:t xml:space="preserve">Bloco 1 · A.5</x:t>
  </x:si>
  <x:si>
    <x:t xml:space="preserve">Bloco 1 · B.5</x:t>
  </x:si>
  <x:si>
    <x:t xml:space="preserve">Bloco 2 · D.5</x:t>
  </x:si>
  <x:si>
    <x:t xml:space="preserve">Bloco 2 · E.5</x:t>
  </x:si>
  <x:si>
    <x:t xml:space="preserve">Bloco 2 · G.5</x:t>
  </x:si>
  <x:si>
    <x:t xml:space="preserve">Bloco 1 · A.6</x:t>
  </x:si>
  <x:si>
    <x:t xml:space="preserve">Bloco 1 · B.6</x:t>
  </x:si>
  <x:si>
    <x:t xml:space="preserve">Bloco 2 · D.6</x:t>
  </x:si>
  <x:si>
    <x:t xml:space="preserve">Bloco 2 · E.6</x:t>
  </x:si>
  <x:si>
    <x:t xml:space="preserve">Bloco 2 · G.6</x:t>
  </x:si>
  <x:si>
    <x:t xml:space="preserve">Bloco 1 · B.7</x:t>
  </x:si>
  <x:si>
    <x:t xml:space="preserve">Bloco 2 · D.7</x:t>
  </x:si>
  <x:si>
    <x:t xml:space="preserve">Bloco 2 · E.7</x:t>
  </x:si>
  <x:si>
    <x:t xml:space="preserve">EVO Lux Garden</x:t>
  </x:si>
  <x:si>
    <x:t xml:space="preserve">Bloco D · A.0</x:t>
  </x:si>
  <x:si>
    <x:t xml:space="preserve">Premium waterfront/marina</x:t>
  </x:si>
  <x:si>
    <x:t xml:space="preserve">Bloco D · B.0</x:t>
  </x:si>
  <x:si>
    <x:t xml:space="preserve">Bloco D · A.1</x:t>
  </x:si>
  <x:si>
    <x:t xml:space="preserve">Bloco D · B.1</x:t>
  </x:si>
  <x:si>
    <x:t xml:space="preserve">Bloco D · A.2</x:t>
  </x:si>
  <x:si>
    <x:t xml:space="preserve">Bloco D · B.2</x:t>
  </x:si>
  <x:si>
    <x:t xml:space="preserve">Bloco D · C.2</x:t>
  </x:si>
  <x:si>
    <x:t xml:space="preserve">Bloco D · A.3</x:t>
  </x:si>
  <x:si>
    <x:t xml:space="preserve">Bloco D · B.3</x:t>
  </x:si>
  <x:si>
    <x:t xml:space="preserve">Bloco D · C.3</x:t>
  </x:si>
  <x:si>
    <x:t xml:space="preserve">Bloco D · A.4</x:t>
  </x:si>
  <x:si>
    <x:t xml:space="preserve">Bloco D · B.4</x:t>
  </x:si>
  <x:si>
    <x:t xml:space="preserve">Bloco D · C.4</x:t>
  </x:si>
  <x:si>
    <x:t xml:space="preserve">Bloco D · A.5</x:t>
  </x:si>
  <x:si>
    <x:t xml:space="preserve">T3G</x:t>
  </x:si>
  <x:si>
    <x:t xml:space="preserve">Bloco D · B.5</x:t>
  </x:si>
  <x:si>
    <x:t xml:space="preserve">Bloco E · A.0</x:t>
  </x:si>
  <x:si>
    <x:t xml:space="preserve">Bloco E · A.1</x:t>
  </x:si>
  <x:si>
    <x:t xml:space="preserve">Bloco E · A.2</x:t>
  </x:si>
  <x:si>
    <x:t xml:space="preserve">Bloco E · B.2</x:t>
  </x:si>
  <x:si>
    <x:t xml:space="preserve">Bloco E · A.3</x:t>
  </x:si>
  <x:si>
    <x:t xml:space="preserve">Bloco E · B.3</x:t>
  </x:si>
  <x:si>
    <x:t xml:space="preserve">Bloco E · A.4</x:t>
  </x:si>
  <x:si>
    <x:t xml:space="preserve">Bloco E · B.4</x:t>
  </x:si>
  <x:si>
    <x:t xml:space="preserve">Bloco E · A.5</x:t>
  </x:si>
  <x:si>
    <x:t xml:space="preserve">Bloco E · B.5</x:t>
  </x:si>
  <x:si>
    <x:t xml:space="preserve">Bloco F · A.0</x:t>
  </x:si>
  <x:si>
    <x:t xml:space="preserve">Bloco F · B.0</x:t>
  </x:si>
  <x:si>
    <x:t xml:space="preserve">Bloco F · A.1</x:t>
  </x:si>
  <x:si>
    <x:t xml:space="preserve">Bloco F · B.1</x:t>
  </x:si>
  <x:si>
    <x:t xml:space="preserve">Bloco F · A.2</x:t>
  </x:si>
  <x:si>
    <x:t xml:space="preserve">Bloco F · B.2</x:t>
  </x:si>
  <x:si>
    <x:t xml:space="preserve">Bloco F · A.3</x:t>
  </x:si>
  <x:si>
    <x:t xml:space="preserve">Bloco F · B.3</x:t>
  </x:si>
  <x:si>
    <x:t xml:space="preserve">Bloco F · A.4</x:t>
  </x:si>
  <x:si>
    <x:t xml:space="preserve">Bloco F · B.4</x:t>
  </x:si>
  <x:si>
    <x:t xml:space="preserve">Bloco F · A.5</x:t>
  </x:si>
  <x:si>
    <x:t xml:space="preserve">Bloco F · B.5</x:t>
  </x:si>
  <x:si>
    <x:t xml:space="preserve">Bloco A · A.0</x:t>
  </x:si>
  <x:si>
    <x:t xml:space="preserve">Bloco A · B.0</x:t>
  </x:si>
  <x:si>
    <x:t xml:space="preserve">Bloco A · A.1</x:t>
  </x:si>
  <x:si>
    <x:t xml:space="preserve">Bloco A · B.1</x:t>
  </x:si>
  <x:si>
    <x:t xml:space="preserve">Bloco A · C.1</x:t>
  </x:si>
  <x:si>
    <x:t xml:space="preserve">Bloco A · A.2</x:t>
  </x:si>
  <x:si>
    <x:t xml:space="preserve">Bloco A · B.2</x:t>
  </x:si>
  <x:si>
    <x:t xml:space="preserve">Bloco A · C.2</x:t>
  </x:si>
  <x:si>
    <x:t xml:space="preserve">Bloco A · A.3</x:t>
  </x:si>
  <x:si>
    <x:t xml:space="preserve">Bloco A · B.3</x:t>
  </x:si>
  <x:si>
    <x:t xml:space="preserve">Bloco A · C.3</x:t>
  </x:si>
  <x:si>
    <x:t xml:space="preserve">Bloco A · A.4</x:t>
  </x:si>
  <x:si>
    <x:t xml:space="preserve">Bloco A · B.4</x:t>
  </x:si>
  <x:si>
    <x:t xml:space="preserve">Bloco A · C.4</x:t>
  </x:si>
  <x:si>
    <x:t xml:space="preserve">Bloco A · A.5</x:t>
  </x:si>
  <x:si>
    <x:t xml:space="preserve">Bloco A · B.5</x:t>
  </x:si>
  <x:si>
    <x:t xml:space="preserve">Bloco B · A.0</x:t>
  </x:si>
  <x:si>
    <x:t xml:space="preserve">Bloco B · B.0</x:t>
  </x:si>
  <x:si>
    <x:t xml:space="preserve">Bloco B · A.1</x:t>
  </x:si>
  <x:si>
    <x:t xml:space="preserve">Bloco B · B.1</x:t>
  </x:si>
  <x:si>
    <x:t xml:space="preserve">Bloco B · A.2</x:t>
  </x:si>
  <x:si>
    <x:t xml:space="preserve">Bloco B · B.2</x:t>
  </x:si>
  <x:si>
    <x:t xml:space="preserve">Bloco B · A.3</x:t>
  </x:si>
  <x:si>
    <x:t xml:space="preserve">Bloco B · B.3</x:t>
  </x:si>
  <x:si>
    <x:t xml:space="preserve">Bloco B · A.4</x:t>
  </x:si>
  <x:si>
    <x:t xml:space="preserve">Bloco B · B.4</x:t>
  </x:si>
  <x:si>
    <x:t xml:space="preserve">Bloco B · A.5</x:t>
  </x:si>
  <x:si>
    <x:t xml:space="preserve">Bloco B · B.5</x:t>
  </x:si>
  <x:si>
    <x:t xml:space="preserve">Bloco C · A.0</x:t>
  </x:si>
  <x:si>
    <x:t xml:space="preserve">Bloco C · B.0</x:t>
  </x:si>
  <x:si>
    <x:t xml:space="preserve">Bloco C · A.1</x:t>
  </x:si>
  <x:si>
    <x:t xml:space="preserve">Bloco C · B.1</x:t>
  </x:si>
  <x:si>
    <x:t xml:space="preserve">Bloco C · A.2</x:t>
  </x:si>
  <x:si>
    <x:t xml:space="preserve">Bloco C · B.2</x:t>
  </x:si>
  <x:si>
    <x:t xml:space="preserve">Bloco C · A.3</x:t>
  </x:si>
  <x:si>
    <x:t xml:space="preserve">Bloco C · B.3</x:t>
  </x:si>
  <x:si>
    <x:t xml:space="preserve">Bloco C · A.4</x:t>
  </x:si>
  <x:si>
    <x:t xml:space="preserve">Bloco C · B.4</x:t>
  </x:si>
  <x:si>
    <x:t xml:space="preserve">Bloco C · A.5</x:t>
  </x:si>
  <x:si>
    <x:t xml:space="preserve">Bloco C · B.5</x:t>
  </x:si>
  <x:si>
    <x:t xml:space="preserve">INSTRUÇÕES PARA ATUALIZAR O DASHBOARD</x:t>
  </x:si>
  <x:si>
    <x:t xml:space="preserve">1. ESTRUTURA DO FICHEIRO</x:t>
  </x:si>
  <x:si>
    <x:t xml:space="preserve">   - Mantenha a folha 'Dados' com exatamente as mesmas colunas</x:t>
  </x:si>
  <x:si>
    <x:t xml:space="preserve">   - Não altere os nomes das colunas</x:t>
  </x:si>
  <x:si>
    <x:t xml:space="preserve">   - Não deixe linhas em branco no meio dos dados</x:t>
  </x:si>
  <x:si>
    <x:t xml:space="preserve">2. COLUNAS OBRIGATÓRIAS</x:t>
  </x:si>
  <x:si>
    <x:t xml:space="preserve">   • Empreendimento: Nome do empreendimento (ex: The View, Del Mar Waterfront, Aura Living)</x:t>
  </x:si>
  <x:si>
    <x:t xml:space="preserve">   • Fração: Identificador único (ex: Apartamento 1, W, CG)</x:t>
  </x:si>
  <x:si>
    <x:t xml:space="preserve">   • Piso: Número do piso ou R/C (ex: 1, 2, R/C)</x:t>
  </x:si>
  <x:si>
    <x:t xml:space="preserve">   • Tipologia: Tipo de apartamento (ex: T1, T2, T3, T1+1, T2+1, T1-Duplex)</x:t>
  </x:si>
  <x:si>
    <x:t xml:space="preserve">   • Vista: Código numérico da vista (ex: 1, 2, 3, 4)</x:t>
  </x:si>
  <x:si>
    <x:t xml:space="preserve">   • ABP: Área Bruta Privativa em m² (ex: 99.7)</x:t>
  </x:si>
  <x:si>
    <x:t xml:space="preserve">   • Varanda/Terraço: Área da varanda em m² (ex: 43.4)</x:t>
  </x:si>
  <x:si>
    <x:t xml:space="preserve">   • PVP: Preço de venda em € (ex: 545000)</x:t>
  </x:si>
  <x:si>
    <x:t xml:space="preserve">   • Ano Referência: Ano dos dados (ex: 2026)</x:t>
  </x:si>
  <x:si>
    <x:t xml:space="preserve">3. COMO ADICIONAR NOVOS EMPREENDIMENTOS</x:t>
  </x:si>
  <x:si>
    <x:t xml:space="preserve">   - Adicione novas linhas no final da tabela</x:t>
  </x:si>
  <x:si>
    <x:t xml:space="preserve">   - Preencha todos os campos obrigatórios</x:t>
  </x:si>
  <x:si>
    <x:t xml:space="preserve">   - Use o mesmo formato de dados (sem símbolos de moeda, etc)</x:t>
  </x:si>
  <x:si>
    <x:t xml:space="preserve">4. COMO FAZER UPLOAD</x:t>
  </x:si>
  <x:si>
    <x:t xml:space="preserve">   - Aceda ao dashboard em: viewdash-4miuthwx.manus.space</x:t>
  </x:si>
  <x:si>
    <x:t xml:space="preserve">   - Clique na aba '🔄 Atualizar'</x:t>
  </x:si>
  <x:si>
    <x:t xml:space="preserve">   - Clique em 'Selecionar Ficheiro'</x:t>
  </x:si>
  <x:si>
    <x:t xml:space="preserve">   - Escolha este ficheiro Excel</x:t>
  </x:si>
  <x:si>
    <x:t xml:space="preserve">   - O dashboard será atualizado automaticamente</x:t>
  </x:si>
  <x:si>
    <x:t xml:space="preserve">5. NOTAS IMPORTANTES</x:t>
  </x:si>
  <x:si>
    <x:t xml:space="preserve">   • T1+1, T1-Duplex são comparados com T2 (configurável na aba ⚙️ Configuração)</x:t>
  </x:si>
  <x:si>
    <x:t xml:space="preserve">   • Certifique-se de que não há espaços em branco extras nos nomes</x:t>
  </x:si>
  <x:si>
    <x:t xml:space="preserve">   • Use sempre o mesmo formato de data e números</x:t>
  </x:si>
  <x:si>
    <x:t xml:space="preserve">   • Faça backup do ficheiro antes de fazer grandes alterações</x:t>
  </x:si>
  <x:si>
    <x:t xml:space="preserve">   • Este ficheiro inclui todos os 4 empreendimentos: The View, Del Mar Waterfront, Le Parc, Aura Living</x:t>
  </x:si>
  <x:si>
    <x:t xml:space="preserve">Diagnóstico da base de dados — The View</x:t>
  </x:si>
  <x:si>
    <x:t xml:space="preserve">Métrica</x:t>
  </x:si>
  <x:si>
    <x:t xml:space="preserve">Valor</x:t>
  </x:si>
  <x:si>
    <x:t xml:space="preserve">Comentário</x:t>
  </x:si>
  <x:si>
    <x:t xml:space="preserve">Plano de melhoria do compset</x:t>
  </x:si>
  <x:si>
    <x:t xml:space="preserve">Prioridade</x:t>
  </x:si>
  <x:si>
    <x:t xml:space="preserve">Ação</x:t>
  </x:si>
  <x:si>
    <x:t xml:space="preserve">Como preencher</x:t>
  </x:si>
  <x:si>
    <x:t xml:space="preserve">Impacto no dashboard</x:t>
  </x:si>
  <x:si>
    <x:t xml:space="preserve">Responsável</x:t>
  </x:si>
  <x:si>
    <x:t xml:space="preserve">Estado</x:t>
  </x:si>
  <x:si>
    <x:t xml:space="preserve">Alta</x:t>
  </x:si>
  <x:si>
    <x:t xml:space="preserve">Atualizar todos os concorrentes de 2024</x:t>
  </x:si>
  <x:si>
    <x:t xml:space="preserve">Confirmar PVP, status e URL nos portais/fontes comerciais</x:t>
  </x:si>
  <x:si>
    <x:t xml:space="preserve">Reduz distorção do pricing</x:t>
  </x:si>
  <x:si>
    <x:t xml:space="preserve">Adicionar 3–6 novos empreendimentos premium</x:t>
  </x:si>
  <x:si>
    <x:t xml:space="preserve">Olhão, Marina, Ria Formosa, waterfront, nova construção</x:t>
  </x:si>
  <x:si>
    <x:t xml:space="preserve">Aumenta robustez do preço IA/rigoroso</x:t>
  </x:si>
  <x:si>
    <x:t xml:space="preserve">Classificar Le Parc como benchmark local</x:t>
  </x:si>
  <x:si>
    <x:t xml:space="preserve">Manter, mas com peso inferior ao premium waterfront</x:t>
  </x:si>
  <x:si>
    <x:t xml:space="preserve">Evita subprecificação por comparável fraco</x:t>
  </x:si>
  <x:si>
    <x:t xml:space="preserve">Média</x:t>
  </x:si>
  <x:si>
    <x:t xml:space="preserve">Completar Fonte, URL e Data de atualização</x:t>
  </x:si>
  <x:si>
    <x:t xml:space="preserve">Obrigatório para linhas concorrentes</x:t>
  </x:si>
  <x:si>
    <x:t xml:space="preserve">Melhora qualidade e auditabilidade</x:t>
  </x:si>
  <x:si>
    <x:t xml:space="preserve">Preencher Garagem/Piscina/Condição</x:t>
  </x:si>
  <x:si>
    <x:t xml:space="preserve">Usar Sim/Não/A confirmar</x:t>
  </x:si>
  <x:si>
    <x:t xml:space="preserve">Permite ajustes finos futuros</x:t>
  </x:si>
  <x:si>
    <x:t xml:space="preserve">Criar equivalências comerciais para T1+1/T2+1/Duplex</x:t>
  </x:si>
  <x:si>
    <x:t xml:space="preserve">Documentar na coluna Observações comerciais</x:t>
  </x:si>
  <x:si>
    <x:t xml:space="preserve">Evita amostra vazia para tipologias especiais</x:t>
  </x:si>
  <x:si>
    <x:t xml:space="preserve">Baixa</x:t>
  </x:si>
  <x:si>
    <x:t xml:space="preserve">Separar vendidos/reservados de disponíveis</x:t>
  </x:si>
  <x:si>
    <x:t xml:space="preserve">Status Ativo/Reservado/Vendido</x:t>
  </x:si>
  <x:si>
    <x:t xml:space="preserve">Melhora leitura comercial</x:t>
  </x:si>
  <x:si>
    <x:t xml:space="preserve">Por fazer</x:t>
  </x:si>
  <x:si>
    <x:t xml:space="preserve">Empreendimento / Fonte</x:t>
  </x:si>
  <x:si>
    <x:t xml:space="preserve">Tipo</x:t>
  </x:si>
  <x:si>
    <x:t xml:space="preserve">Localização</x:t>
  </x:si>
  <x:si>
    <x:t xml:space="preserve">Tipologias</x:t>
  </x:si>
  <x:si>
    <x:t xml:space="preserve">Preço desde</x:t>
  </x:si>
  <x:si>
    <x:t xml:space="preserve">Área/escala</x:t>
  </x:si>
  <x:si>
    <x:t xml:space="preserve">Segmento sugerido</x:t>
  </x:si>
  <x:si>
    <x:t xml:space="preserve">Camada sugerida</x:t>
  </x:si>
  <x:si>
    <x:t xml:space="preserve">Peso sugerido</x:t>
  </x:si>
  <x:si>
    <x:t xml:space="preserve">Status sugerido</x:t>
  </x:si>
  <x:si>
    <x:t xml:space="preserve">O que recolher</x:t>
  </x:si>
  <x:si>
    <x:t xml:space="preserve">Fonte URL</x:t>
  </x:si>
  <x:si>
    <x:t xml:space="preserve">Notas</x:t>
  </x:si>
  <x:si>
    <x:t xml:space="preserve">Del Mar Waterfront Living</x:t>
  </x:si>
  <x:si>
    <x:t xml:space="preserve">Marina / Porto de Recreio de Olhão</x:t>
  </x:si>
  <x:si>
    <x:t xml:space="preserve">T2 e T3; projeto T1-T3</x:t>
  </x:si>
  <x:si>
    <x:t xml:space="preserve">690.000 €</x:t>
  </x:si>
  <x:si>
    <x:t xml:space="preserve">126 frações; 72-163 m²</x:t>
  </x:si>
  <x:si>
    <x:t xml:space="preserve">A · Premium ativo</x:t>
  </x:si>
  <x:si>
    <x:t xml:space="preserve">Ativo</x:t>
  </x:si>
  <x:si>
    <x:t xml:space="preserve">Confirmar lista atual de unidades, preços por fração, piso, vista e áreas; atualizar 2026</x:t>
  </x:si>
  <x:si>
    <x:t xml:space="preserve">https://www.idealista.pt/empreendimento/34271659/</x:t>
  </x:si>
  <x:si>
    <x:t xml:space="preserve">Manter como principal benchmark premium; fonte indica marina, 126 frações, T1-T3, áreas 72-163 m², varandas, estacionamento e 5 piscinas.</x:t>
  </x:si>
  <x:si>
    <x:t xml:space="preserve">Del Mar Marina / Del Mar Marina Olhão</x:t>
  </x:si>
  <x:si>
    <x:t xml:space="preserve">Frente mar / Marina de Olhão</x:t>
  </x:si>
  <x:si>
    <x:t xml:space="preserve">T2; projeto T1-T4/T1-T3</x:t>
  </x:si>
  <x:si>
    <x:t xml:space="preserve">720.000 €</x:t>
  </x:si>
  <x:si>
    <x:t xml:space="preserve">83 frações; 4 pisos</x:t>
  </x:si>
  <x:si>
    <x:t xml:space="preserve">Recolher unidades remanescentes e diferenciar de Del Mar Waterfront para não duplicar</x:t>
  </x:si>
  <x:si>
    <x:t xml:space="preserve">https://supercasa.pt/comprar-nova_construcao/olhao/olhao/com-preco-min-1200000</x:t>
  </x:si>
  <x:si>
    <x:t xml:space="preserve">Fonte indica 83 frações, frente marina/Ria Formosa, piscina, garagem e varandas/terraços.</x:t>
  </x:si>
  <x:si>
    <x:t xml:space="preserve">Baixa de Olhão; cerca de 300 m da Marina</x:t>
  </x:si>
  <x:si>
    <x:t xml:space="preserve">T1, T2 e T3</x:t>
  </x:si>
  <x:si>
    <x:t xml:space="preserve">535.500 €</x:t>
  </x:si>
  <x:si>
    <x:t xml:space="preserve">39 apartamentos</x:t>
  </x:si>
  <x:si>
    <x:t xml:space="preserve">Nova construção premium local</x:t>
  </x:si>
  <x:si>
    <x:t xml:space="preserve">B · Benchmark local</x:t>
  </x:si>
  <x:si>
    <x:t xml:space="preserve">Recolher tabela de preços por fração e confirmar vista/estacionamento/piscina</x:t>
  </x:si>
  <x:si>
    <x:t xml:space="preserve">https://supercasa.pt/comprar-nova_construcao/olhao</x:t>
  </x:si>
  <x:si>
    <x:t xml:space="preserve">Boa adição para liquidez e referência de nova construção; menos waterfront direto que The View.</x:t>
  </x:si>
  <x:si>
    <x:t xml:space="preserve">Luxuosos apartamentos com terraço privativo</x:t>
  </x:si>
  <x:si>
    <x:t xml:space="preserve">Empreendimento/listagem agregada</x:t>
  </x:si>
  <x:si>
    <x:t xml:space="preserve">Olhão</x:t>
  </x:si>
  <x:si>
    <x:t xml:space="preserve">T2, T3, T4+</x:t>
  </x:si>
  <x:si>
    <x:t xml:space="preserve">415.000 €</x:t>
  </x:si>
  <x:si>
    <x:t xml:space="preserve">A confirmar</x:t>
  </x:si>
  <x:si>
    <x:t xml:space="preserve">Nova construção local</x:t>
  </x:si>
  <x:si>
    <x:t xml:space="preserve">Identificar nome real do empreendimento e evitar duplicação com PLESSIS/Saramago</x:t>
  </x:si>
  <x:si>
    <x:t xml:space="preserve">Fonte agregada; precisa validação antes de entrar como unidades no Dados.</x:t>
  </x:si>
  <x:si>
    <x:t xml:space="preserve">Apartamentos Marina Olhão com terraço</x:t>
  </x:si>
  <x:si>
    <x:t xml:space="preserve">Listagens individuais</x:t>
  </x:si>
  <x:si>
    <x:t xml:space="preserve">Marina, Olhão</x:t>
  </x:si>
  <x:si>
    <x:t xml:space="preserve">T1+1, T2, penthouse</x:t>
  </x:si>
  <x:si>
    <x:t xml:space="preserve">335.000 €+ / exemplos 380.000 € a 755.000 €</x:t>
  </x:si>
  <x:si>
    <x:t xml:space="preserve">Revenda premium/local</x:t>
  </x:si>
  <x:si>
    <x:t xml:space="preserve">Recolher apenas anúncios com área, piso, vista, varanda/terraço e link; não misturar sem ficha completa</x:t>
  </x:si>
  <x:si>
    <x:t xml:space="preserve">https://www.idealista.pt/comprar-casas/olhao/marina/com-apartamentos%2Cterraco/</x:t>
  </x:si>
  <x:si>
    <x:t xml:space="preserve">Útil para tipologias sem comparáveis diretos, como T1+1 e penthouses, mas deve ter menor peso.</x:t>
  </x:si>
  <x:si>
    <x:t xml:space="preserve">Urbanização Village Marina</x:t>
  </x:si>
  <x:si>
    <x:t xml:space="preserve">Revenda / zona</x:t>
  </x:si>
  <x:si>
    <x:t xml:space="preserve">Olhão - Village Marina</x:t>
  </x:si>
  <x:si>
    <x:t xml:space="preserve">Apartamentos variados</x:t>
  </x:si>
  <x:si>
    <x:t xml:space="preserve">335.000 €</x:t>
  </x:si>
  <x:si>
    <x:t xml:space="preserve">11 anúncios na zona</x:t>
  </x:si>
  <x:si>
    <x:t xml:space="preserve">Benchmark local usado</x:t>
  </x:si>
  <x:si>
    <x:t xml:space="preserve">C · Histórico/secundário</x:t>
  </x:si>
  <x:si>
    <x:t xml:space="preserve">Usar apenas para contexto local e validar estado/ano antes de misturar</x:t>
  </x:si>
  <x:si>
    <x:t xml:space="preserve">https://www.idealista.pt/geo/comprar-casas/urbanizacao-village-marina/com-apartamentos/</x:t>
  </x:si>
  <x:si>
    <x:t xml:space="preserve">Ajuda a calibrar mercado secundário, mas não deve comandar preço premium.</x:t>
  </x:si>
  <x:si>
    <x:t xml:space="preserve">Casas De Sal</x:t>
  </x:si>
  <x:si>
    <x:t xml:space="preserve">Produto alternativo</x:t>
  </x:si>
  <x:si>
    <x:t xml:space="preserve">Moncarapacho e Fuseta</x:t>
  </x:si>
  <x:si>
    <x:t xml:space="preserve">Moradias T3</x:t>
  </x:si>
  <x:si>
    <x:t xml:space="preserve">860.000 €</x:t>
  </x:si>
  <x:si>
    <x:t xml:space="preserve">Moradias em banda</x:t>
  </x:si>
  <x:si>
    <x:t xml:space="preserve">Alternativa lifestyle fora do micro mercado</x:t>
  </x:si>
  <x:si>
    <x:t xml:space="preserve">Só usar se quiser comparar poder de compra/lifestyle; não usar no preço oficial de apartamentos</x:t>
  </x:si>
  <x:si>
    <x:t xml:space="preserve">https://www.idealista.pt/comprar-empreendimentos/olhao/</x:t>
  </x:si>
  <x:si>
    <x:t xml:space="preserve">Fora do micro mercado Marina/Olhão apartamentos; útil apenas como referência estratégica.</x:t>
  </x:si>
  <x:si>
    <x:t xml:space="preserve">Critério</x:t>
  </x:si>
  <x:si>
    <x:t xml:space="preserve">Valor / condição</x:t>
  </x:si>
  <x:si>
    <x:t xml:space="preserve">Peso recomendado</x:t>
  </x:si>
  <x:si>
    <x:t xml:space="preserve">Camada</x:t>
  </x:si>
  <x:si>
    <x:t xml:space="preserve">Como usar no compset</x:t>
  </x:si>
  <x:si>
    <x:t xml:space="preserve">Exemplo</x:t>
  </x:si>
  <x:si>
    <x:t xml:space="preserve">Waterfront / Marina / Ria Formosa comparável</x:t>
  </x:si>
  <x:si>
    <x:t xml:space="preserve">Usar no preço oficial quando também casar tipologia/piso/vista</x:t>
  </x:si>
  <x:si>
    <x:t xml:space="preserve">Del Mar Waterfront atualizado</x:t>
  </x:si>
  <x:si>
    <x:t xml:space="preserve">Olhão central / próximo da marina, mas sem frente de água</x:t>
  </x:si>
  <x:si>
    <x:t xml:space="preserve">Usar como benchmark; menor peso no preço IA</x:t>
  </x:si>
  <x:si>
    <x:t xml:space="preserve">Fora do micro mercado ou produto diferente</x:t>
  </x:si>
  <x:si>
    <x:t xml:space="preserve">C</x:t>
  </x:si>
  <x:si>
    <x:t xml:space="preserve">Apenas contexto estratégico</x:t>
  </x:si>
  <x:si>
    <x:t xml:space="preserve">Atualidade</x:t>
  </x:si>
  <x:si>
    <x:t xml:space="preserve">Ativo/atualizado nos últimos 90 dias</x:t>
  </x:si>
  <x:si>
    <x:t xml:space="preserve">A/B</x:t>
  </x:si>
  <x:si>
    <x:t xml:space="preserve">Pode entrar com peso normal</x:t>
  </x:si>
  <x:si>
    <x:t xml:space="preserve">URL e data confirmada</x:t>
  </x:si>
  <x:si>
    <x:t xml:space="preserve">Produto</x:t>
  </x:si>
  <x:si>
    <x:t xml:space="preserve">Nova construção com garagem, piscina e varanda/terraço</x:t>
  </x:si>
  <x:si>
    <x:t xml:space="preserve">Bom comparável se áreas e vistas forem completas</x:t>
  </x:si>
  <x:si>
    <x:t xml:space="preserve">Del Mar / Saramago</x:t>
  </x:si>
  <x:si>
    <x:t xml:space="preserve">Revenda ou produto semi-novo</x:t>
  </x:si>
  <x:si>
    <x:t xml:space="preserve">B/C</x:t>
  </x:si>
  <x:si>
    <x:t xml:space="preserve">Usar apenas se ficha completa e localização muito boa</x:t>
  </x:si>
  <x:si>
    <x:t xml:space="preserve">Village Marina</x:t>
  </x:si>
  <x:si>
    <x:t xml:space="preserve">Dados</x:t>
  </x:si>
  <x:si>
    <x:t xml:space="preserve">Ficha completa com URL, data, área, piso, vista e preço</x:t>
  </x:si>
  <x:si>
    <x:t xml:space="preserve">Confiável para pricing</x:t>
  </x:si>
  <x:si>
    <x:t xml:space="preserve">Anúncio detalhado</x:t>
  </x:si>
  <x:si>
    <x:t xml:space="preserve">Sem URL, sem data ou sem área útil/total</x:t>
  </x:si>
  <x:si>
    <x:t xml:space="preserve">Prioridade de atualização alta</x:t>
  </x:si>
  <x:si>
    <x:t xml:space="preserve">Linha antiga sem fonte</x:t>
  </x:si>
  <x:si>
    <x:t xml:space="preserve">Como usar esta folha</x:t>
  </x:si>
  <x:si>
    <x:t xml:space="preserve">CAND-001</x:t>
  </x:si>
  <x:si>
    <x:t xml:space="preserve">T2 / T3</x:t>
  </x:si>
  <x:si>
    <x:t xml:space="preserve">Marina / Ria Formosa</x:t>
  </x:si>
  <x:si>
    <x:t xml:space="preserve">Candidato / Ativo</x:t>
  </x:si>
  <x:si>
    <x:t xml:space="preserve">Idealista</x:t>
  </x:si>
  <x:si>
    <x:t xml:space="preserve">Sim</x:t>
  </x:si>
  <x:si>
    <x:t xml:space="preserve">Adicionar unidades reais por fração; confirmar preços, pisos, vistas, ABP, varandas e disponibilidade.</x:t>
  </x:si>
  <x:si>
    <x:t xml:space="preserve">Recolher tabela de unidades e substituir esta linha por frações individuais.</x:t>
  </x:si>
  <x:si>
    <x:t xml:space="preserve">1</x:t>
  </x:si>
  <x:si>
    <x:t xml:space="preserve">Esta folha usa exatamente as mesmas colunas da folha Dados.</x:t>
  </x:si>
  <x:si>
    <x:t xml:space="preserve">CAND-002</x:t>
  </x:si>
  <x:si>
    <x:t xml:space="preserve">T1 / T2 / T3 / T4</x:t>
  </x:si>
  <x:si>
    <x:t xml:space="preserve">Frente mar / Marina</x:t>
  </x:si>
  <x:si>
    <x:t xml:space="preserve">SuperCasa</x:t>
  </x:si>
  <x:si>
    <x:t xml:space="preserve">Validar se é distinto do Del Mar Waterfront Living para evitar duplicação.</x:t>
  </x:si>
  <x:si>
    <x:t xml:space="preserve">Recolher unidades remanescentes; confirmar nome comercial e fichas por fração.</x:t>
  </x:si>
  <x:si>
    <x:t xml:space="preserve">2</x:t>
  </x:si>
  <x:si>
    <x:t xml:space="preserve">As linhas são candidatos, não frações definitivas.</x:t>
  </x:si>
  <x:si>
    <x:t xml:space="preserve">CAND-003</x:t>
  </x:si>
  <x:si>
    <x:t xml:space="preserve">T1 / T2 / T3</x:t>
  </x:si>
  <x:si>
    <x:t xml:space="preserve">Bom benchmark local, mas menos waterfront direto do que The View.</x:t>
  </x:si>
  <x:si>
    <x:t xml:space="preserve">Recolher tabela por fração, vista real, pisos, áreas e estacionamento.</x:t>
  </x:si>
  <x:si>
    <x:t xml:space="preserve">3</x:t>
  </x:si>
  <x:si>
    <x:t xml:space="preserve">Antes de copiar para Dados, substituir cada candidato por unidades reais com ABP, varanda, área total e PVP.</x:t>
  </x:si>
  <x:si>
    <x:t xml:space="preserve">4</x:t>
  </x:si>
  <x:si>
    <x:t xml:space="preserve">Não usar linhas com ABP/Área vazias no pricing oficial.</x:t>
  </x:si>
  <x:si>
    <x:t xml:space="preserve">CAND-005</x:t>
  </x:si>
  <x:si>
    <x:t xml:space="preserve">T2 / T3 / T4+</x:t>
  </x:si>
  <x:si>
    <x:t xml:space="preserve">Candidato / A validar</x:t>
  </x:si>
  <x:si>
    <x:t xml:space="preserve">Fonte agregada; precisa confirmar nome real do empreendimento e evitar duplicação.</x:t>
  </x:si>
  <x:si>
    <x:t xml:space="preserve">Identificar empreendimento real antes de inserir como concorrente oficial.</x:t>
  </x:si>
  <x:si>
    <x:t xml:space="preserve">5</x:t>
  </x:si>
  <x:si>
    <x:t xml:space="preserve">Peso comparável é sugestão inicial; ajustar conforme qualidade da fonte e semelhança real.</x:t>
  </x:si>
  <x:si>
    <x:t xml:space="preserve">CAND-006</x:t>
  </x:si>
  <x:si>
    <x:t xml:space="preserve">T1+1 / T2 / Penthouse</x:t>
  </x:si>
  <x:si>
    <x:t xml:space="preserve">Marina / A confirmar</x:t>
  </x:si>
  <x:si>
    <x:t xml:space="preserve">Candidato / Listagens individuais</x:t>
  </x:si>
  <x:si>
    <x:t xml:space="preserve">Usado / A confirmar</x:t>
  </x:si>
  <x:si>
    <x:t xml:space="preserve">Útil para tipologias sem diretos, mas apenas com ficha completa por anúncio.</x:t>
  </x:si>
  <x:si>
    <x:t xml:space="preserve">Selecionar apenas anúncios com preço, área, piso, vista, varanda/terraço e URL individual.</x:t>
  </x:si>
  <x:si>
    <x:t xml:space="preserve">6</x:t>
  </x:si>
  <x:si>
    <x:t xml:space="preserve">Manter URL individual sempre que possível.</x:t>
  </x:si>
  <x:si>
    <x:t xml:space="preserve">CAND-007</x:t>
  </x:si>
  <x:si>
    <x:t xml:space="preserve">Usado</x:t>
  </x:si>
  <x:si>
    <x:t xml:space="preserve">Benchmark de mercado secundário; não deve comandar pricing premium.</x:t>
  </x:si>
  <x:si>
    <x:t xml:space="preserve">Usar só como contexto; validar estado, ano, áreas e localização exata.</x:t>
  </x:si>
  <x:si>
    <x:t xml:space="preserve">CAND-008</x:t>
  </x:si>
  <x:si>
    <x:t xml:space="preserve">T3 moradia</x:t>
  </x:si>
  <x:si>
    <x:t xml:space="preserve">Fora do micro mercado</x:t>
  </x:si>
  <x:si>
    <x:t xml:space="preserve">Candidato / Estratégico</x:t>
  </x:si>
  <x:si>
    <x:t xml:space="preserve">Produto alternativo; não usar no preço oficial de apartamentos The View.</x:t>
  </x:si>
  <x:si>
    <x:t xml:space="preserve">Usar apenas para análise de poder de compra/lifestyle, não como concorrente direto.</x:t>
  </x:si>
  <x:si>
    <x:t xml:space="preserve">Data</x:t>
  </x:si>
  <x:si>
    <x:t xml:space="preserve">Tipo de dado</x:t>
  </x:si>
  <x:si>
    <x:t xml:space="preserve">€/m²</x:t>
  </x:si>
  <x:si>
    <x:t xml:space="preserve">Variação mensal</x:t>
  </x:si>
  <x:si>
    <x:t xml:space="preserve">Variação trimestral</x:t>
  </x:si>
  <x:si>
    <x:t xml:space="preserve">Variação anual</x:t>
  </x:si>
  <x:si>
    <x:t xml:space="preserve">Uso recomendado</x:t>
  </x:si>
  <x:si>
    <x:t xml:space="preserve">Observação</x:t>
  </x:si>
  <x:si>
    <x:t xml:space="preserve">2026-04</x:t>
  </x:si>
  <x:si>
    <x:t xml:space="preserve">Oferta/anúncio</x:t>
  </x:si>
  <x:si>
    <x:t xml:space="preserve">Portugal</x:t>
  </x:si>
  <x:si>
    <x:t xml:space="preserve">Mercado geral</x:t>
  </x:si>
  <x:si>
    <x:t xml:space="preserve">Benchmark macro</x:t>
  </x:si>
  <x:si>
    <x:t xml:space="preserve">Preço mediano de casas anunciadas para venda; não usar como concorrente direto.</x:t>
  </x:si>
  <x:si>
    <x:t xml:space="preserve">https://www.idealista.pt/media/relatorios-preco-habitacao/</x:t>
  </x:si>
  <x:si>
    <x:t xml:space="preserve">Algarve</x:t>
  </x:si>
  <x:si>
    <x:t xml:space="preserve">Mercado regional</x:t>
  </x:si>
  <x:si>
    <x:t xml:space="preserve">Benchmark regional</x:t>
  </x:si>
  <x:si>
    <x:t xml:space="preserve">Preço mediano de casas anunciadas para venda no Algarve; útil para posicionamento premium.</x:t>
  </x:si>
  <x:si>
    <x:t xml:space="preserve">https://www.idealista.pt/media/relatorios-preco-habitacao/venda/faro/</x:t>
  </x:si>
  <x:si>
    <x:t xml:space="preserve">Mercado local</x:t>
  </x:si>
  <x:si>
    <x:t xml:space="preserve">Preço mediano de casas anunciadas para venda em Olhão; usar como base local geral.</x:t>
  </x:si>
  <x:si>
    <x:t xml:space="preserve">https://www.idealista.pt/media/relatorios-preco-habitacao/venda/faro/olhao/</x:t>
  </x:si>
  <x:si>
    <x:t xml:space="preserve">2025</x:t>
  </x:si>
  <x:si>
    <x:t xml:space="preserve">INE</x:t>
  </x:si>
  <x:si>
    <x:t xml:space="preserve">Transação</x:t>
  </x:si>
  <x:si>
    <x:t xml:space="preserve">Benchmark transação</x:t>
  </x:si>
  <x:si>
    <x:t xml:space="preserve">Preço mediano anual de alojamentos familiares transacionados; mais conservador que preço de oferta.</x:t>
  </x:si>
  <x:si>
    <x:t xml:space="preserve">https://www.ine.pt/xportal/xmain?DESTAQUESdest_boui=706274558&amp;DESTAQUESmodo=2&amp;xlang=pt&amp;xpgid=ine_destaques&amp;xpid=INE</x:t>
  </x:si>
  <x:si>
    <x:t xml:space="preserve">Preço mediano anual de alojamentos familiares transacionados no Algarve; útil para validar premium regional.</x:t>
  </x:si>
  <x:si>
    <x:t xml:space="preserve">2025-Q4</x:t>
  </x:si>
  <x:si>
    <x:t xml:space="preserve">Benchmark trimestral</x:t>
  </x:si>
  <x:si>
    <x:t xml:space="preserve">Preço mediano dos alojamentos familiares transacionados em Portugal no 4.º trimestre de 2025.</x:t>
  </x:si>
  <x:si>
    <x:t xml:space="preserve">https://www.ine.pt/ngt_server/attachfileu.jsp?att_display=n&amp;att_download=y&amp;look_parentBoui=789055201</x:t>
  </x:si>
  <x:si>
    <x:t xml:space="preserve">Contexto de Mercado · The View Olhão</x:t>
  </x:si>
  <x:si>
    <x:t xml:space="preserve">Indicador</x:t>
  </x:si>
  <x:si>
    <x:t xml:space="preserve">Fonte / cálculo</x:t>
  </x:si>
  <x:si>
    <x:t xml:space="preserve">Leitura</x:t>
  </x:si>
  <x:si>
    <x:t xml:space="preserve">Fontes usadas</x:t>
  </x:si>
  <x:si>
    <x:t xml:space="preserve">Mediana The View €/m² c/ varanda</x:t>
  </x:si>
  <x:si>
    <x:t xml:space="preserve">MEDIAN(FILTER(Dados[Com Varanda/Terraço], Dados[Empreendimento]="The View"))</x:t>
  </x:si>
  <x:si>
    <x:t xml:space="preserve">Âncora interna do empreendimento.</x:t>
  </x:si>
  <x:si>
    <x:t xml:space="preserve">Índice de preços de oferta/anúncio. Útil para perceber mercado pedido, não preço fechado.</x:t>
  </x:si>
  <x:si>
    <x:t xml:space="preserve">Mediana concorrentes €/m² c/ varanda</x:t>
  </x:si>
  <x:si>
    <x:t xml:space="preserve">MEDIAN(FILTER(Dados[Com Varanda/Terraço], Dados[Empreendimento]&lt;&gt;"The View"))</x:t>
  </x:si>
  <x:si>
    <x:t xml:space="preserve">Idealista Olhão</x:t>
  </x:si>
  <x:si>
    <x:t xml:space="preserve">Preço do m² em Olhão a abril de 2026: 3.261 €/m².</x:t>
  </x:si>
  <x:si>
    <x:t xml:space="preserve">Benchmark Olhão · oferta</x:t>
  </x:si>
  <x:si>
    <x:t xml:space="preserve">Benchmark_Mercado</x:t>
  </x:si>
  <x:si>
    <x:t xml:space="preserve">Base local geral; não é concorrência direta.</x:t>
  </x:si>
  <x:si>
    <x:t xml:space="preserve">Idealista Algarve</x:t>
  </x:si>
  <x:si>
    <x:t xml:space="preserve">Preço do m² no Algarve/Faro a abril de 2026: 4.009 €/m².</x:t>
  </x:si>
  <x:si>
    <x:t xml:space="preserve">Benchmark Algarve · oferta</x:t>
  </x:si>
  <x:si>
    <x:t xml:space="preserve">Base regional; útil para justificar posicionamento premium.</x:t>
  </x:si>
  <x:si>
    <x:t xml:space="preserve">Estatísticas de preços de habitação ao nível local; transações reais.</x:t>
  </x:si>
  <x:si>
    <x:t xml:space="preserve">Benchmark Portugal · oferta</x:t>
  </x:si>
  <x:si>
    <x:t xml:space="preserve">Base macro; usado apenas para enquadramento.</x:t>
  </x:si>
  <x:si>
    <x:t xml:space="preserve">The View vs Olhão</x:t>
  </x:si>
  <x:si>
    <x:t xml:space="preserve">Mediana The View / Olhão - 1</x:t>
  </x:si>
  <x:si>
    <x:t xml:space="preserve">Mostra o prémio local.</x:t>
  </x:si>
  <x:si>
    <x:t xml:space="preserve">The View vs Algarve</x:t>
  </x:si>
  <x:si>
    <x:t xml:space="preserve">Mediana The View / Algarve - 1</x:t>
  </x:si>
  <x:si>
    <x:t xml:space="preserve">Mostra o posicionamento regional.</x:t>
  </x:si>
  <x:si>
    <x:t xml:space="preserve">The View vs Portugal</x:t>
  </x:si>
  <x:si>
    <x:t xml:space="preserve">Mediana The View / Portugal - 1</x:t>
  </x:si>
  <x:si>
    <x:t xml:space="preserve">Mostra o prémio macro.</x:t>
  </x:si>
  <x:si>
    <x:t xml:space="preserve">Recomendação analítica</x:t>
  </x:si>
  <x:si>
    <x:t xml:space="preserve">Não misturar benchmarks macro/regionais com concorrentes diretos.</x:t>
  </x:si>
  <x:si>
    <x:t xml:space="preserve">Olhão, Algarve e Portugal devem validar o posicionamento, não calcular o preço de cada fração.</x:t>
  </x:si>
  <x:si>
    <x:t xml:space="preserve">Saramago 2024 · leitura rápida</x:t>
  </x:si>
  <x:si>
    <x:t xml:space="preserve">Linhas adicionadas</x:t>
  </x:si>
  <x:si>
    <x:t xml:space="preserve">Dados!A174:AB198</x:t>
  </x:si>
  <x:si>
    <x:t xml:space="preserve">Apenas linhas com preço numérico foram adicionadas.</x:t>
  </x:si>
  <x:si>
    <x:t xml:space="preserve">Mediana €/m² c/ exterior</x:t>
  </x:si>
  <x:si>
    <x:t xml:space="preserve">MEDIAN(Saramago_2024_Convertido[€/m² com varanda/terraço])</x:t>
  </x:si>
  <x:si>
    <x:t xml:space="preserve">Benchmark local histórico 2024.</x:t>
  </x:si>
  <x:si>
    <x:t xml:space="preserve">Histórico</x:t>
  </x:si>
  <x:si>
    <x:t xml:space="preserve">Tabela 2024</x:t>
  </x:si>
  <x:si>
    <x:t xml:space="preserve">Atualizar antes de decisão final.</x:t>
  </x:si>
  <x:si>
    <x:t xml:space="preserve">Ano 2024 + benchmark local</x:t>
  </x:si>
  <x:si>
    <x:t xml:space="preserve">Reduz impacto no modelo.</x:t>
  </x:si>
  <x:si>
    <x:t xml:space="preserve">Limitação</x:t>
  </x:si>
  <x:si>
    <x:t xml:space="preserve">Sem vista/orientação</x:t>
  </x:si>
  <x:si>
    <x:t xml:space="preserve">Vista=N/D</x:t>
  </x:si>
  <x:si>
    <x:t xml:space="preserve">Não deve entrar como concorrente direto por vista.</x:t>
  </x:si>
  <x:si>
    <x:t xml:space="preserve">€/m² sem varanda</x:t>
  </x:si>
  <x:si>
    <x:t xml:space="preserve">€/m² com varanda/terraço</x:t>
  </x:si>
  <x:si>
    <x:t xml:space="preserve">N/D</x:t>
  </x:si>
  <x:si>
    <x:t xml:space="preserve">Tabela de preços 2024. Sem orientação/vista por fração; usar como benchmark local, não como concorrente direto premium.</x:t>
  </x:si>
</x:sst>
</file>

<file path=xl/styles.xml><?xml version="1.0" encoding="utf-8"?>
<x:styleSheet xmlns:x="http://schemas.openxmlformats.org/spreadsheetml/2006/main">
  <x:numFmts count="9">
    <x:numFmt numFmtId="164" formatCode="\€\ #,##0"/>
    <x:numFmt numFmtId="165" formatCode="yyyy\-mm\-dd"/>
    <x:numFmt numFmtId="166" formatCode="#,##0\ &quot;€/m²&quot;"/>
    <x:numFmt numFmtId="167" formatCode="0.0%"/>
    <x:numFmt numFmtId="168" formatCode="#,##0\ \€"/>
    <x:numFmt numFmtId="200" formatCode="yyyy-mm-dd"/>
    <x:numFmt numFmtId="201" formatCode="#,##0 &quot;€&quot;"/>
    <x:numFmt numFmtId="202" formatCode="0.00"/>
    <x:numFmt numFmtId="203" formatCode="#,##0 &quot;€/m²&quot;"/>
  </x:numFmts>
  <x:fonts count="12">
    <x:font>
      <x:sz val="11"/>
      <x:color theme="1"/>
      <x:name val="Calibri"/>
    </x:font>
    <x:font>
      <x:b/>
      <x:sz val="11"/>
      <x:name val="Calibri"/>
    </x:font>
    <x:font>
      <x:sz val="10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b/>
      <x:sz val="11"/>
      <x:color rgb="FF581C87"/>
      <x:name val="Calibri"/>
    </x:font>
    <x:font>
      <x:b/>
      <x:sz val="11"/>
      <x:color rgb="FF111827"/>
      <x:name val="Calibri"/>
    </x:font>
    <x:font>
      <x:b/>
      <x:sz val="11"/>
      <x:color theme="1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  <x:font>
      <x:b/>
      <x:sz val="10"/>
      <x:color theme="1"/>
      <x:name val="Calibri"/>
    </x:font>
    <x:font>
      <x:b/>
      <x:sz val="10"/>
      <x:color rgb="FF111827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  <x:fill>
      <x:patternFill patternType="solid">
        <x:fgColor rgb="FFF3E8FF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0" xfId="0" applyAlignment="1">
      <x:alignment horizontal="left" vertical="center"/>
    </x:xf>
    <x:xf numFmtId="0" fontId="1" fillId="0" borderId="0" xfId="0" applyFont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3" fillId="2" borderId="0" xfId="0" applyFont="1" applyFill="1" applyAlignment="1">
      <x:alignment horizontal="center" vertical="center" wrapText="1"/>
    </x:xf>
    <x:xf numFmtId="2" fontId="0" fillId="0" borderId="0" xfId="0" applyNumberFormat="1" applyAlignment="1">
      <x:alignment horizontal="left" vertical="center"/>
    </x:xf>
    <x:xf numFmtId="164" fontId="0" fillId="0" borderId="0" xfId="0" applyNumberFormat="1" applyAlignment="1">
      <x:alignment horizontal="left" vertical="center"/>
    </x:xf>
    <x:xf numFmtId="2" fontId="0" fillId="0" borderId="0" xfId="0" applyNumberFormat="1"/>
    <x:xf numFmtId="165" fontId="0" fillId="0" borderId="0" xfId="0" applyNumberFormat="1"/>
    <x:xf numFmtId="0" fontId="3" fillId="3" borderId="0" xfId="0" applyFont="1" applyFill="1"/>
    <x:xf numFmtId="164" fontId="0" fillId="0" borderId="0" xfId="0" applyNumberFormat="1"/>
    <x:xf numFmtId="0" fontId="3" fillId="3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3" fillId="4" borderId="0" xfId="0" applyFont="1" applyFill="1" applyAlignment="1">
      <x:alignment horizontal="center" vertical="center" wrapText="1"/>
    </x:xf>
    <x:xf numFmtId="2" fontId="0" fillId="0" borderId="0" xfId="0" applyNumberFormat="1" applyAlignment="1">
      <x:alignment wrapText="1"/>
    </x:xf>
    <x:xf numFmtId="0" fontId="3" fillId="5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NumberFormat="1" applyAlignment="1">
      <x:alignment vertical="top" wrapText="1"/>
    </x:xf>
    <x:xf numFmtId="165" fontId="0" fillId="0" borderId="0" xfId="0" applyNumberFormat="1" applyAlignment="1">
      <x:alignment vertical="top" wrapText="1"/>
    </x:xf>
    <x:xf numFmtId="2" fontId="0" fillId="0" borderId="0" xfId="0" applyNumberFormat="1" applyAlignment="1">
      <x:alignment vertical="top" wrapText="1"/>
    </x:xf>
    <x:xf numFmtId="0" fontId="3" fillId="7" borderId="0" xfId="0" applyFont="1" applyFill="1" applyAlignment="1">
      <x:alignment horizontal="center" vertical="center" wrapText="1"/>
    </x:xf>
    <x:xf numFmtId="166" fontId="0" fillId="0" borderId="0" xfId="0" applyNumberFormat="1" applyAlignment="1">
      <x:alignment wrapText="1"/>
    </x:xf>
    <x:xf numFmtId="167" fontId="0" fillId="0" borderId="0" xfId="0" applyNumberFormat="1" applyAlignment="1">
      <x:alignment wrapText="1"/>
    </x:xf>
    <x:xf numFmtId="0" fontId="7" fillId="0" borderId="0" xfId="0" applyFont="1" applyAlignment="1">
      <x:alignment wrapText="1"/>
    </x:xf>
    <x:xf numFmtId="4" fontId="0" fillId="0" borderId="0" xfId="0" applyNumberFormat="1" applyAlignment="1">
      <x:alignment wrapText="1"/>
    </x:xf>
    <x:xf numFmtId="168" fontId="0" fillId="0" borderId="0" xfId="0" applyNumberFormat="1" applyAlignment="1">
      <x:alignment wrapText="1"/>
    </x:xf>
    <x:xf numFmtId="0" fontId="3" fillId="9" borderId="0" xfId="0" applyFont="1" applyFill="1" applyAlignment="1">
      <x:alignment horizontal="center" vertical="center" wrapText="1"/>
    </x:xf>
    <x:xf numFmtId="0" fontId="4" fillId="2" borderId="0" xfId="0" applyFont="1" applyFill="1" applyAlignment="1">
      <x:alignment horizontal="center"/>
    </x:xf>
    <x:xf numFmtId="0" fontId="0" fillId="0" borderId="0" xfId="0"/>
    <x:xf numFmtId="0" fontId="5" fillId="6" borderId="0" xfId="0" applyFont="1" applyFill="1" applyAlignment="1">
      <x:alignment horizontal="center"/>
    </x:xf>
    <x:xf numFmtId="0" fontId="4" fillId="7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/>
    </x:xf>
    <x:xf numFmtId="0" fontId="3" fillId="7" borderId="0" xfId="0" applyFont="1" applyFill="1" applyAlignment="1">
      <x:alignment horizontal="center" vertical="center" wrapText="1"/>
    </x:xf>
    <x:xf numFmtId="0" fontId="6" fillId="10" borderId="0" xfId="0" applyFont="1" applyFill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" fontId="0" fillId="0" borderId="1" xfId="0" applyNumberFormat="1" applyFont="1" applyFill="1" applyBorder="1" applyAlignment="1">
      <x:alignment horizontal="left" vertical="center"/>
    </x:xf>
    <x:xf numFmtId="164" fontId="0" fillId="0" borderId="1" xfId="0" applyNumberFormat="1" applyFont="1" applyFill="1" applyBorder="1" applyAlignment="1">
      <x:alignment horizontal="left" vertical="center"/>
    </x:xf>
    <x:xf numFmtId="2" fontId="0" fillId="0" borderId="1" xfId="0" applyNumberFormat="1" applyFont="1" applyFill="1" applyBorder="1"/>
    <x:xf numFmtId="165" fontId="0" fillId="0" borderId="1" xfId="0" applyNumberFormat="1" applyFont="1" applyFill="1" applyBorder="1"/>
    <x:xf numFmtId="0" fontId="3" fillId="3" borderId="1" xfId="0" applyNumberFormat="1" applyFont="1" applyFill="1" applyBorder="1"/>
    <x:xf numFmtId="164" fontId="0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164" fontId="0" fillId="0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 applyAlignment="1">
      <x:alignment vertical="top" wrapText="1"/>
    </x:xf>
    <x:xf numFmtId="2" fontId="0" fillId="0" borderId="1" xfId="0" applyNumberFormat="1" applyFont="1" applyFill="1" applyBorder="1" applyAlignment="1">
      <x:alignment vertical="top" wrapText="1"/>
    </x:xf>
    <x:xf numFmtId="166" fontId="0" fillId="0" borderId="1" xfId="0" applyNumberFormat="1" applyFont="1" applyFill="1" applyBorder="1" applyAlignment="1">
      <x:alignment wrapText="1"/>
    </x:xf>
    <x:xf numFmtId="167" fontId="0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4" fontId="0" fillId="0" borderId="1" xfId="0" applyNumberFormat="1" applyFont="1" applyFill="1" applyBorder="1" applyAlignment="1">
      <x:alignment wrapText="1"/>
    </x:xf>
    <x:xf numFmtId="168" fontId="0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left" vertical="center"/>
    </x:xf>
    <x:xf numFmtId="0" fontId="6" fillId="8" borderId="1" xfId="0" applyNumberFormat="1" applyFont="1" applyFill="1" applyBorder="1" applyAlignment="1">
      <x:alignment horizontal="left"/>
    </x:xf>
    <x:xf numFmtId="0" fontId="6" fillId="8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left" vertical="center"/>
    </x:xf>
    <x:xf numFmtId="201" fontId="0" fillId="0" borderId="1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left" vertical="center"/>
    </x:xf>
    <x:xf numFmtId="2" fontId="9" fillId="0" borderId="0" xfId="0" applyNumberFormat="1" applyFont="1" applyFill="1" applyBorder="1" applyAlignment="1">
      <x:alignment horizontal="left" vertical="center"/>
    </x:xf>
    <x:xf numFmtId="164" fontId="9" fillId="0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" fontId="9" fillId="0" borderId="0" xfId="0" applyNumberFormat="1" applyFont="1" applyFill="1" applyBorder="1"/>
    <x:xf numFmtId="165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left" vertical="center"/>
    </x:xf>
    <x:xf numFmtId="202" fontId="9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horizontal="left" vertical="center"/>
    </x:xf>
    <x:xf numFmtId="2" fontId="9" fillId="0" borderId="1" xfId="0" applyNumberFormat="1" applyFont="1" applyFill="1" applyBorder="1" applyAlignment="1">
      <x:alignment horizontal="left" vertical="center"/>
    </x:xf>
    <x:xf numFmtId="164" fontId="9" fillId="0" borderId="1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200" fontId="9" fillId="0" borderId="1" xfId="0" applyNumberFormat="1" applyFont="1" applyFill="1" applyBorder="1"/>
    <x:xf numFmtId="2" fontId="9" fillId="0" borderId="1" xfId="0" applyNumberFormat="1" applyFont="1" applyFill="1" applyBorder="1"/>
    <x:xf numFmtId="165" fontId="9" fillId="0" borderId="1" xfId="0" applyNumberFormat="1" applyFont="1" applyFill="1" applyBorder="1"/>
    <x:xf numFmtId="201" fontId="9" fillId="0" borderId="1" xfId="0" applyNumberFormat="1" applyFont="1" applyFill="1" applyBorder="1" applyAlignment="1">
      <x:alignment horizontal="left" vertical="center"/>
    </x:xf>
    <x:xf numFmtId="202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2" fontId="9" fillId="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164" fontId="9" fillId="0" borderId="0" xfId="0" applyNumberFormat="1" applyFont="1" applyFill="1" applyBorder="1" applyAlignment="1">
      <x:alignment vertical="top" wrapText="1"/>
    </x:xf>
    <x:xf numFmtId="165" fontId="9" fillId="0" borderId="0" xfId="0" applyNumberFormat="1" applyFont="1" applyFill="1" applyBorder="1" applyAlignment="1">
      <x:alignment vertical="top" wrapText="1"/>
    </x:xf>
    <x:xf numFmtId="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164" fontId="9" fillId="0" borderId="1" xfId="0" applyNumberFormat="1" applyFont="1" applyFill="1" applyBorder="1" applyAlignment="1">
      <x:alignment vertical="top" wrapText="1"/>
    </x:xf>
    <x:xf numFmtId="165" fontId="9" fillId="0" borderId="1" xfId="0" applyNumberFormat="1" applyFont="1" applyFill="1" applyBorder="1" applyAlignment="1">
      <x:alignment vertical="top" wrapText="1"/>
    </x:xf>
    <x:xf numFmtId="2" fontId="9" fillId="0" borderId="1" xfId="0" applyNumberFormat="1" applyFont="1" applyFill="1" applyBorder="1" applyAlignment="1">
      <x:alignment vertical="top" wrapText="1"/>
    </x:xf>
    <x:xf numFmtId="200" fontId="9" fillId="0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164" fontId="9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164" fontId="9" fillId="0" borderId="1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 applyAlignment="1">
      <x:alignment wrapText="1"/>
    </x:xf>
    <x:xf numFmtId="166" fontId="9" fillId="0" borderId="0" xfId="0" applyNumberFormat="1" applyFont="1" applyFill="1" applyBorder="1" applyAlignment="1">
      <x:alignment wrapText="1"/>
    </x:xf>
    <x:xf numFmtId="167" fontId="9" fillId="0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left"/>
    </x:xf>
    <x:xf numFmtId="0" fontId="8" fillId="2" borderId="1" xfId="0" applyNumberFormat="1" applyFont="1" applyFill="1" applyBorder="1" applyAlignment="1">
      <x:alignment horizontal="left" vertical="center"/>
    </x:xf>
    <x:xf numFmtId="0" fontId="10" fillId="0" borderId="1" xfId="0" applyNumberFormat="1" applyFont="1" applyFill="1" applyBorder="1" applyAlignment="1">
      <x:alignment wrapText="1"/>
    </x:xf>
    <x:xf numFmtId="166" fontId="9" fillId="0" borderId="1" xfId="0" applyNumberFormat="1" applyFont="1" applyFill="1" applyBorder="1" applyAlignment="1">
      <x:alignment wrapText="1"/>
    </x:xf>
    <x:xf numFmtId="167" fontId="9" fillId="0" borderId="1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horizontal="left"/>
    </x:xf>
    <x:xf numFmtId="203" fontId="9" fillId="0" borderId="0" xfId="0" applyNumberFormat="1" applyFont="1" applyFill="1" applyBorder="1" applyAlignment="1">
      <x:alignment wrapText="1"/>
    </x:xf>
    <x:xf numFmtId="203" fontId="9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166534"/>
      </x:font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1bacc86e8490a" /><Relationship Type="http://schemas.openxmlformats.org/officeDocument/2006/relationships/theme" Target="/xl/theme/theme1.xml" Id="R1f1d0ed6759f40db" /><Relationship Type="http://schemas.openxmlformats.org/officeDocument/2006/relationships/sharedStrings" Target="/xl/sharedStrings.xml" Id="Rfb5855a3e1454d59" /><Relationship Type="http://schemas.openxmlformats.org/officeDocument/2006/relationships/worksheet" Target="/xl/worksheets/sheet1.xml" Id="R0c79b300d96248eb" /><Relationship Type="http://schemas.openxmlformats.org/officeDocument/2006/relationships/worksheet" Target="/xl/worksheets/sheet2.xml" Id="Rc304e40178d04e4b" /><Relationship Type="http://schemas.openxmlformats.org/officeDocument/2006/relationships/worksheet" Target="/xl/worksheets/sheet3.xml" Id="Rcc81885b7ad04d4e" /><Relationship Type="http://schemas.openxmlformats.org/officeDocument/2006/relationships/worksheet" Target="/xl/worksheets/sheet4.xml" Id="R2b46e9e33e684ab7" /><Relationship Type="http://schemas.openxmlformats.org/officeDocument/2006/relationships/worksheet" Target="/xl/worksheets/sheet5.xml" Id="Ra7b62220f51249f5" /><Relationship Type="http://schemas.openxmlformats.org/officeDocument/2006/relationships/worksheet" Target="/xl/worksheets/sheet6.xml" Id="R9089855880064602" /><Relationship Type="http://schemas.openxmlformats.org/officeDocument/2006/relationships/worksheet" Target="/xl/worksheets/sheet7.xml" Id="Re444c803d0ab45bc" /><Relationship Type="http://schemas.openxmlformats.org/officeDocument/2006/relationships/worksheet" Target="/xl/worksheets/sheet8.xml" Id="R3e18b94f84d94b8d" /><Relationship Type="http://schemas.openxmlformats.org/officeDocument/2006/relationships/worksheet" Target="/xl/worksheets/sheet9.xml" Id="Rf1804b1d2ad0495a" /><Relationship Type="http://schemas.openxmlformats.org/officeDocument/2006/relationships/worksheet" Target="/xl/worksheets/sheet10.xml" Id="R1ec89be0db1f4fff" /></Relationships>
</file>

<file path=xl/tables/table1.xml><?xml version="1.0" encoding="utf-8"?>
<ns0:table xmlns:ns0="http://schemas.openxmlformats.org/spreadsheetml/2006/main" id="1" name="DadosCompset" displayName="DadosCompset" ref="A1:AR536">
  <ns0:tableColumns count="44">
    <ns0:tableColumn id="1" name="Empreendimento"/>
    <ns0:tableColumn id="2" name="Fração"/>
    <ns0:tableColumn id="3" name="Piso"/>
    <ns0:tableColumn id="4" name="Tipologia"/>
    <ns0:tableColumn id="5" name="Vista"/>
    <ns0:tableColumn id="6" name="ABP"/>
    <ns0:tableColumn id="7" name="Varanda/Terraço"/>
    <ns0:tableColumn id="8" name="Área Total"/>
    <ns0:tableColumn id="9" name="PVP"/>
    <ns0:tableColumn id="10" name="Ano Referência"/>
    <ns0:tableColumn id="11" name="Sem Varanda/Terraço"/>
    <ns0:tableColumn id="12" name="Com Varanda/Terraço"/>
    <ns0:tableColumn id="13" name="Status"/>
    <ns0:tableColumn id="14" name="Fonte"/>
    <ns0:tableColumn id="15" name="URL"/>
    <ns0:tableColumn id="16" name="Data de atualização"/>
    <ns0:tableColumn id="17" name="Segmento"/>
    <ns0:tableColumn id="18" name="Condição"/>
    <ns0:tableColumn id="19" name="Ano de entrega"/>
    <ns0:tableColumn id="20" name="Garagem"/>
    <ns0:tableColumn id="21" name="Piscina"/>
    <ns0:tableColumn id="22" name="Distância ao The View"/>
    <ns0:tableColumn id="23" name="Peso comparável"/>
    <ns0:tableColumn id="24" name="Camada compset"/>
    <ns0:tableColumn id="25" name="Qualidade dados"/>
    <ns0:tableColumn id="26" name="Observações comerciais"/>
    <ns0:tableColumn id="27" name="Ação recomendada"/>
    <ns0:tableColumn id="28" name="Prioridade atualização"/>
    <ns0:tableColumn id="29" name="Preço Recomendado"/>
    <ns0:tableColumn id="30" name="Versão Análise"/>
    <ns0:tableColumn id="31" name="Confiança Recomendação"/>
    <ns0:tableColumn id="32" name="Justificação Técnica"/>
    <ns0:tableColumn id="33" name="Segmento Análise"/>
    <ns0:tableColumn id="34" name="Disponibilidade Análise"/>
    <ns0:tableColumn id="35" name="Classe vista comparável"/>
    <ns0:tableColumn id="36" name="Bloco"/>
    <ns0:tableColumn id="37" name="Tipo produto"/>
    <ns0:tableColumn id="38" name="Vista mínima"/>
    <ns0:tableColumn id="39" name="Vista máxima"/>
    <ns0:tableColumn id="40" name="Confiança vista"/>
    <ns0:tableColumn id="41" name="Fonte vista"/>
    <ns0:tableColumn id="42" name="Preço visível na fonte"/>
    <ns0:tableColumn id="43" name="Localidade"/>
    <ns0:tableColumn id="44" name="Fonte localidade"/>
  </ns0:tableColumns>
  <ns0:tableStyleInfo name="TableStyleMedium2" showFirstColumn="0" showLastColumn="0" showRowStripes="1" showColumnStripes="0"/>
</ns0:table>
</file>

<file path=xl/tables/table2.xml><?xml version="1.0" encoding="utf-8"?>
<x:table xmlns:x="http://schemas.openxmlformats.org/spreadsheetml/2006/main" id="2" name="CandidatosEstruturaTable" displayName="CandidatosEstruturaTable" ref="A1:AB9">
  <x:tableColumns count="28">
    <x:tableColumn id="1" name="Empreendimento"/>
    <x:tableColumn id="2" name="Fração"/>
    <x:tableColumn id="3" name="Piso"/>
    <x:tableColumn id="4" name="Tipologia"/>
    <x:tableColumn id="5" name="Vista"/>
    <x:tableColumn id="6" name="ABP"/>
    <x:tableColumn id="7" name="Varanda/Terraço"/>
    <x:tableColumn id="8" name="Área Total"/>
    <x:tableColumn id="9" name="PVP"/>
    <x:tableColumn id="10" name="Ano Referência"/>
    <x:tableColumn id="11" name="Sem Varanda/Terraço"/>
    <x:tableColumn id="12" name="Com Varanda/Terraço"/>
    <x:tableColumn id="13" name="Status"/>
    <x:tableColumn id="14" name="Fonte"/>
    <x:tableColumn id="15" name="URL"/>
    <x:tableColumn id="16" name="Data de atualização"/>
    <x:tableColumn id="17" name="Segmento"/>
    <x:tableColumn id="18" name="Condição"/>
    <x:tableColumn id="19" name="Ano de entrega"/>
    <x:tableColumn id="20" name="Garagem"/>
    <x:tableColumn id="21" name="Piscina"/>
    <x:tableColumn id="22" name="Distância ao The View"/>
    <x:tableColumn id="23" name="Peso comparável"/>
    <x:tableColumn id="24" name="Camada compset"/>
    <x:tableColumn id="25" name="Qualidade dados"/>
    <x:tableColumn id="26" name="Observações comerciais"/>
    <x:tableColumn id="27" name="Ação recomendada"/>
    <x:tableColumn id="28" name="Prioridade atualiz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nchmarkMercadoTable" displayName="BenchmarkMercadoTable" ref="A1:L7">
  <x:tableColumns count="12">
    <x:tableColumn id="1" name="Data"/>
    <x:tableColumn id="2" name="Fonte"/>
    <x:tableColumn id="3" name="Tipo de dado"/>
    <x:tableColumn id="4" name="Localização"/>
    <x:tableColumn id="5" name="Segmento"/>
    <x:tableColumn id="6" name="€/m²"/>
    <x:tableColumn id="7" name="Variação mensal"/>
    <x:tableColumn id="8" name="Variação trimestral"/>
    <x:tableColumn id="9" name="Variação anual"/>
    <x:tableColumn id="10" name="Uso recomendado"/>
    <x:tableColumn id="11" name="Observação"/>
    <x:tableColumn id="12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aramago2024ConvertidoTable" displayName="Saramago2024ConvertidoTable" ref="A1:N26">
  <x:tableColumns count="14">
    <x:tableColumn id="1" name="Empreendimento"/>
    <x:tableColumn id="2" name="Fração"/>
    <x:tableColumn id="3" name="Piso"/>
    <x:tableColumn id="4" name="Tipologia"/>
    <x:tableColumn id="5" name="Vista"/>
    <x:tableColumn id="6" name="ABP"/>
    <x:tableColumn id="7" name="Varanda/Terraço"/>
    <x:tableColumn id="8" name="Área Total"/>
    <x:tableColumn id="9" name="PVP"/>
    <x:tableColumn id="10" name="Ano Referência"/>
    <x:tableColumn id="11" name="€/m² sem varanda"/>
    <x:tableColumn id="12" name="€/m² com varanda/terraço"/>
    <x:tableColumn id="13" name="Peso comparável"/>
    <x:tableColumn id="14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b6baa583634d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50d12b1102d348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a68d24752bbd45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0544b6f49fb34e11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FormatPr defaultRowHeight="14.399999618530273"/>
  <ns0:cols>
    <ns0:col min="1" max="1" width="20" customWidth="1"/>
    <ns0:col min="2" max="2" width="14" customWidth="1"/>
    <ns0:col min="3" max="3" width="10" customWidth="1"/>
    <ns0:col min="4" max="4" width="12" customWidth="1"/>
    <ns0:col min="5" max="6" width="10" customWidth="1"/>
    <ns0:col min="7" max="7" width="16" customWidth="1"/>
    <ns0:col min="8" max="10" width="14" customWidth="1"/>
    <ns0:col min="11" max="12" width="18" customWidth="1"/>
    <ns0:col min="13" max="13" width="14" customWidth="1"/>
    <ns0:col min="14" max="14" width="18" customWidth="1"/>
    <ns0:col min="15" max="15" width="32" customWidth="1"/>
    <ns0:col min="16" max="16" width="18" customWidth="1"/>
    <ns0:col min="17" max="17" width="24" customWidth="1"/>
    <ns0:col min="18" max="18" width="18" customWidth="1"/>
    <ns0:col min="19" max="19" width="14" customWidth="1"/>
    <ns0:col min="20" max="21" width="12" customWidth="1"/>
    <ns0:col min="22" max="22" width="18" customWidth="1"/>
    <ns0:col min="23" max="23" width="14" customWidth="1"/>
    <ns0:col min="24" max="24" width="24" customWidth="1"/>
    <ns0:col min="25" max="25" width="16" customWidth="1"/>
    <ns0:col min="26" max="26" width="32" customWidth="1"/>
    <ns0:col min="27" max="27" width="24" customWidth="1"/>
    <ns0:col min="28" max="28" width="18" customWidth="1"/>
    <ns0:col min="29" max="29" width="18" customWidth="1"/>
    <ns0:col min="30" max="30" width="17" customWidth="1"/>
    <ns0:col min="31" max="31" width="21" customWidth="1"/>
    <ns0:col min="32" max="32" width="58" customWidth="1"/>
    <ns0:col min="33" max="33" width="19" customWidth="1"/>
    <ns0:col min="34" max="34" width="24" customWidth="1"/>
    <ns0:col min="35" max="35" width="25" customWidth="1"/>
    <ns0:col min="36" max="36" width="10" customWidth="1"/>
    <ns0:col min="37" max="37" width="18" customWidth="1"/>
    <ns0:col min="38" max="38" width="12" customWidth="1"/>
    <ns0:col min="39" max="39" width="12" customWidth="1"/>
    <ns0:col min="40" max="40" width="24" customWidth="1"/>
    <ns0:col min="41" max="41" width="58" customWidth="1"/>
    <ns0:col min="42" max="42" width="26" customWidth="1"/>
    <ns0:col min="43" max="43" width="18" customWidth="1"/>
    <ns0:col min="44" max="44" width="58" customWidth="1"/>
  </ns0:cols>
  <ns0:sheetData>
    <ns0:row r="1" ht="28.799999237060547">
      <ns0:c r="A1" s="70" t="s">
        <ns0:v>0</ns0:v>
      </ns0:c>
      <ns0:c r="B1" s="70" t="s">
        <ns0:v>1</ns0:v>
      </ns0:c>
      <ns0:c r="C1" s="70" t="s">
        <ns0:v>2</ns0:v>
      </ns0:c>
      <ns0:c r="D1" s="70" t="s">
        <ns0:v>3</ns0:v>
      </ns0:c>
      <ns0:c r="E1" s="70" t="s">
        <ns0:v>4</ns0:v>
      </ns0:c>
      <ns0:c r="F1" s="70" t="s">
        <ns0:v>5</ns0:v>
      </ns0:c>
      <ns0:c r="G1" s="70" t="s">
        <ns0:v>6</ns0:v>
      </ns0:c>
      <ns0:c r="H1" s="70" t="s">
        <ns0:v>7</ns0:v>
      </ns0:c>
      <ns0:c r="I1" s="70" t="s">
        <ns0:v>8</ns0:v>
      </ns0:c>
      <ns0:c r="J1" s="70" t="s">
        <ns0:v>9</ns0:v>
      </ns0:c>
      <ns0:c r="K1" s="70" t="s">
        <ns0:v>10</ns0:v>
      </ns0:c>
      <ns0:c r="L1" s="70" t="s">
        <ns0:v>11</ns0:v>
      </ns0:c>
      <ns0:c r="M1" s="70" t="s">
        <ns0:v>12</ns0:v>
      </ns0:c>
      <ns0:c r="N1" s="70" t="s">
        <ns0:v>13</ns0:v>
      </ns0:c>
      <ns0:c r="O1" s="70" t="s">
        <ns0:v>14</ns0:v>
      </ns0:c>
      <ns0:c r="P1" s="70" t="s">
        <ns0:v>15</ns0:v>
      </ns0:c>
      <ns0:c r="Q1" s="70" t="s">
        <ns0:v>16</ns0:v>
      </ns0:c>
      <ns0:c r="R1" s="70" t="s">
        <ns0:v>17</ns0:v>
      </ns0:c>
      <ns0:c r="S1" s="70" t="s">
        <ns0:v>18</ns0:v>
      </ns0:c>
      <ns0:c r="T1" s="70" t="s">
        <ns0:v>19</ns0:v>
      </ns0:c>
      <ns0:c r="U1" s="70" t="s">
        <ns0:v>20</ns0:v>
      </ns0:c>
      <ns0:c r="V1" s="70" t="s">
        <ns0:v>21</ns0:v>
      </ns0:c>
      <ns0:c r="W1" s="70" t="s">
        <ns0:v>22</ns0:v>
      </ns0:c>
      <ns0:c r="X1" s="70" t="s">
        <ns0:v>23</ns0:v>
      </ns0:c>
      <ns0:c r="Y1" s="70" t="s">
        <ns0:v>24</ns0:v>
      </ns0:c>
      <ns0:c r="Z1" s="70" t="s">
        <ns0:v>25</ns0:v>
      </ns0:c>
      <ns0:c r="AA1" s="70" t="s">
        <ns0:v>26</ns0:v>
      </ns0:c>
      <ns0:c r="AB1" s="70" t="s">
        <ns0:v>27</ns0:v>
      </ns0:c>
      <ns0:c r="AC1" s="70" t="inlineStr">
        <ns0:is>
          <ns0:t>Preço Recomendado</ns0:t>
        </ns0:is>
      </ns0:c>
      <ns0:c r="AD1" s="70" t="inlineStr">
        <ns0:is>
          <ns0:t>Versão Análise</ns0:t>
        </ns0:is>
      </ns0:c>
      <ns0:c r="AE1" s="70" t="inlineStr">
        <ns0:is>
          <ns0:t>Confiança Recomendação</ns0:t>
        </ns0:is>
      </ns0:c>
      <ns0:c r="AF1" s="70" t="inlineStr">
        <ns0:is>
          <ns0:t>Justificação Técnica</ns0:t>
        </ns0:is>
      </ns0:c>
      <ns0:c r="AG1" s="70" t="inlineStr">
        <ns0:is>
          <ns0:t>Segmento Análise</ns0:t>
        </ns0:is>
      </ns0:c>
      <ns0:c r="AH1" s="70" t="inlineStr">
        <ns0:is>
          <ns0:t>Disponibilidade Análise</ns0:t>
        </ns0:is>
      </ns0:c>
      <ns0:c r="AI1" s="70" t="inlineStr">
        <ns0:is>
          <ns0:t>Classe vista comparável</ns0:t>
        </ns0:is>
      </ns0:c>
      <ns0:c r="AJ1" s="70" t="inlineStr">
        <ns0:is>
          <ns0:t>Bloco</ns0:t>
        </ns0:is>
      </ns0:c>
      <ns0:c r="AK1" s="70" t="inlineStr">
        <ns0:is>
          <ns0:t>Tipo produto</ns0:t>
        </ns0:is>
      </ns0:c>
      <ns0:c r="AL1" s="70" t="inlineStr">
        <ns0:is>
          <ns0:t>Vista mínima</ns0:t>
        </ns0:is>
      </ns0:c>
      <ns0:c r="AM1" s="70" t="inlineStr">
        <ns0:is>
          <ns0:t>Vista máxima</ns0:t>
        </ns0:is>
      </ns0:c>
      <ns0:c r="AN1" s="70" t="inlineStr">
        <ns0:is>
          <ns0:t>Confiança vista</ns0:t>
        </ns0:is>
      </ns0:c>
      <ns0:c r="AO1" s="70" t="inlineStr">
        <ns0:is>
          <ns0:t>Fonte vista</ns0:t>
        </ns0:is>
      </ns0:c>
      <ns0:c r="AP1" s="70" t="inlineStr">
        <ns0:is>
          <ns0:t>Preço visível na fonte</ns0:t>
        </ns0:is>
      </ns0:c>
      <ns0:c r="AQ1" s="70" t="inlineStr">
        <ns0:is>
          <ns0:t>Localidade</ns0:t>
        </ns0:is>
      </ns0:c>
      <ns0:c r="AR1" s="70" t="inlineStr">
        <ns0:is>
          <ns0:t>Fonte localidade</ns0:t>
        </ns0:is>
      </ns0:c>
    </ns0:row>
    <ns0:row r="2">
      <ns0:c r="A2" s="71" t="s">
        <ns0:v>28</ns0:v>
      </ns0:c>
      <ns0:c r="B2" s="71" t="s">
        <ns0:v>29</ns0:v>
      </ns0:c>
      <ns0:c r="C2" s="71" t="s">
        <ns0:v>30</ns0:v>
      </ns0:c>
      <ns0:c r="D2" s="71" t="s">
        <ns0:v>31</ns0:v>
      </ns0:c>
      <ns0:c r="E2" s="71">
        <ns0:v>1</ns0:v>
      </ns0:c>
      <ns0:c r="F2" s="72">
        <ns0:v>117.75</ns0:v>
      </ns0:c>
      <ns0:c r="G2" s="72">
        <ns0:v>31.94</ns0:v>
      </ns0:c>
      <ns0:c r="H2" s="72">
        <ns0:v>149.69</ns0:v>
      </ns0:c>
      <ns0:c r="I2" s="73">
        <ns0:v>1290000</ns0:v>
      </ns0:c>
      <ns0:c r="J2" s="71">
        <ns0:v>2026</ns0:v>
      </ns0:c>
      <ns0:c r="K2" s="73">
        <ns0:v>10955.414012738849</ns0:v>
      </ns0:c>
      <ns0:c r="L2" s="73">
        <ns0:v>8617.8101409579795</ns0:v>
      </ns0:c>
      <ns0:c r="M2" s="74" t="str">
        <ns0:f t="shared" ref="M2:M33" si="0">IF(A2="The View","Projeto",IF(J2&gt;=2026,"Ativo",IF(J2=2025,"Rever","Histórico")))</ns0:f>
        <ns0:v>Ativo</ns0:v>
      </ns0:c>
      <ns0:c r="N2" s="74" t="str">
        <ns0:v>Idealista / JLL Residential</ns0:v>
      </ns0:c>
      <ns0:c r="O2" s="74" t="str">
        <ns0:v>https://www.idealista.pt/empreendimento/34271659/</ns0:v>
      </ns0:c>
      <ns0:c r="P2" s="75" t="n">
        <ns0:v>46288</ns0:v>
      </ns0:c>
      <ns0:c r="Q2" s="74" t="str">
        <ns0:f t="shared" ref="Q2:Q33" si="1">IF(A2="The View","Projeto",IF(A2="Le Parc","Benchmark local",IF(OR(A2="Del Mar Waterfront",A2="Aura Living"),"Premium waterfront/marina","A classificar")))</ns0:f>
        <ns0:v>Premium waterfront/marina</ns0:v>
      </ns0:c>
      <ns0:c r="R2" s="74" t="s">
        <ns0:v>32</ns0:v>
      </ns0:c>
      <ns0:c r="S2" s="74"/>
      <ns0:c r="T2" s="74"/>
      <ns0:c r="U2" s="74"/>
      <ns0:c r="V2" s="74"/>
      <ns0:c r="W2" s="76" t="n">
        <ns0:f t="shared" ref="W2:W33" si="2">IF(A2="The View",1,MAX(0.25,MIN(1,IF(J2&gt;=2026,1,IF(J2=2025,0.8,IF(J2=2024,0.45,0.3)))*IF(Q2="Premium waterfront/marina",1,IF(Q2="Benchmark local",0.7,0.6))*IF(M2="Vendido",0.65,IF(M2="Reservado",0.8,IF(M2="Histórico",0.55,1))))))</ns0:f>
        <ns0:v>1</ns0:v>
      </ns0:c>
      <ns0:c r="X2" s="74" t="str">
        <ns0:f t="shared" ref="X2:X33" si="3">IF(A2="The View","Projeto",IF(W2&gt;=0.85,"A · Premium ativo",IF(W2&gt;=0.55,"B · Benchmark local","C · Histórico/secundário")))</ns0:f>
        <ns0:v>A · Premium ativo</ns0:v>
      </ns0:c>
      <ns0:c r="Y2" s="74" t="str">
        <ns0:f t="shared" ref="Y2:Y33" si="4">IF(A2="The View","N/A",IF(AND(N2&lt;&gt;"",O2&lt;&gt;"",P2&lt;&gt;""),"Alta",IF(OR(N2&lt;&gt;"",O2&lt;&gt;"",P2&lt;&gt;""),"Média","Baixa")))</ns0:f>
        <ns0:v>Alta</ns0:v>
      </ns0:c>
      <ns0:c r="Z2" s="74" t="str">
        <ns0:v>Validado face à oferta pública atual do Del Mar Waterfront em setembro de 2026.</ns0:v>
      </ns0:c>
      <ns0:c r="AA2" s="74" t="str">
        <ns0:f t="shared" ref="AA2:AA33" si="5">IF(A2="The View","Manter",IF(J2&lt;2026,"Atualizar preço/status",IF(Y2="Baixa","Adicionar fonte/URL/data",IF(W2&lt;0.55,"Rever comparabilidade","OK"))))</ns0:f>
        <ns0:v>Revalidar disponibilidade e preço trimestralmente.</ns0:v>
      </ns0:c>
      <ns0:c r="AB2" s="74" t="str">
        <ns0:f t="shared" ref="AB2:AB33" si="6">IF(A2="The View","",IF(OR(J2&lt;2026,Y2="Baixa"),"Alta",IF(W2&lt;0.55,"Média","Baixa")))</ns0:f>
        <ns0:v>Média</ns0:v>
      </ns0:c>
      <ns0:c r="AQ2" s="74" t="inlineStr">
        <ns0:is>
          <ns0:t>Olhão</ns0:t>
        </ns0:is>
      </ns0:c>
      <ns0:c r="AR2" s="74" t="inlineStr">
        <ns0:is>
          <ns0:t>https://residential.jll.pt/imovel/apartamento-t1-com-varanda-em-olhao-algarve/19744519</ns0:t>
        </ns0:is>
      </ns0:c>
    </ns0:row>
    <ns0:row r="3">
      <ns0:c r="A3" s="71" t="s">
        <ns0:v>28</ns0:v>
      </ns0:c>
      <ns0:c r="B3" s="71" t="s">
        <ns0:v>33</ns0:v>
      </ns0:c>
      <ns0:c r="C3" s="71" t="s">
        <ns0:v>30</ns0:v>
      </ns0:c>
      <ns0:c r="D3" s="71" t="s">
        <ns0:v>31</ns0:v>
      </ns0:c>
      <ns0:c r="E3" s="71">
        <ns0:v>2</ns0:v>
      </ns0:c>
      <ns0:c r="F3" s="72">
        <ns0:v>117.75</ns0:v>
      </ns0:c>
      <ns0:c r="G3" s="72">
        <ns0:v>32.64</ns0:v>
      </ns0:c>
      <ns0:c r="H3" s="72">
        <ns0:v>150.38999999999999</ns0:v>
      </ns0:c>
      <ns0:c r="I3" s="73">
        <ns0:v>1290000</ns0:v>
      </ns0:c>
      <ns0:c r="J3" s="71">
        <ns0:v>2026</ns0:v>
      </ns0:c>
      <ns0:c r="K3" s="73">
        <ns0:v>10955.414012738849</ns0:v>
      </ns0:c>
      <ns0:c r="L3" s="73">
        <ns0:v>8577.6979852383811</ns0:v>
      </ns0:c>
      <ns0:c r="M3" s="74" t="str">
        <ns0:f t="shared" si="0"/>
        <ns0:v>Ativo</ns0:v>
      </ns0:c>
      <ns0:c r="N3" s="74" t="str">
        <ns0:v>Idealista / JLL Residential</ns0:v>
      </ns0:c>
      <ns0:c r="O3" s="74" t="str">
        <ns0:v>https://www.idealista.pt/empreendimento/34271659/</ns0:v>
      </ns0:c>
      <ns0:c r="P3" s="75" t="n">
        <ns0:v>46288</ns0:v>
      </ns0:c>
      <ns0:c r="Q3" s="74" t="str">
        <ns0:f t="shared" si="1"/>
        <ns0:v>Premium waterfront/marina</ns0:v>
      </ns0:c>
      <ns0:c r="R3" s="74" t="s">
        <ns0:v>32</ns0:v>
      </ns0:c>
      <ns0:c r="S3" s="74"/>
      <ns0:c r="T3" s="74"/>
      <ns0:c r="U3" s="74"/>
      <ns0:c r="V3" s="74"/>
      <ns0:c r="W3" s="76" t="n">
        <ns0:f t="shared" si="2"/>
        <ns0:v>1</ns0:v>
      </ns0:c>
      <ns0:c r="X3" s="74" t="str">
        <ns0:f t="shared" si="3"/>
        <ns0:v>A · Premium ativo</ns0:v>
      </ns0:c>
      <ns0:c r="Y3" s="74" t="str">
        <ns0:f t="shared" si="4"/>
        <ns0:v>Alta</ns0:v>
      </ns0:c>
      <ns0:c r="Z3" s="74" t="str">
        <ns0:v>Validado face à oferta pública atual do Del Mar Waterfront em setembro de 2026.</ns0:v>
      </ns0:c>
      <ns0:c r="AA3" s="74" t="str">
        <ns0:f t="shared" si="5"/>
        <ns0:v>Revalidar disponibilidade e preço trimestralmente.</ns0:v>
      </ns0:c>
      <ns0:c r="AB3" s="74" t="str">
        <ns0:f t="shared" si="6"/>
        <ns0:v>Média</ns0:v>
      </ns0:c>
      <ns0:c r="AQ3" s="74" t="inlineStr">
        <ns0:is>
          <ns0:t>Olhão</ns0:t>
        </ns0:is>
      </ns0:c>
      <ns0:c r="AR3" s="74" t="inlineStr">
        <ns0:is>
          <ns0:t>https://residential.jll.pt/imovel/apartamento-t1-com-varanda-em-olhao-algarve/19744519</ns0:t>
        </ns0:is>
      </ns0:c>
    </ns0:row>
    <ns0:row r="4">
      <ns0:c r="A4" s="71" t="s">
        <ns0:v>28</ns0:v>
      </ns0:c>
      <ns0:c r="B4" s="71" t="s">
        <ns0:v>34</ns0:v>
      </ns0:c>
      <ns0:c r="C4" s="71" t="s">
        <ns0:v>30</ns0:v>
      </ns0:c>
      <ns0:c r="D4" s="71" t="s">
        <ns0:v>31</ns0:v>
      </ns0:c>
      <ns0:c r="E4" s="71">
        <ns0:v>2</ns0:v>
      </ns0:c>
      <ns0:c r="F4" s="72">
        <ns0:v>120.72</ns0:v>
      </ns0:c>
      <ns0:c r="G4" s="72">
        <ns0:v>22.83</ns0:v>
      </ns0:c>
      <ns0:c r="H4" s="72">
        <ns0:v>143.55000000000001</ns0:v>
      </ns0:c>
      <ns0:c r="I4" s="73">
        <ns0:v>660000</ns0:v>
      </ns0:c>
      <ns0:c r="J4" s="71">
        <ns0:v>2024</ns0:v>
      </ns0:c>
      <ns0:c r="K4" s="73">
        <ns0:v>5467.1968190854868</ns0:v>
      </ns0:c>
      <ns0:c r="L4" s="73">
        <ns0:v>4597.7011494252874</ns0:v>
      </ns0:c>
      <ns0:c r="M4" s="74" t="str">
        <ns0:f t="shared" si="0"/>
        <ns0:v>Histórico</ns0:v>
      </ns0:c>
      <ns0:c r="N4" s="74"/>
      <ns0:c r="O4" s="74"/>
      <ns0:c r="P4" s="77"/>
      <ns0:c r="Q4" s="74" t="str">
        <ns0:f t="shared" si="1"/>
        <ns0:v>Premium waterfront/marina</ns0:v>
      </ns0:c>
      <ns0:c r="R4" s="74" t="s">
        <ns0:v>32</ns0:v>
      </ns0:c>
      <ns0:c r="S4" s="74"/>
      <ns0:c r="T4" s="74"/>
      <ns0:c r="U4" s="74"/>
      <ns0:c r="V4" s="74"/>
      <ns0:c r="W4" s="76" t="n">
        <ns0:f t="shared" si="2"/>
        <ns0:v>0.2</ns0:v>
      </ns0:c>
      <ns0:c r="X4" s="74" t="str">
        <ns0:f t="shared" si="3"/>
        <ns0:v>C · Histórico/secundário</ns0:v>
      </ns0:c>
      <ns0:c r="Y4" s="74" t="str">
        <ns0:f t="shared" si="4"/>
        <ns0:v>Baixa</ns0:v>
      </ns0:c>
      <ns0:c r="Z4" s="74"/>
      <ns0:c r="AA4" s="74" t="str">
        <ns0:f t="shared" si="5"/>
        <ns0:v>Atualizar preço/status</ns0:v>
      </ns0:c>
      <ns0:c r="AB4" s="74" t="str">
        <ns0:f t="shared" si="6"/>
        <ns0:v>Alta</ns0:v>
      </ns0:c>
      <ns0:c r="AQ4" s="74" t="inlineStr">
        <ns0:is>
          <ns0:t>Olhão</ns0:t>
        </ns0:is>
      </ns0:c>
      <ns0:c r="AR4" s="74" t="inlineStr">
        <ns0:is>
          <ns0:t>https://residential.jll.pt/imovel/apartamento-t1-com-varanda-em-olhao-algarve/19744519</ns0:t>
        </ns0:is>
      </ns0:c>
    </ns0:row>
    <ns0:row r="5">
      <ns0:c r="A5" s="71" t="s">
        <ns0:v>28</ns0:v>
      </ns0:c>
      <ns0:c r="B5" s="71" t="s">
        <ns0:v>35</ns0:v>
      </ns0:c>
      <ns0:c r="C5" s="71" t="s">
        <ns0:v>30</ns0:v>
      </ns0:c>
      <ns0:c r="D5" s="71" t="s">
        <ns0:v>31</ns0:v>
      </ns0:c>
      <ns0:c r="E5" s="71">
        <ns0:v>4</ns0:v>
      </ns0:c>
      <ns0:c r="F5" s="72">
        <ns0:v>120.72</ns0:v>
      </ns0:c>
      <ns0:c r="G5" s="72">
        <ns0:v>23.91</ns0:v>
      </ns0:c>
      <ns0:c r="H5" s="72">
        <ns0:v>144.63</ns0:v>
      </ns0:c>
      <ns0:c r="I5" s="73">
        <ns0:v>660000</ns0:v>
      </ns0:c>
      <ns0:c r="J5" s="71">
        <ns0:v>2024</ns0:v>
      </ns0:c>
      <ns0:c r="K5" s="73">
        <ns0:v>5467.1968190854868</ns0:v>
      </ns0:c>
      <ns0:c r="L5" s="73">
        <ns0:v>4563.3685957270282</ns0:v>
      </ns0:c>
      <ns0:c r="M5" s="74" t="str">
        <ns0:f t="shared" si="0"/>
        <ns0:v>Histórico</ns0:v>
      </ns0:c>
      <ns0:c r="N5" s="74"/>
      <ns0:c r="O5" s="74"/>
      <ns0:c r="P5" s="77"/>
      <ns0:c r="Q5" s="74" t="str">
        <ns0:f t="shared" si="1"/>
        <ns0:v>Premium waterfront/marina</ns0:v>
      </ns0:c>
      <ns0:c r="R5" s="74" t="s">
        <ns0:v>32</ns0:v>
      </ns0:c>
      <ns0:c r="S5" s="74"/>
      <ns0:c r="T5" s="74"/>
      <ns0:c r="U5" s="74"/>
      <ns0:c r="V5" s="74"/>
      <ns0:c r="W5" s="76" t="n">
        <ns0:f t="shared" si="2"/>
        <ns0:v>0.2</ns0:v>
      </ns0:c>
      <ns0:c r="X5" s="74" t="str">
        <ns0:f t="shared" si="3"/>
        <ns0:v>C · Histórico/secundário</ns0:v>
      </ns0:c>
      <ns0:c r="Y5" s="74" t="str">
        <ns0:f t="shared" si="4"/>
        <ns0:v>Baixa</ns0:v>
      </ns0:c>
      <ns0:c r="Z5" s="74"/>
      <ns0:c r="AA5" s="74" t="str">
        <ns0:f t="shared" si="5"/>
        <ns0:v>Atualizar preço/status</ns0:v>
      </ns0:c>
      <ns0:c r="AB5" s="74" t="str">
        <ns0:f t="shared" si="6"/>
        <ns0:v>Alta</ns0:v>
      </ns0:c>
      <ns0:c r="AQ5" s="74" t="inlineStr">
        <ns0:is>
          <ns0:t>Olhão</ns0:t>
        </ns0:is>
      </ns0:c>
      <ns0:c r="AR5" s="74" t="inlineStr">
        <ns0:is>
          <ns0:t>https://residential.jll.pt/imovel/apartamento-t1-com-varanda-em-olhao-algarve/19744519</ns0:t>
        </ns0:is>
      </ns0:c>
    </ns0:row>
    <ns0:row r="6">
      <ns0:c r="A6" s="71" t="s">
        <ns0:v>28</ns0:v>
      </ns0:c>
      <ns0:c r="B6" s="71" t="s">
        <ns0:v>36</ns0:v>
      </ns0:c>
      <ns0:c r="C6" s="71" t="s">
        <ns0:v>30</ns0:v>
      </ns0:c>
      <ns0:c r="D6" s="71" t="s">
        <ns0:v>31</ns0:v>
      </ns0:c>
      <ns0:c r="E6" s="71">
        <ns0:v>3</ns0:v>
      </ns0:c>
      <ns0:c r="F6" s="72">
        <ns0:v>116.71</ns0:v>
      </ns0:c>
      <ns0:c r="G6" s="72">
        <ns0:v>10.75</ns0:v>
      </ns0:c>
      <ns0:c r="H6" s="72">
        <ns0:v>127.46</ns0:v>
      </ns0:c>
      <ns0:c r="I6" s="73">
        <ns0:v>590000</ns0:v>
      </ns0:c>
      <ns0:c r="J6" s="71">
        <ns0:v>2026</ns0:v>
      </ns0:c>
      <ns0:c r="K6" s="73">
        <ns0:v>4926.7414960157657</ns0:v>
      </ns0:c>
      <ns0:c r="L6" s="73">
        <ns0:v>4511.2192060254201</ns0:v>
      </ns0:c>
      <ns0:c r="M6" s="74" t="str">
        <ns0:f t="shared" si="0"/>
        <ns0:v>A validar</ns0:v>
      </ns0:c>
      <ns0:c r="N6" s="74" t="str">
        <ns0:v>Idealista / JLL Residential</ns0:v>
      </ns0:c>
      <ns0:c r="O6" s="74" t="str">
        <ns0:v>https://www.idealista.pt/empreendimento/34271659/</ns0:v>
      </ns0:c>
      <ns0:c r="P6" s="75" t="n">
        <ns0:v>46288</ns0:v>
      </ns0:c>
      <ns0:c r="Q6" s="74" t="str">
        <ns0:f t="shared" si="1"/>
        <ns0:v>Premium waterfront/marina</ns0:v>
      </ns0:c>
      <ns0:c r="R6" s="74" t="s">
        <ns0:v>32</ns0:v>
      </ns0:c>
      <ns0:c r="S6" s="74"/>
      <ns0:c r="T6" s="74"/>
      <ns0:c r="U6" s="74"/>
      <ns0:c r="V6" s="74"/>
      <ns0:c r="W6" s="76" t="n">
        <ns0:f t="shared" si="2"/>
        <ns0:v>0.6</ns0:v>
      </ns0:c>
      <ns0:c r="X6" s="74" t="str">
        <ns0:f t="shared" si="3"/>
        <ns0:v>B · A validar</ns0:v>
      </ns0:c>
      <ns0:c r="Y6" s="74" t="str">
        <ns0:f t="shared" si="4"/>
        <ns0:v>Média</ns0:v>
      </ns0:c>
      <ns0:c r="Z6" s="74" t="str">
        <ns0:v>Não identificado de forma inequívoca na oferta pública consultada em setembro de 2026; preservado até validação.</ns0:v>
      </ns0:c>
      <ns0:c r="AA6" s="74" t="str">
        <ns0:f t="shared" si="5"/>
        <ns0:v>Confirmar disponibilidade/preço ou passar a histórico.</ns0:v>
      </ns0:c>
      <ns0:c r="AB6" s="74" t="str">
        <ns0:f t="shared" si="6"/>
        <ns0:v>Alta</ns0:v>
      </ns0:c>
      <ns0:c r="AQ6" s="74" t="inlineStr">
        <ns0:is>
          <ns0:t>Olhão</ns0:t>
        </ns0:is>
      </ns0:c>
      <ns0:c r="AR6" s="74" t="inlineStr">
        <ns0:is>
          <ns0:t>https://residential.jll.pt/imovel/apartamento-t1-com-varanda-em-olhao-algarve/19744519</ns0:t>
        </ns0:is>
      </ns0:c>
    </ns0:row>
    <ns0:row r="7">
      <ns0:c r="A7" s="71" t="s">
        <ns0:v>28</ns0:v>
      </ns0:c>
      <ns0:c r="B7" s="71" t="s">
        <ns0:v>37</ns0:v>
      </ns0:c>
      <ns0:c r="C7" s="71">
        <ns0:v>1</ns0:v>
      </ns0:c>
      <ns0:c r="D7" s="71" t="s">
        <ns0:v>31</ns0:v>
      </ns0:c>
      <ns0:c r="E7" s="71">
        <ns0:v>1</ns0:v>
      </ns0:c>
      <ns0:c r="F7" s="72">
        <ns0:v>131.76</ns0:v>
      </ns0:c>
      <ns0:c r="G7" s="72">
        <ns0:v>28.86</ns0:v>
      </ns0:c>
      <ns0:c r="H7" s="72">
        <ns0:v>160.62</ns0:v>
      </ns0:c>
      <ns0:c r="I7" s="73">
        <ns0:v>1310000</ns0:v>
      </ns0:c>
      <ns0:c r="J7" s="71">
        <ns0:v>2026</ns0:v>
      </ns0:c>
      <ns0:c r="K7" s="73">
        <ns0:v>9942.3193685488768</ns0:v>
      </ns0:c>
      <ns0:c r="L7" s="73">
        <ns0:v>8155.8959033744241</ns0:v>
      </ns0:c>
      <ns0:c r="M7" s="74" t="str">
        <ns0:f t="shared" si="0"/>
        <ns0:v>A validar</ns0:v>
      </ns0:c>
      <ns0:c r="N7" s="74" t="str">
        <ns0:v>Idealista / JLL Residential</ns0:v>
      </ns0:c>
      <ns0:c r="O7" s="74" t="str">
        <ns0:v>https://www.idealista.pt/empreendimento/34271659/</ns0:v>
      </ns0:c>
      <ns0:c r="P7" s="75" t="n">
        <ns0:v>46288</ns0:v>
      </ns0:c>
      <ns0:c r="Q7" s="74" t="str">
        <ns0:f t="shared" si="1"/>
        <ns0:v>Premium waterfront/marina</ns0:v>
      </ns0:c>
      <ns0:c r="R7" s="74" t="s">
        <ns0:v>32</ns0:v>
      </ns0:c>
      <ns0:c r="S7" s="74"/>
      <ns0:c r="T7" s="74"/>
      <ns0:c r="U7" s="74"/>
      <ns0:c r="V7" s="74"/>
      <ns0:c r="W7" s="76" t="n">
        <ns0:f t="shared" si="2"/>
        <ns0:v>0.6</ns0:v>
      </ns0:c>
      <ns0:c r="X7" s="74" t="str">
        <ns0:f t="shared" si="3"/>
        <ns0:v>B · A validar</ns0:v>
      </ns0:c>
      <ns0:c r="Y7" s="74" t="str">
        <ns0:f t="shared" si="4"/>
        <ns0:v>Média</ns0:v>
      </ns0:c>
      <ns0:c r="Z7" s="74" t="str">
        <ns0:v>Não identificado de forma inequívoca na oferta pública consultada em setembro de 2026; preservado até validação.</ns0:v>
      </ns0:c>
      <ns0:c r="AA7" s="74" t="str">
        <ns0:f t="shared" si="5"/>
        <ns0:v>Confirmar disponibilidade/preço ou passar a histórico.</ns0:v>
      </ns0:c>
      <ns0:c r="AB7" s="74" t="str">
        <ns0:f t="shared" si="6"/>
        <ns0:v>Alta</ns0:v>
      </ns0:c>
      <ns0:c r="AQ7" s="74" t="inlineStr">
        <ns0:is>
          <ns0:t>Olhão</ns0:t>
        </ns0:is>
      </ns0:c>
      <ns0:c r="AR7" s="74" t="inlineStr">
        <ns0:is>
          <ns0:t>https://residential.jll.pt/imovel/apartamento-t1-com-varanda-em-olhao-algarve/19744519</ns0:t>
        </ns0:is>
      </ns0:c>
    </ns0:row>
    <ns0:row r="8">
      <ns0:c r="A8" s="71" t="s">
        <ns0:v>28</ns0:v>
      </ns0:c>
      <ns0:c r="B8" s="71" t="s">
        <ns0:v>38</ns0:v>
      </ns0:c>
      <ns0:c r="C8" s="71">
        <ns0:v>1</ns0:v>
      </ns0:c>
      <ns0:c r="D8" s="71" t="s">
        <ns0:v>31</ns0:v>
      </ns0:c>
      <ns0:c r="E8" s="71">
        <ns0:v>2</ns0:v>
      </ns0:c>
      <ns0:c r="F8" s="72">
        <ns0:v>131.76</ns0:v>
      </ns0:c>
      <ns0:c r="G8" s="72">
        <ns0:v>28.86</ns0:v>
      </ns0:c>
      <ns0:c r="H8" s="72">
        <ns0:v>160.62</ns0:v>
      </ns0:c>
      <ns0:c r="I8" s="73">
        <ns0:v>1310000</ns0:v>
      </ns0:c>
      <ns0:c r="J8" s="71">
        <ns0:v>2026</ns0:v>
      </ns0:c>
      <ns0:c r="K8" s="73">
        <ns0:v>9942.3193685488768</ns0:v>
      </ns0:c>
      <ns0:c r="L8" s="73">
        <ns0:v>8155.8959033744241</ns0:v>
      </ns0:c>
      <ns0:c r="M8" s="74" t="str">
        <ns0:f t="shared" si="0"/>
        <ns0:v>A validar</ns0:v>
      </ns0:c>
      <ns0:c r="N8" s="74" t="str">
        <ns0:v>Idealista / JLL Residential</ns0:v>
      </ns0:c>
      <ns0:c r="O8" s="74" t="str">
        <ns0:v>https://www.idealista.pt/empreendimento/34271659/</ns0:v>
      </ns0:c>
      <ns0:c r="P8" s="75" t="n">
        <ns0:v>46288</ns0:v>
      </ns0:c>
      <ns0:c r="Q8" s="74" t="str">
        <ns0:f t="shared" si="1"/>
        <ns0:v>Premium waterfront/marina</ns0:v>
      </ns0:c>
      <ns0:c r="R8" s="74" t="s">
        <ns0:v>32</ns0:v>
      </ns0:c>
      <ns0:c r="S8" s="74"/>
      <ns0:c r="T8" s="74"/>
      <ns0:c r="U8" s="74"/>
      <ns0:c r="V8" s="74"/>
      <ns0:c r="W8" s="76" t="n">
        <ns0:f t="shared" si="2"/>
        <ns0:v>0.6</ns0:v>
      </ns0:c>
      <ns0:c r="X8" s="74" t="str">
        <ns0:f t="shared" si="3"/>
        <ns0:v>B · A validar</ns0:v>
      </ns0:c>
      <ns0:c r="Y8" s="74" t="str">
        <ns0:f t="shared" si="4"/>
        <ns0:v>Média</ns0:v>
      </ns0:c>
      <ns0:c r="Z8" s="74" t="str">
        <ns0:v>Não identificado de forma inequívoca na oferta pública consultada em setembro de 2026; preservado até validação.</ns0:v>
      </ns0:c>
      <ns0:c r="AA8" s="74" t="str">
        <ns0:f t="shared" si="5"/>
        <ns0:v>Confirmar disponibilidade/preço ou passar a histórico.</ns0:v>
      </ns0:c>
      <ns0:c r="AB8" s="74" t="str">
        <ns0:f t="shared" si="6"/>
        <ns0:v>Alta</ns0:v>
      </ns0:c>
      <ns0:c r="AQ8" s="74" t="inlineStr">
        <ns0:is>
          <ns0:t>Olhão</ns0:t>
        </ns0:is>
      </ns0:c>
      <ns0:c r="AR8" s="74" t="inlineStr">
        <ns0:is>
          <ns0:t>https://residential.jll.pt/imovel/apartamento-t1-com-varanda-em-olhao-algarve/19744519</ns0:t>
        </ns0:is>
      </ns0:c>
    </ns0:row>
    <ns0:row r="9">
      <ns0:c r="A9" s="71" t="s">
        <ns0:v>28</ns0:v>
      </ns0:c>
      <ns0:c r="B9" s="71" t="s">
        <ns0:v>39</ns0:v>
      </ns0:c>
      <ns0:c r="C9" s="71">
        <ns0:v>1</ns0:v>
      </ns0:c>
      <ns0:c r="D9" s="71" t="s">
        <ns0:v>31</ns0:v>
      </ns0:c>
      <ns0:c r="E9" s="71">
        <ns0:v>2</ns0:v>
      </ns0:c>
      <ns0:c r="F9" s="72">
        <ns0:v>127.19</ns0:v>
      </ns0:c>
      <ns0:c r="G9" s="72">
        <ns0:v>16.07</ns0:v>
      </ns0:c>
      <ns0:c r="H9" s="72">
        <ns0:v>143.26</ns0:v>
      </ns0:c>
      <ns0:c r="I9" s="73">
        <ns0:v>725000</ns0:v>
      </ns0:c>
      <ns0:c r="J9" s="71">
        <ns0:v>2024</ns0:v>
      </ns0:c>
      <ns0:c r="K9" s="73">
        <ns0:v>5700.1336583064704</ns0:v>
      </ns0:c>
      <ns0:c r="L9" s="73">
        <ns0:v>5060.7287449392716</ns0:v>
      </ns0:c>
      <ns0:c r="M9" s="74" t="str">
        <ns0:f t="shared" si="0"/>
        <ns0:v>Histórico</ns0:v>
      </ns0:c>
      <ns0:c r="N9" s="74"/>
      <ns0:c r="O9" s="74"/>
      <ns0:c r="P9" s="77"/>
      <ns0:c r="Q9" s="74" t="str">
        <ns0:f t="shared" si="1"/>
        <ns0:v>Premium waterfront/marina</ns0:v>
      </ns0:c>
      <ns0:c r="R9" s="74" t="s">
        <ns0:v>32</ns0:v>
      </ns0:c>
      <ns0:c r="S9" s="74"/>
      <ns0:c r="T9" s="74"/>
      <ns0:c r="U9" s="74"/>
      <ns0:c r="V9" s="74"/>
      <ns0:c r="W9" s="76" t="n">
        <ns0:f t="shared" si="2"/>
        <ns0:v>0.2</ns0:v>
      </ns0:c>
      <ns0:c r="X9" s="74" t="str">
        <ns0:f t="shared" si="3"/>
        <ns0:v>C · Histórico/secundário</ns0:v>
      </ns0:c>
      <ns0:c r="Y9" s="74" t="str">
        <ns0:f t="shared" si="4"/>
        <ns0:v>Baixa</ns0:v>
      </ns0:c>
      <ns0:c r="Z9" s="74"/>
      <ns0:c r="AA9" s="74" t="str">
        <ns0:f t="shared" si="5"/>
        <ns0:v>Atualizar preço/status</ns0:v>
      </ns0:c>
      <ns0:c r="AB9" s="74" t="str">
        <ns0:f t="shared" si="6"/>
        <ns0:v>Alta</ns0:v>
      </ns0:c>
      <ns0:c r="AQ9" s="74" t="inlineStr">
        <ns0:is>
          <ns0:t>Olhão</ns0:t>
        </ns0:is>
      </ns0:c>
      <ns0:c r="AR9" s="74" t="inlineStr">
        <ns0:is>
          <ns0:t>https://residential.jll.pt/imovel/apartamento-t1-com-varanda-em-olhao-algarve/19744519</ns0:t>
        </ns0:is>
      </ns0:c>
    </ns0:row>
    <ns0:row r="10">
      <ns0:c r="A10" s="71" t="s">
        <ns0:v>28</ns0:v>
      </ns0:c>
      <ns0:c r="B10" s="71" t="s">
        <ns0:v>40</ns0:v>
      </ns0:c>
      <ns0:c r="C10" s="71">
        <ns0:v>1</ns0:v>
      </ns0:c>
      <ns0:c r="D10" s="71" t="s">
        <ns0:v>31</ns0:v>
      </ns0:c>
      <ns0:c r="E10" s="71">
        <ns0:v>3</ns0:v>
      </ns0:c>
      <ns0:c r="F10" s="72">
        <ns0:v>91.72</ns0:v>
      </ns0:c>
      <ns0:c r="G10" s="72">
        <ns0:v>14.85</ns0:v>
      </ns0:c>
      <ns0:c r="H10" s="72">
        <ns0:v>106.57</ns0:v>
      </ns0:c>
      <ns0:c r="I10" s="73">
        <ns0:v>690000</ns0:v>
      </ns0:c>
      <ns0:c r="J10" s="71">
        <ns0:v>2026</ns0:v>
      </ns0:c>
      <ns0:c r="K10" s="73">
        <ns0:v>7522.8957697339729</ns0:v>
      </ns0:c>
      <ns0:c r="L10" s="73">
        <ns0:v>6474.6176222201366</ns0:v>
      </ns0:c>
      <ns0:c r="M10" s="74" t="str">
        <ns0:f t="shared" si="0"/>
        <ns0:v>Ativo</ns0:v>
      </ns0:c>
      <ns0:c r="N10" s="74" t="str">
        <ns0:v>Idealista / JLL Residential</ns0:v>
      </ns0:c>
      <ns0:c r="O10" s="74" t="str">
        <ns0:v>https://www.idealista.pt/empreendimento/34271659/</ns0:v>
      </ns0:c>
      <ns0:c r="P10" s="75" t="n">
        <ns0:v>46288</ns0:v>
      </ns0:c>
      <ns0:c r="Q10" s="74" t="str">
        <ns0:f t="shared" si="1"/>
        <ns0:v>Premium waterfront/marina</ns0:v>
      </ns0:c>
      <ns0:c r="R10" s="74" t="s">
        <ns0:v>32</ns0:v>
      </ns0:c>
      <ns0:c r="S10" s="74"/>
      <ns0:c r="T10" s="74"/>
      <ns0:c r="U10" s="74"/>
      <ns0:c r="V10" s="74"/>
      <ns0:c r="W10" s="76" t="n">
        <ns0:f t="shared" si="2"/>
        <ns0:v>1</ns0:v>
      </ns0:c>
      <ns0:c r="X10" s="74" t="str">
        <ns0:f t="shared" si="3"/>
        <ns0:v>A · Premium ativo</ns0:v>
      </ns0:c>
      <ns0:c r="Y10" s="74" t="str">
        <ns0:f t="shared" si="4"/>
        <ns0:v>Alta</ns0:v>
      </ns0:c>
      <ns0:c r="Z10" s="74" t="str">
        <ns0:v>Validado face à oferta pública atual do Del Mar Waterfront em setembro de 2026.</ns0:v>
      </ns0:c>
      <ns0:c r="AA10" s="74" t="str">
        <ns0:f t="shared" si="5"/>
        <ns0:v>Revalidar disponibilidade e preço trimestralmente.</ns0:v>
      </ns0:c>
      <ns0:c r="AB10" s="74" t="str">
        <ns0:f t="shared" si="6"/>
        <ns0:v>Média</ns0:v>
      </ns0:c>
      <ns0:c r="AQ10" s="74" t="inlineStr">
        <ns0:is>
          <ns0:t>Olhão</ns0:t>
        </ns0:is>
      </ns0:c>
      <ns0:c r="AR10" s="74" t="inlineStr">
        <ns0:is>
          <ns0:t>https://residential.jll.pt/imovel/apartamento-t1-com-varanda-em-olhao-algarve/19744519</ns0:t>
        </ns0:is>
      </ns0:c>
    </ns0:row>
    <ns0:row r="11">
      <ns0:c r="A11" s="71" t="s">
        <ns0:v>28</ns0:v>
      </ns0:c>
      <ns0:c r="B11" s="71" t="s">
        <ns0:v>41</ns0:v>
      </ns0:c>
      <ns0:c r="C11" s="71">
        <ns0:v>1</ns0:v>
      </ns0:c>
      <ns0:c r="D11" s="71" t="s">
        <ns0:v>42</ns0:v>
      </ns0:c>
      <ns0:c r="E11" s="71">
        <ns0:v>3</ns0:v>
      </ns0:c>
      <ns0:c r="F11" s="72">
        <ns0:v>70.58</ns0:v>
      </ns0:c>
      <ns0:c r="G11" s="72">
        <ns0:v>3.6</ns0:v>
      </ns0:c>
      <ns0:c r="H11" s="72">
        <ns0:v>74.179999999999993</ns0:v>
      </ns0:c>
      <ns0:c r="I11" s="73">
        <ns0:v>415000</ns0:v>
      </ns0:c>
      <ns0:c r="J11" s="71">
        <ns0:v>2026</ns0:v>
      </ns0:c>
      <ns0:c r="K11" s="73">
        <ns0:v>5171.4366676112213</ns0:v>
      </ns0:c>
      <ns0:c r="L11" s="73">
        <ns0:v>4920.4637368562962</ns0:v>
      </ns0:c>
      <ns0:c r="M11" s="74" t="str">
        <ns0:f t="shared" si="0"/>
        <ns0:v>A validar</ns0:v>
      </ns0:c>
      <ns0:c r="N11" s="74" t="str">
        <ns0:v>Idealista / JLL Residential</ns0:v>
      </ns0:c>
      <ns0:c r="O11" s="74" t="str">
        <ns0:v>https://www.idealista.pt/empreendimento/34271659/</ns0:v>
      </ns0:c>
      <ns0:c r="P11" s="75" t="n">
        <ns0:v>46288</ns0:v>
      </ns0:c>
      <ns0:c r="Q11" s="74" t="str">
        <ns0:f t="shared" si="1"/>
        <ns0:v>Premium waterfront/marina</ns0:v>
      </ns0:c>
      <ns0:c r="R11" s="74" t="s">
        <ns0:v>32</ns0:v>
      </ns0:c>
      <ns0:c r="S11" s="74"/>
      <ns0:c r="T11" s="74"/>
      <ns0:c r="U11" s="74"/>
      <ns0:c r="V11" s="74"/>
      <ns0:c r="W11" s="76" t="n">
        <ns0:f t="shared" si="2"/>
        <ns0:v>0.6</ns0:v>
      </ns0:c>
      <ns0:c r="X11" s="74" t="str">
        <ns0:f t="shared" si="3"/>
        <ns0:v>B · A validar</ns0:v>
      </ns0:c>
      <ns0:c r="Y11" s="74" t="str">
        <ns0:f t="shared" si="4"/>
        <ns0:v>Média</ns0:v>
      </ns0:c>
      <ns0:c r="Z11" s="74" t="str">
        <ns0:v>Não identificado de forma inequívoca na oferta pública consultada em setembro de 2026; preservado até validação.</ns0:v>
      </ns0:c>
      <ns0:c r="AA11" s="74" t="str">
        <ns0:f t="shared" si="5"/>
        <ns0:v>Confirmar disponibilidade/preço ou passar a histórico.</ns0:v>
      </ns0:c>
      <ns0:c r="AB11" s="74" t="str">
        <ns0:f t="shared" si="6"/>
        <ns0:v>Alta</ns0:v>
      </ns0:c>
      <ns0:c r="AQ11" s="74" t="inlineStr">
        <ns0:is>
          <ns0:t>Olhão</ns0:t>
        </ns0:is>
      </ns0:c>
      <ns0:c r="AR11" s="74" t="inlineStr">
        <ns0:is>
          <ns0:t>https://residential.jll.pt/imovel/apartamento-t1-com-varanda-em-olhao-algarve/19744519</ns0:t>
        </ns0:is>
      </ns0:c>
    </ns0:row>
    <ns0:row r="12">
      <ns0:c r="A12" s="71" t="s">
        <ns0:v>28</ns0:v>
      </ns0:c>
      <ns0:c r="B12" s="71" t="s">
        <ns0:v>43</ns0:v>
      </ns0:c>
      <ns0:c r="C12" s="71">
        <ns0:v>1</ns0:v>
      </ns0:c>
      <ns0:c r="D12" s="71" t="s">
        <ns0:v>31</ns0:v>
      </ns0:c>
      <ns0:c r="E12" s="71">
        <ns0:v>4</ns0:v>
      </ns0:c>
      <ns0:c r="F12" s="72">
        <ns0:v>83.01</ns0:v>
      </ns0:c>
      <ns0:c r="G12" s="72">
        <ns0:v>38.79</ns0:v>
      </ns0:c>
      <ns0:c r="H12" s="72">
        <ns0:v>121.8</ns0:v>
      </ns0:c>
      <ns0:c r="I12" s="73">
        <ns0:v>635000</ns0:v>
      </ns0:c>
      <ns0:c r="J12" s="71">
        <ns0:v>2024</ns0:v>
      </ns0:c>
      <ns0:c r="K12" s="73">
        <ns0:v>7649.6807613540532</ns0:v>
      </ns0:c>
      <ns0:c r="L12" s="73">
        <ns0:v>5213.4646962233164</ns0:v>
      </ns0:c>
      <ns0:c r="M12" s="74" t="str">
        <ns0:f t="shared" si="0"/>
        <ns0:v>Histórico</ns0:v>
      </ns0:c>
      <ns0:c r="N12" s="74"/>
      <ns0:c r="O12" s="74"/>
      <ns0:c r="P12" s="77"/>
      <ns0:c r="Q12" s="74" t="str">
        <ns0:f t="shared" si="1"/>
        <ns0:v>Premium waterfront/marina</ns0:v>
      </ns0:c>
      <ns0:c r="R12" s="74" t="s">
        <ns0:v>32</ns0:v>
      </ns0:c>
      <ns0:c r="S12" s="74"/>
      <ns0:c r="T12" s="74"/>
      <ns0:c r="U12" s="74"/>
      <ns0:c r="V12" s="74"/>
      <ns0:c r="W12" s="76" t="n">
        <ns0:f t="shared" si="2"/>
        <ns0:v>0.2</ns0:v>
      </ns0:c>
      <ns0:c r="X12" s="74" t="str">
        <ns0:f t="shared" si="3"/>
        <ns0:v>C · Histórico/secundário</ns0:v>
      </ns0:c>
      <ns0:c r="Y12" s="74" t="str">
        <ns0:f t="shared" si="4"/>
        <ns0:v>Baixa</ns0:v>
      </ns0:c>
      <ns0:c r="Z12" s="74"/>
      <ns0:c r="AA12" s="74" t="str">
        <ns0:f t="shared" si="5"/>
        <ns0:v>Atualizar preço/status</ns0:v>
      </ns0:c>
      <ns0:c r="AB12" s="74" t="str">
        <ns0:f t="shared" si="6"/>
        <ns0:v>Alta</ns0:v>
      </ns0:c>
      <ns0:c r="AQ12" s="74" t="inlineStr">
        <ns0:is>
          <ns0:t>Olhão</ns0:t>
        </ns0:is>
      </ns0:c>
      <ns0:c r="AR12" s="74" t="inlineStr">
        <ns0:is>
          <ns0:t>https://residential.jll.pt/imovel/apartamento-t1-com-varanda-em-olhao-algarve/19744519</ns0:t>
        </ns0:is>
      </ns0:c>
    </ns0:row>
    <ns0:row r="13">
      <ns0:c r="A13" s="71" t="s">
        <ns0:v>28</ns0:v>
      </ns0:c>
      <ns0:c r="B13" s="71" t="s">
        <ns0:v>44</ns0:v>
      </ns0:c>
      <ns0:c r="C13" s="71">
        <ns0:v>2</ns0:v>
      </ns0:c>
      <ns0:c r="D13" s="71" t="s">
        <ns0:v>31</ns0:v>
      </ns0:c>
      <ns0:c r="E13" s="71">
        <ns0:v>1</ns0:v>
      </ns0:c>
      <ns0:c r="F13" s="72">
        <ns0:v>131.76</ns0:v>
      </ns0:c>
      <ns0:c r="G13" s="72">
        <ns0:v>28.86</ns0:v>
      </ns0:c>
      <ns0:c r="H13" s="72">
        <ns0:v>160.62</ns0:v>
      </ns0:c>
      <ns0:c r="I13" s="73">
        <ns0:v>1280000</ns0:v>
      </ns0:c>
      <ns0:c r="J13" s="71">
        <ns0:v>2024</ns0:v>
      </ns0:c>
      <ns0:c r="K13" s="73">
        <ns0:v>9714.6326654523382</ns0:v>
      </ns0:c>
      <ns0:c r="L13" s="73">
        <ns0:v>7969.1196613124139</ns0:v>
      </ns0:c>
      <ns0:c r="M13" s="74" t="str">
        <ns0:f t="shared" si="0"/>
        <ns0:v>Histórico</ns0:v>
      </ns0:c>
      <ns0:c r="N13" s="74"/>
      <ns0:c r="O13" s="74"/>
      <ns0:c r="P13" s="77"/>
      <ns0:c r="Q13" s="74" t="str">
        <ns0:f t="shared" si="1"/>
        <ns0:v>Premium waterfront/marina</ns0:v>
      </ns0:c>
      <ns0:c r="R13" s="74" t="s">
        <ns0:v>32</ns0:v>
      </ns0:c>
      <ns0:c r="S13" s="74"/>
      <ns0:c r="T13" s="74"/>
      <ns0:c r="U13" s="74"/>
      <ns0:c r="V13" s="74"/>
      <ns0:c r="W13" s="76" t="n">
        <ns0:f t="shared" si="2"/>
        <ns0:v>0.2</ns0:v>
      </ns0:c>
      <ns0:c r="X13" s="74" t="str">
        <ns0:f t="shared" si="3"/>
        <ns0:v>C · Histórico/secundário</ns0:v>
      </ns0:c>
      <ns0:c r="Y13" s="74" t="str">
        <ns0:f t="shared" si="4"/>
        <ns0:v>Baixa</ns0:v>
      </ns0:c>
      <ns0:c r="Z13" s="74"/>
      <ns0:c r="AA13" s="74" t="str">
        <ns0:f t="shared" si="5"/>
        <ns0:v>Atualizar preço/status</ns0:v>
      </ns0:c>
      <ns0:c r="AB13" s="74" t="str">
        <ns0:f t="shared" si="6"/>
        <ns0:v>Alta</ns0:v>
      </ns0:c>
      <ns0:c r="AQ13" s="74" t="inlineStr">
        <ns0:is>
          <ns0:t>Olhão</ns0:t>
        </ns0:is>
      </ns0:c>
      <ns0:c r="AR13" s="74" t="inlineStr">
        <ns0:is>
          <ns0:t>https://residential.jll.pt/imovel/apartamento-t1-com-varanda-em-olhao-algarve/19744519</ns0:t>
        </ns0:is>
      </ns0:c>
    </ns0:row>
    <ns0:row r="14">
      <ns0:c r="A14" s="71" t="s">
        <ns0:v>28</ns0:v>
      </ns0:c>
      <ns0:c r="B14" s="71" t="s">
        <ns0:v>45</ns0:v>
      </ns0:c>
      <ns0:c r="C14" s="71">
        <ns0:v>2</ns0:v>
      </ns0:c>
      <ns0:c r="D14" s="71" t="s">
        <ns0:v>31</ns0:v>
      </ns0:c>
      <ns0:c r="E14" s="71">
        <ns0:v>2</ns0:v>
      </ns0:c>
      <ns0:c r="F14" s="72">
        <ns0:v>131.76</ns0:v>
      </ns0:c>
      <ns0:c r="G14" s="72">
        <ns0:v>28.86</ns0:v>
      </ns0:c>
      <ns0:c r="H14" s="72">
        <ns0:v>160.62</ns0:v>
      </ns0:c>
      <ns0:c r="I14" s="73">
        <ns0:v>1280000</ns0:v>
      </ns0:c>
      <ns0:c r="J14" s="71">
        <ns0:v>2024</ns0:v>
      </ns0:c>
      <ns0:c r="K14" s="73">
        <ns0:v>9714.6326654523382</ns0:v>
      </ns0:c>
      <ns0:c r="L14" s="73">
        <ns0:v>7969.1196613124139</ns0:v>
      </ns0:c>
      <ns0:c r="M14" s="74" t="str">
        <ns0:f t="shared" si="0"/>
        <ns0:v>Histórico</ns0:v>
      </ns0:c>
      <ns0:c r="N14" s="74"/>
      <ns0:c r="O14" s="74"/>
      <ns0:c r="P14" s="77"/>
      <ns0:c r="Q14" s="74" t="str">
        <ns0:f t="shared" si="1"/>
        <ns0:v>Premium waterfront/marina</ns0:v>
      </ns0:c>
      <ns0:c r="R14" s="74" t="s">
        <ns0:v>32</ns0:v>
      </ns0:c>
      <ns0:c r="S14" s="74"/>
      <ns0:c r="T14" s="74"/>
      <ns0:c r="U14" s="74"/>
      <ns0:c r="V14" s="74"/>
      <ns0:c r="W14" s="76" t="n">
        <ns0:f t="shared" si="2"/>
        <ns0:v>0.2</ns0:v>
      </ns0:c>
      <ns0:c r="X14" s="74" t="str">
        <ns0:f t="shared" si="3"/>
        <ns0:v>C · Histórico/secundário</ns0:v>
      </ns0:c>
      <ns0:c r="Y14" s="74" t="str">
        <ns0:f t="shared" si="4"/>
        <ns0:v>Baixa</ns0:v>
      </ns0:c>
      <ns0:c r="Z14" s="74"/>
      <ns0:c r="AA14" s="74" t="str">
        <ns0:f t="shared" si="5"/>
        <ns0:v>Atualizar preço/status</ns0:v>
      </ns0:c>
      <ns0:c r="AB14" s="74" t="str">
        <ns0:f t="shared" si="6"/>
        <ns0:v>Alta</ns0:v>
      </ns0:c>
      <ns0:c r="AQ14" s="74" t="inlineStr">
        <ns0:is>
          <ns0:t>Olhão</ns0:t>
        </ns0:is>
      </ns0:c>
      <ns0:c r="AR14" s="74" t="inlineStr">
        <ns0:is>
          <ns0:t>https://residential.jll.pt/imovel/apartamento-t1-com-varanda-em-olhao-algarve/19744519</ns0:t>
        </ns0:is>
      </ns0:c>
    </ns0:row>
    <ns0:row r="15">
      <ns0:c r="A15" s="71" t="s">
        <ns0:v>28</ns0:v>
      </ns0:c>
      <ns0:c r="B15" s="71" t="s">
        <ns0:v>46</ns0:v>
      </ns0:c>
      <ns0:c r="C15" s="71">
        <ns0:v>2</ns0:v>
      </ns0:c>
      <ns0:c r="D15" s="71" t="s">
        <ns0:v>31</ns0:v>
      </ns0:c>
      <ns0:c r="E15" s="71">
        <ns0:v>2</ns0:v>
      </ns0:c>
      <ns0:c r="F15" s="72">
        <ns0:v>127.19</ns0:v>
      </ns0:c>
      <ns0:c r="G15" s="72">
        <ns0:v>16.07</ns0:v>
      </ns0:c>
      <ns0:c r="H15" s="72">
        <ns0:v>143.26</ns0:v>
      </ns0:c>
      <ns0:c r="I15" s="73">
        <ns0:v>735000</ns0:v>
      </ns0:c>
      <ns0:c r="J15" s="71">
        <ns0:v>2024</ns0:v>
      </ns0:c>
      <ns0:c r="K15" s="73">
        <ns0:v>5778.7561915244914</ns0:v>
      </ns0:c>
      <ns0:c r="L15" s="73">
        <ns0:v>5130.5319000418822</ns0:v>
      </ns0:c>
      <ns0:c r="M15" s="74" t="str">
        <ns0:f t="shared" si="0"/>
        <ns0:v>Histórico</ns0:v>
      </ns0:c>
      <ns0:c r="N15" s="74"/>
      <ns0:c r="O15" s="74"/>
      <ns0:c r="P15" s="77"/>
      <ns0:c r="Q15" s="74" t="str">
        <ns0:f t="shared" si="1"/>
        <ns0:v>Premium waterfront/marina</ns0:v>
      </ns0:c>
      <ns0:c r="R15" s="74" t="s">
        <ns0:v>32</ns0:v>
      </ns0:c>
      <ns0:c r="S15" s="74"/>
      <ns0:c r="T15" s="74"/>
      <ns0:c r="U15" s="74"/>
      <ns0:c r="V15" s="74"/>
      <ns0:c r="W15" s="76" t="n">
        <ns0:f t="shared" si="2"/>
        <ns0:v>0.2</ns0:v>
      </ns0:c>
      <ns0:c r="X15" s="74" t="str">
        <ns0:f t="shared" si="3"/>
        <ns0:v>C · Histórico/secundário</ns0:v>
      </ns0:c>
      <ns0:c r="Y15" s="74" t="str">
        <ns0:f t="shared" si="4"/>
        <ns0:v>Baixa</ns0:v>
      </ns0:c>
      <ns0:c r="Z15" s="74"/>
      <ns0:c r="AA15" s="74" t="str">
        <ns0:f t="shared" si="5"/>
        <ns0:v>Atualizar preço/status</ns0:v>
      </ns0:c>
      <ns0:c r="AB15" s="74" t="str">
        <ns0:f t="shared" si="6"/>
        <ns0:v>Alta</ns0:v>
      </ns0:c>
      <ns0:c r="AQ15" s="74" t="inlineStr">
        <ns0:is>
          <ns0:t>Olhão</ns0:t>
        </ns0:is>
      </ns0:c>
      <ns0:c r="AR15" s="74" t="inlineStr">
        <ns0:is>
          <ns0:t>https://residential.jll.pt/imovel/apartamento-t1-com-varanda-em-olhao-algarve/19744519</ns0:t>
        </ns0:is>
      </ns0:c>
    </ns0:row>
    <ns0:row r="16">
      <ns0:c r="A16" s="71" t="s">
        <ns0:v>28</ns0:v>
      </ns0:c>
      <ns0:c r="B16" s="71" t="s">
        <ns0:v>47</ns0:v>
      </ns0:c>
      <ns0:c r="C16" s="71">
        <ns0:v>2</ns0:v>
      </ns0:c>
      <ns0:c r="D16" s="71" t="s">
        <ns0:v>31</ns0:v>
      </ns0:c>
      <ns0:c r="E16" s="71">
        <ns0:v>3</ns0:v>
      </ns0:c>
      <ns0:c r="F16" s="72">
        <ns0:v>91.72</ns0:v>
      </ns0:c>
      <ns0:c r="G16" s="72">
        <ns0:v>14.85</ns0:v>
      </ns0:c>
      <ns0:c r="H16" s="72">
        <ns0:v>106.57</ns0:v>
      </ns0:c>
      <ns0:c r="I16" s="73">
        <ns0:v>700000</ns0:v>
      </ns0:c>
      <ns0:c r="J16" s="71">
        <ns0:v>2026</ns0:v>
      </ns0:c>
      <ns0:c r="K16" s="73">
        <ns0:v>7631.9232446576534</ns0:v>
      </ns0:c>
      <ns0:c r="L16" s="73">
        <ns0:v>6568.4526602233282</ns0:v>
      </ns0:c>
      <ns0:c r="M16" s="74" t="str">
        <ns0:f t="shared" si="0"/>
        <ns0:v>Ativo</ns0:v>
      </ns0:c>
      <ns0:c r="N16" s="74" t="str">
        <ns0:v>Idealista / JLL Residential</ns0:v>
      </ns0:c>
      <ns0:c r="O16" s="74" t="str">
        <ns0:v>https://www.idealista.pt/empreendimento/34271659/</ns0:v>
      </ns0:c>
      <ns0:c r="P16" s="75" t="n">
        <ns0:v>46288</ns0:v>
      </ns0:c>
      <ns0:c r="Q16" s="74" t="str">
        <ns0:f t="shared" si="1"/>
        <ns0:v>Premium waterfront/marina</ns0:v>
      </ns0:c>
      <ns0:c r="R16" s="74" t="s">
        <ns0:v>32</ns0:v>
      </ns0:c>
      <ns0:c r="S16" s="74"/>
      <ns0:c r="T16" s="74"/>
      <ns0:c r="U16" s="74"/>
      <ns0:c r="V16" s="74"/>
      <ns0:c r="W16" s="76" t="n">
        <ns0:f t="shared" si="2"/>
        <ns0:v>1</ns0:v>
      </ns0:c>
      <ns0:c r="X16" s="74" t="str">
        <ns0:f t="shared" si="3"/>
        <ns0:v>A · Premium ativo</ns0:v>
      </ns0:c>
      <ns0:c r="Y16" s="74" t="str">
        <ns0:f t="shared" si="4"/>
        <ns0:v>Alta</ns0:v>
      </ns0:c>
      <ns0:c r="Z16" s="74" t="str">
        <ns0:v>Validado face à oferta pública atual do Del Mar Waterfront em setembro de 2026.</ns0:v>
      </ns0:c>
      <ns0:c r="AA16" s="74" t="str">
        <ns0:f t="shared" si="5"/>
        <ns0:v>Revalidar disponibilidade e preço trimestralmente.</ns0:v>
      </ns0:c>
      <ns0:c r="AB16" s="74" t="str">
        <ns0:f t="shared" si="6"/>
        <ns0:v>Média</ns0:v>
      </ns0:c>
      <ns0:c r="AQ16" s="74" t="inlineStr">
        <ns0:is>
          <ns0:t>Olhão</ns0:t>
        </ns0:is>
      </ns0:c>
      <ns0:c r="AR16" s="74" t="inlineStr">
        <ns0:is>
          <ns0:t>https://residential.jll.pt/imovel/apartamento-t1-com-varanda-em-olhao-algarve/19744519</ns0:t>
        </ns0:is>
      </ns0:c>
    </ns0:row>
    <ns0:row r="17">
      <ns0:c r="A17" s="71" t="s">
        <ns0:v>28</ns0:v>
      </ns0:c>
      <ns0:c r="B17" s="71" t="s">
        <ns0:v>48</ns0:v>
      </ns0:c>
      <ns0:c r="C17" s="71">
        <ns0:v>2</ns0:v>
      </ns0:c>
      <ns0:c r="D17" s="71" t="s">
        <ns0:v>42</ns0:v>
      </ns0:c>
      <ns0:c r="E17" s="71">
        <ns0:v>3</ns0:v>
      </ns0:c>
      <ns0:c r="F17" s="72">
        <ns0:v>70.58</ns0:v>
      </ns0:c>
      <ns0:c r="G17" s="72">
        <ns0:v>3.6</ns0:v>
      </ns0:c>
      <ns0:c r="H17" s="72">
        <ns0:v>74.179999999999993</ns0:v>
      </ns0:c>
      <ns0:c r="I17" s="73">
        <ns0:v>375000</ns0:v>
      </ns0:c>
      <ns0:c r="J17" s="71">
        <ns0:v>2024</ns0:v>
      </ns0:c>
      <ns0:c r="K17" s="73">
        <ns0:v>5313.1198639841314</ns0:v>
      </ns0:c>
      <ns0:c r="L17" s="73">
        <ns0:v>5055.2709625235921</ns0:v>
      </ns0:c>
      <ns0:c r="M17" s="74" t="str">
        <ns0:f t="shared" si="0"/>
        <ns0:v>Histórico</ns0:v>
      </ns0:c>
      <ns0:c r="N17" s="74"/>
      <ns0:c r="O17" s="74"/>
      <ns0:c r="P17" s="77"/>
      <ns0:c r="Q17" s="74" t="str">
        <ns0:f t="shared" si="1"/>
        <ns0:v>Premium waterfront/marina</ns0:v>
      </ns0:c>
      <ns0:c r="R17" s="74" t="s">
        <ns0:v>32</ns0:v>
      </ns0:c>
      <ns0:c r="S17" s="74"/>
      <ns0:c r="T17" s="74"/>
      <ns0:c r="U17" s="74"/>
      <ns0:c r="V17" s="74"/>
      <ns0:c r="W17" s="76" t="n">
        <ns0:f t="shared" si="2"/>
        <ns0:v>0.2</ns0:v>
      </ns0:c>
      <ns0:c r="X17" s="74" t="str">
        <ns0:f t="shared" si="3"/>
        <ns0:v>C · Histórico/secundário</ns0:v>
      </ns0:c>
      <ns0:c r="Y17" s="74" t="str">
        <ns0:f t="shared" si="4"/>
        <ns0:v>Baixa</ns0:v>
      </ns0:c>
      <ns0:c r="Z17" s="74"/>
      <ns0:c r="AA17" s="74" t="str">
        <ns0:f t="shared" si="5"/>
        <ns0:v>Atualizar preço/status</ns0:v>
      </ns0:c>
      <ns0:c r="AB17" s="74" t="str">
        <ns0:f t="shared" si="6"/>
        <ns0:v>Alta</ns0:v>
      </ns0:c>
      <ns0:c r="AQ17" s="74" t="inlineStr">
        <ns0:is>
          <ns0:t>Olhão</ns0:t>
        </ns0:is>
      </ns0:c>
      <ns0:c r="AR17" s="74" t="inlineStr">
        <ns0:is>
          <ns0:t>https://residential.jll.pt/imovel/apartamento-t1-com-varanda-em-olhao-algarve/19744519</ns0:t>
        </ns0:is>
      </ns0:c>
    </ns0:row>
    <ns0:row r="18">
      <ns0:c r="A18" s="71" t="s">
        <ns0:v>28</ns0:v>
      </ns0:c>
      <ns0:c r="B18" s="71" t="s">
        <ns0:v>49</ns0:v>
      </ns0:c>
      <ns0:c r="C18" s="71">
        <ns0:v>2</ns0:v>
      </ns0:c>
      <ns0:c r="D18" s="71" t="s">
        <ns0:v>31</ns0:v>
      </ns0:c>
      <ns0:c r="E18" s="71">
        <ns0:v>4</ns0:v>
      </ns0:c>
      <ns0:c r="F18" s="72">
        <ns0:v>83.01</ns0:v>
      </ns0:c>
      <ns0:c r="G18" s="72">
        <ns0:v>38.79</ns0:v>
      </ns0:c>
      <ns0:c r="H18" s="72">
        <ns0:v>121.8</ns0:v>
      </ns0:c>
      <ns0:c r="I18" s="73">
        <ns0:v>675000</ns0:v>
      </ns0:c>
      <ns0:c r="J18" s="71">
        <ns0:v>2024</ns0:v>
      </ns0:c>
      <ns0:c r="K18" s="73">
        <ns0:v>8131.5504156125762</ns0:v>
      </ns0:c>
      <ns0:c r="L18" s="73">
        <ns0:v>5541.8719211822654</ns0:v>
      </ns0:c>
      <ns0:c r="M18" s="74" t="str">
        <ns0:f t="shared" si="0"/>
        <ns0:v>Histórico</ns0:v>
      </ns0:c>
      <ns0:c r="N18" s="74"/>
      <ns0:c r="O18" s="74"/>
      <ns0:c r="P18" s="77"/>
      <ns0:c r="Q18" s="74" t="str">
        <ns0:f t="shared" si="1"/>
        <ns0:v>Premium waterfront/marina</ns0:v>
      </ns0:c>
      <ns0:c r="R18" s="74" t="s">
        <ns0:v>32</ns0:v>
      </ns0:c>
      <ns0:c r="S18" s="74"/>
      <ns0:c r="T18" s="74"/>
      <ns0:c r="U18" s="74"/>
      <ns0:c r="V18" s="74"/>
      <ns0:c r="W18" s="76" t="n">
        <ns0:f t="shared" si="2"/>
        <ns0:v>0.2</ns0:v>
      </ns0:c>
      <ns0:c r="X18" s="74" t="str">
        <ns0:f t="shared" si="3"/>
        <ns0:v>C · Histórico/secundário</ns0:v>
      </ns0:c>
      <ns0:c r="Y18" s="74" t="str">
        <ns0:f t="shared" si="4"/>
        <ns0:v>Baixa</ns0:v>
      </ns0:c>
      <ns0:c r="Z18" s="74"/>
      <ns0:c r="AA18" s="74" t="str">
        <ns0:f t="shared" si="5"/>
        <ns0:v>Atualizar preço/status</ns0:v>
      </ns0:c>
      <ns0:c r="AB18" s="74" t="str">
        <ns0:f t="shared" si="6"/>
        <ns0:v>Alta</ns0:v>
      </ns0:c>
      <ns0:c r="AQ18" s="74" t="inlineStr">
        <ns0:is>
          <ns0:t>Olhão</ns0:t>
        </ns0:is>
      </ns0:c>
      <ns0:c r="AR18" s="74" t="inlineStr">
        <ns0:is>
          <ns0:t>https://residential.jll.pt/imovel/apartamento-t1-com-varanda-em-olhao-algarve/19744519</ns0:t>
        </ns0:is>
      </ns0:c>
    </ns0:row>
    <ns0:row r="19">
      <ns0:c r="A19" s="71" t="s">
        <ns0:v>28</ns0:v>
      </ns0:c>
      <ns0:c r="B19" s="71" t="s">
        <ns0:v>50</ns0:v>
      </ns0:c>
      <ns0:c r="C19" s="71">
        <ns0:v>3</ns0:v>
      </ns0:c>
      <ns0:c r="D19" s="71" t="s">
        <ns0:v>31</ns0:v>
      </ns0:c>
      <ns0:c r="E19" s="71">
        <ns0:v>4</ns0:v>
      </ns0:c>
      <ns0:c r="F19" s="72">
        <ns0:v>127.19</ns0:v>
      </ns0:c>
      <ns0:c r="G19" s="72">
        <ns0:v>16.07</ns0:v>
      </ns0:c>
      <ns0:c r="H19" s="72">
        <ns0:v>143.26</ns0:v>
      </ns0:c>
      <ns0:c r="I19" s="73">
        <ns0:v>700000</ns0:v>
      </ns0:c>
      <ns0:c r="J19" s="71">
        <ns0:v>2024</ns0:v>
      </ns0:c>
      <ns0:c r="K19" s="73">
        <ns0:v>5503.5773252614199</ns0:v>
      </ns0:c>
      <ns0:c r="L19" s="73">
        <ns0:v>4886.220857182745</ns0:v>
      </ns0:c>
      <ns0:c r="M19" s="74" t="str">
        <ns0:f t="shared" si="0"/>
        <ns0:v>Histórico</ns0:v>
      </ns0:c>
      <ns0:c r="N19" s="74"/>
      <ns0:c r="O19" s="74"/>
      <ns0:c r="P19" s="77"/>
      <ns0:c r="Q19" s="74" t="str">
        <ns0:f t="shared" si="1"/>
        <ns0:v>Premium waterfront/marina</ns0:v>
      </ns0:c>
      <ns0:c r="R19" s="74" t="s">
        <ns0:v>32</ns0:v>
      </ns0:c>
      <ns0:c r="S19" s="74"/>
      <ns0:c r="T19" s="74"/>
      <ns0:c r="U19" s="74"/>
      <ns0:c r="V19" s="74"/>
      <ns0:c r="W19" s="76" t="n">
        <ns0:f t="shared" si="2"/>
        <ns0:v>0.2</ns0:v>
      </ns0:c>
      <ns0:c r="X19" s="74" t="str">
        <ns0:f t="shared" si="3"/>
        <ns0:v>C · Histórico/secundário</ns0:v>
      </ns0:c>
      <ns0:c r="Y19" s="74" t="str">
        <ns0:f t="shared" si="4"/>
        <ns0:v>Baixa</ns0:v>
      </ns0:c>
      <ns0:c r="Z19" s="74"/>
      <ns0:c r="AA19" s="74" t="str">
        <ns0:f t="shared" si="5"/>
        <ns0:v>Atualizar preço/status</ns0:v>
      </ns0:c>
      <ns0:c r="AB19" s="74" t="str">
        <ns0:f t="shared" si="6"/>
        <ns0:v>Alta</ns0:v>
      </ns0:c>
      <ns0:c r="AQ19" s="74" t="inlineStr">
        <ns0:is>
          <ns0:t>Olhão</ns0:t>
        </ns0:is>
      </ns0:c>
      <ns0:c r="AR19" s="74" t="inlineStr">
        <ns0:is>
          <ns0:t>https://residential.jll.pt/imovel/apartamento-t1-com-varanda-em-olhao-algarve/19744519</ns0:t>
        </ns0:is>
      </ns0:c>
    </ns0:row>
    <ns0:row r="20">
      <ns0:c r="A20" s="71" t="s">
        <ns0:v>28</ns0:v>
      </ns0:c>
      <ns0:c r="B20" s="71" t="s">
        <ns0:v>51</ns0:v>
      </ns0:c>
      <ns0:c r="C20" s="71">
        <ns0:v>3</ns0:v>
      </ns0:c>
      <ns0:c r="D20" s="71" t="s">
        <ns0:v>31</ns0:v>
      </ns0:c>
      <ns0:c r="E20" s="71">
        <ns0:v>3</ns0:v>
      </ns0:c>
      <ns0:c r="F20" s="72">
        <ns0:v>91.72</ns0:v>
      </ns0:c>
      <ns0:c r="G20" s="72">
        <ns0:v>14.85</ns0:v>
      </ns0:c>
      <ns0:c r="H20" s="72">
        <ns0:v>106.57</ns0:v>
      </ns0:c>
      <ns0:c r="I20" s="73">
        <ns0:v>715000</ns0:v>
      </ns0:c>
      <ns0:c r="J20" s="71">
        <ns0:v>2026</ns0:v>
      </ns0:c>
      <ns0:c r="K20" s="73">
        <ns0:v>7304.8408198866118</ns0:v>
      </ns0:c>
      <ns0:c r="L20" s="73">
        <ns0:v>6286.9475462137571</ns0:v>
      </ns0:c>
      <ns0:c r="M20" s="74" t="str">
        <ns0:f t="shared" si="0"/>
        <ns0:v>Ativo</ns0:v>
      </ns0:c>
      <ns0:c r="N20" s="74" t="str">
        <ns0:v>Idealista / JLL Residential</ns0:v>
      </ns0:c>
      <ns0:c r="O20" s="74" t="str">
        <ns0:v>https://www.idealista.pt/empreendimento/34271659/</ns0:v>
      </ns0:c>
      <ns0:c r="P20" s="75" t="n">
        <ns0:v>46288</ns0:v>
      </ns0:c>
      <ns0:c r="Q20" s="74" t="str">
        <ns0:f t="shared" si="1"/>
        <ns0:v>Premium waterfront/marina</ns0:v>
      </ns0:c>
      <ns0:c r="R20" s="74" t="s">
        <ns0:v>32</ns0:v>
      </ns0:c>
      <ns0:c r="S20" s="74"/>
      <ns0:c r="T20" s="74"/>
      <ns0:c r="U20" s="74"/>
      <ns0:c r="V20" s="74"/>
      <ns0:c r="W20" s="76" t="n">
        <ns0:f t="shared" si="2"/>
        <ns0:v>1</ns0:v>
      </ns0:c>
      <ns0:c r="X20" s="74" t="str">
        <ns0:f t="shared" si="3"/>
        <ns0:v>A · Premium ativo</ns0:v>
      </ns0:c>
      <ns0:c r="Y20" s="74" t="str">
        <ns0:f t="shared" si="4"/>
        <ns0:v>Alta</ns0:v>
      </ns0:c>
      <ns0:c r="Z20" s="74" t="str">
        <ns0:v>Validado face à oferta pública atual do Del Mar Waterfront em setembro de 2026.</ns0:v>
      </ns0:c>
      <ns0:c r="AA20" s="74" t="str">
        <ns0:f t="shared" si="5"/>
        <ns0:v>Revalidar disponibilidade e preço trimestralmente.</ns0:v>
      </ns0:c>
      <ns0:c r="AB20" s="74" t="str">
        <ns0:f t="shared" si="6"/>
        <ns0:v>Média</ns0:v>
      </ns0:c>
      <ns0:c r="AQ20" s="74" t="inlineStr">
        <ns0:is>
          <ns0:t>Olhão</ns0:t>
        </ns0:is>
      </ns0:c>
      <ns0:c r="AR20" s="74" t="inlineStr">
        <ns0:is>
          <ns0:t>https://residential.jll.pt/imovel/apartamento-t1-com-varanda-em-olhao-algarve/19744519</ns0:t>
        </ns0:is>
      </ns0:c>
    </ns0:row>
    <ns0:row r="21">
      <ns0:c r="A21" s="71" t="s">
        <ns0:v>28</ns0:v>
      </ns0:c>
      <ns0:c r="B21" s="71" t="s">
        <ns0:v>52</ns0:v>
      </ns0:c>
      <ns0:c r="C21" s="71">
        <ns0:v>3</ns0:v>
      </ns0:c>
      <ns0:c r="D21" s="71" t="s">
        <ns0:v>42</ns0:v>
      </ns0:c>
      <ns0:c r="E21" s="71">
        <ns0:v>3</ns0:v>
      </ns0:c>
      <ns0:c r="F21" s="72">
        <ns0:v>60.77</ns0:v>
      </ns0:c>
      <ns0:c r="G21" s="72">
        <ns0:v>3.6</ns0:v>
      </ns0:c>
      <ns0:c r="H21" s="72">
        <ns0:v>64.37</ns0:v>
      </ns0:c>
      <ns0:c r="I21" s="73">
        <ns0:v>385000</ns0:v>
      </ns0:c>
      <ns0:c r="J21" s="71">
        <ns0:v>2024</ns0:v>
      </ns0:c>
      <ns0:c r="K21" s="73">
        <ns0:v>6335.3628435083101</ns0:v>
      </ns0:c>
      <ns0:c r="L21" s="73">
        <ns0:v>5981.0470716172122</ns0:v>
      </ns0:c>
      <ns0:c r="M21" s="74" t="str">
        <ns0:f t="shared" si="0"/>
        <ns0:v>Histórico</ns0:v>
      </ns0:c>
      <ns0:c r="N21" s="74"/>
      <ns0:c r="O21" s="74"/>
      <ns0:c r="P21" s="77"/>
      <ns0:c r="Q21" s="74" t="str">
        <ns0:f t="shared" si="1"/>
        <ns0:v>Premium waterfront/marina</ns0:v>
      </ns0:c>
      <ns0:c r="R21" s="74" t="s">
        <ns0:v>32</ns0:v>
      </ns0:c>
      <ns0:c r="S21" s="74"/>
      <ns0:c r="T21" s="74"/>
      <ns0:c r="U21" s="74"/>
      <ns0:c r="V21" s="74"/>
      <ns0:c r="W21" s="76" t="n">
        <ns0:f t="shared" si="2"/>
        <ns0:v>0.2</ns0:v>
      </ns0:c>
      <ns0:c r="X21" s="74" t="str">
        <ns0:f t="shared" si="3"/>
        <ns0:v>C · Histórico/secundário</ns0:v>
      </ns0:c>
      <ns0:c r="Y21" s="74" t="str">
        <ns0:f t="shared" si="4"/>
        <ns0:v>Baixa</ns0:v>
      </ns0:c>
      <ns0:c r="Z21" s="74"/>
      <ns0:c r="AA21" s="74" t="str">
        <ns0:f t="shared" si="5"/>
        <ns0:v>Atualizar preço/status</ns0:v>
      </ns0:c>
      <ns0:c r="AB21" s="74" t="str">
        <ns0:f t="shared" si="6"/>
        <ns0:v>Alta</ns0:v>
      </ns0:c>
      <ns0:c r="AQ21" s="74" t="inlineStr">
        <ns0:is>
          <ns0:t>Olhão</ns0:t>
        </ns0:is>
      </ns0:c>
      <ns0:c r="AR21" s="74" t="inlineStr">
        <ns0:is>
          <ns0:t>https://residential.jll.pt/imovel/apartamento-t1-com-varanda-em-olhao-algarve/19744519</ns0:t>
        </ns0:is>
      </ns0:c>
    </ns0:row>
    <ns0:row r="22">
      <ns0:c r="A22" s="71" t="s">
        <ns0:v>28</ns0:v>
      </ns0:c>
      <ns0:c r="B22" s="71" t="s">
        <ns0:v>53</ns0:v>
      </ns0:c>
      <ns0:c r="C22" s="71">
        <ns0:v>4</ns0:v>
      </ns0:c>
      <ns0:c r="D22" s="71" t="s">
        <ns0:v>31</ns0:v>
      </ns0:c>
      <ns0:c r="E22" s="71">
        <ns0:v>3</ns0:v>
      </ns0:c>
      <ns0:c r="F22" s="72">
        <ns0:v>91.72</ns0:v>
      </ns0:c>
      <ns0:c r="G22" s="72">
        <ns0:v>14.85</ns0:v>
      </ns0:c>
      <ns0:c r="H22" s="72">
        <ns0:v>106.57</ns0:v>
      </ns0:c>
      <ns0:c r="I22" s="73">
        <ns0:v>725000</ns0:v>
      </ns0:c>
      <ns0:c r="J22" s="71">
        <ns0:v>2026</ns0:v>
      </ns0:c>
      <ns0:c r="K22" s="73">
        <ns0:v>7468.3820322721331</ns0:v>
      </ns0:c>
      <ns0:c r="L22" s="73">
        <ns0:v>6427.7001032185426</ns0:v>
      </ns0:c>
      <ns0:c r="M22" s="74" t="str">
        <ns0:f t="shared" si="0"/>
        <ns0:v>A validar</ns0:v>
      </ns0:c>
      <ns0:c r="N22" s="74" t="str">
        <ns0:v>Idealista / JLL Residential</ns0:v>
      </ns0:c>
      <ns0:c r="O22" s="74" t="str">
        <ns0:v>https://www.idealista.pt/empreendimento/34271659/</ns0:v>
      </ns0:c>
      <ns0:c r="P22" s="75" t="n">
        <ns0:v>46288</ns0:v>
      </ns0:c>
      <ns0:c r="Q22" s="74" t="str">
        <ns0:f t="shared" si="1"/>
        <ns0:v>Premium waterfront/marina</ns0:v>
      </ns0:c>
      <ns0:c r="R22" s="74" t="s">
        <ns0:v>32</ns0:v>
      </ns0:c>
      <ns0:c r="S22" s="74"/>
      <ns0:c r="T22" s="74"/>
      <ns0:c r="U22" s="74"/>
      <ns0:c r="V22" s="74"/>
      <ns0:c r="W22" s="76" t="n">
        <ns0:f t="shared" si="2"/>
        <ns0:v>0.6</ns0:v>
      </ns0:c>
      <ns0:c r="X22" s="74" t="str">
        <ns0:f t="shared" si="3"/>
        <ns0:v>B · A validar</ns0:v>
      </ns0:c>
      <ns0:c r="Y22" s="74" t="str">
        <ns0:f t="shared" si="4"/>
        <ns0:v>Média</ns0:v>
      </ns0:c>
      <ns0:c r="Z22" s="74" t="str">
        <ns0:v>Não identificado de forma inequívoca na oferta pública consultada em setembro de 2026; preservado até validação.</ns0:v>
      </ns0:c>
      <ns0:c r="AA22" s="74" t="str">
        <ns0:f t="shared" si="5"/>
        <ns0:v>Confirmar disponibilidade/preço ou passar a histórico.</ns0:v>
      </ns0:c>
      <ns0:c r="AB22" s="74" t="str">
        <ns0:f t="shared" si="6"/>
        <ns0:v>Alta</ns0:v>
      </ns0:c>
      <ns0:c r="AQ22" s="74" t="inlineStr">
        <ns0:is>
          <ns0:t>Olhão</ns0:t>
        </ns0:is>
      </ns0:c>
      <ns0:c r="AR22" s="74" t="inlineStr">
        <ns0:is>
          <ns0:t>https://residential.jll.pt/imovel/apartamento-t1-com-varanda-em-olhao-algarve/19744519</ns0:t>
        </ns0:is>
      </ns0:c>
    </ns0:row>
    <ns0:row r="23">
      <ns0:c r="A23" s="71" t="s">
        <ns0:v>28</ns0:v>
      </ns0:c>
      <ns0:c r="B23" s="71" t="s">
        <ns0:v>54</ns0:v>
      </ns0:c>
      <ns0:c r="C23" s="71">
        <ns0:v>4</ns0:v>
      </ns0:c>
      <ns0:c r="D23" s="71" t="s">
        <ns0:v>42</ns0:v>
      </ns0:c>
      <ns0:c r="E23" s="71">
        <ns0:v>3</ns0:v>
      </ns0:c>
      <ns0:c r="F23" s="72">
        <ns0:v>60.77</ns0:v>
      </ns0:c>
      <ns0:c r="G23" s="72">
        <ns0:v>3.6</ns0:v>
      </ns0:c>
      <ns0:c r="H23" s="72">
        <ns0:v>64.37</ns0:v>
      </ns0:c>
      <ns0:c r="I23" s="73">
        <ns0:v>420000</ns0:v>
      </ns0:c>
      <ns0:c r="J23" s="71">
        <ns0:v>2026</ns0:v>
      </ns0:c>
      <ns0:c r="K23" s="73">
        <ns0:v>6499.9177225604744</ns0:v>
      </ns0:c>
      <ns0:c r="L23" s="73">
        <ns0:v>6136.3989436072698</ns0:v>
      </ns0:c>
      <ns0:c r="M23" s="74" t="str">
        <ns0:f t="shared" si="0"/>
        <ns0:v>A validar</ns0:v>
      </ns0:c>
      <ns0:c r="N23" s="74" t="str">
        <ns0:v>Idealista / JLL Residential</ns0:v>
      </ns0:c>
      <ns0:c r="O23" s="74" t="str">
        <ns0:v>https://www.idealista.pt/empreendimento/34271659/</ns0:v>
      </ns0:c>
      <ns0:c r="P23" s="75" t="n">
        <ns0:v>46288</ns0:v>
      </ns0:c>
      <ns0:c r="Q23" s="74" t="str">
        <ns0:f t="shared" si="1"/>
        <ns0:v>Premium waterfront/marina</ns0:v>
      </ns0:c>
      <ns0:c r="R23" s="74" t="s">
        <ns0:v>32</ns0:v>
      </ns0:c>
      <ns0:c r="S23" s="74"/>
      <ns0:c r="T23" s="74"/>
      <ns0:c r="U23" s="74"/>
      <ns0:c r="V23" s="74"/>
      <ns0:c r="W23" s="76" t="n">
        <ns0:f t="shared" si="2"/>
        <ns0:v>0.6</ns0:v>
      </ns0:c>
      <ns0:c r="X23" s="74" t="str">
        <ns0:f t="shared" si="3"/>
        <ns0:v>B · A validar</ns0:v>
      </ns0:c>
      <ns0:c r="Y23" s="74" t="str">
        <ns0:f t="shared" si="4"/>
        <ns0:v>Média</ns0:v>
      </ns0:c>
      <ns0:c r="Z23" s="74" t="str">
        <ns0:v>Não identificado de forma inequívoca na oferta pública consultada em setembro de 2026; preservado até validação.</ns0:v>
      </ns0:c>
      <ns0:c r="AA23" s="74" t="str">
        <ns0:f t="shared" si="5"/>
        <ns0:v>Confirmar disponibilidade/preço ou passar a histórico.</ns0:v>
      </ns0:c>
      <ns0:c r="AB23" s="74" t="str">
        <ns0:f t="shared" si="6"/>
        <ns0:v>Alta</ns0:v>
      </ns0:c>
      <ns0:c r="AQ23" s="74" t="inlineStr">
        <ns0:is>
          <ns0:t>Olhão</ns0:t>
        </ns0:is>
      </ns0:c>
      <ns0:c r="AR23" s="74" t="inlineStr">
        <ns0:is>
          <ns0:t>https://residential.jll.pt/imovel/apartamento-t1-com-varanda-em-olhao-algarve/19744519</ns0:t>
        </ns0:is>
      </ns0:c>
    </ns0:row>
    <ns0:row r="24">
      <ns0:c r="A24" s="71" t="s">
        <ns0:v>28</ns0:v>
      </ns0:c>
      <ns0:c r="B24" s="71" t="s">
        <ns0:v>55</ns0:v>
      </ns0:c>
      <ns0:c r="C24" s="71" t="s">
        <ns0:v>30</ns0:v>
      </ns0:c>
      <ns0:c r="D24" s="71" t="s">
        <ns0:v>31</ns0:v>
      </ns0:c>
      <ns0:c r="E24" s="71">
        <ns0:v>2</ns0:v>
      </ns0:c>
      <ns0:c r="F24" s="72">
        <ns0:v>123.63</ns0:v>
      </ns0:c>
      <ns0:c r="G24" s="72">
        <ns0:v>32.869999999999997</ns0:v>
      </ns0:c>
      <ns0:c r="H24" s="72">
        <ns0:v>156.5</ns0:v>
      </ns0:c>
      <ns0:c r="I24" s="73">
        <ns0:v>1310000</ns0:v>
      </ns0:c>
      <ns0:c r="J24" s="71">
        <ns0:v>2026</ns0:v>
      </ns0:c>
      <ns0:c r="K24" s="73">
        <ns0:v>10596.133624524789</ns0:v>
      </ns0:c>
      <ns0:c r="L24" s="73">
        <ns0:v>8370.6070287539933</ns0:v>
      </ns0:c>
      <ns0:c r="M24" s="74" t="str">
        <ns0:f t="shared" si="0"/>
        <ns0:v>Ativo</ns0:v>
      </ns0:c>
      <ns0:c r="N24" s="74" t="str">
        <ns0:v>Idealista / JLL Residential</ns0:v>
      </ns0:c>
      <ns0:c r="O24" s="74" t="str">
        <ns0:v>https://www.idealista.pt/empreendimento/34271659/</ns0:v>
      </ns0:c>
      <ns0:c r="P24" s="75" t="n">
        <ns0:v>46288</ns0:v>
      </ns0:c>
      <ns0:c r="Q24" s="74" t="str">
        <ns0:f t="shared" si="1"/>
        <ns0:v>Premium waterfront/marina</ns0:v>
      </ns0:c>
      <ns0:c r="R24" s="74" t="s">
        <ns0:v>32</ns0:v>
      </ns0:c>
      <ns0:c r="S24" s="74"/>
      <ns0:c r="T24" s="74"/>
      <ns0:c r="U24" s="74"/>
      <ns0:c r="V24" s="74"/>
      <ns0:c r="W24" s="76" t="n">
        <ns0:f t="shared" si="2"/>
        <ns0:v>1</ns0:v>
      </ns0:c>
      <ns0:c r="X24" s="74" t="str">
        <ns0:f t="shared" si="3"/>
        <ns0:v>A · Premium ativo</ns0:v>
      </ns0:c>
      <ns0:c r="Y24" s="74" t="str">
        <ns0:f t="shared" si="4"/>
        <ns0:v>Alta</ns0:v>
      </ns0:c>
      <ns0:c r="Z24" s="74" t="str">
        <ns0:v>Validado face à oferta pública atual do Del Mar Waterfront em setembro de 2026.</ns0:v>
      </ns0:c>
      <ns0:c r="AA24" s="74" t="str">
        <ns0:f t="shared" si="5"/>
        <ns0:v>Revalidar disponibilidade e preço trimestralmente.</ns0:v>
      </ns0:c>
      <ns0:c r="AB24" s="74" t="str">
        <ns0:f t="shared" si="6"/>
        <ns0:v>Média</ns0:v>
      </ns0:c>
      <ns0:c r="AQ24" s="74" t="inlineStr">
        <ns0:is>
          <ns0:t>Olhão</ns0:t>
        </ns0:is>
      </ns0:c>
      <ns0:c r="AR24" s="74" t="inlineStr">
        <ns0:is>
          <ns0:t>https://residential.jll.pt/imovel/apartamento-t1-com-varanda-em-olhao-algarve/19744519</ns0:t>
        </ns0:is>
      </ns0:c>
    </ns0:row>
    <ns0:row r="25">
      <ns0:c r="A25" s="71" t="s">
        <ns0:v>28</ns0:v>
      </ns0:c>
      <ns0:c r="B25" s="71" t="s">
        <ns0:v>56</ns0:v>
      </ns0:c>
      <ns0:c r="C25" s="71" t="s">
        <ns0:v>30</ns0:v>
      </ns0:c>
      <ns0:c r="D25" s="71" t="s">
        <ns0:v>31</ns0:v>
      </ns0:c>
      <ns0:c r="E25" s="71">
        <ns0:v>1</ns0:v>
      </ns0:c>
      <ns0:c r="F25" s="72">
        <ns0:v>135.72999999999999</ns0:v>
      </ns0:c>
      <ns0:c r="G25" s="72">
        <ns0:v>32.15</ns0:v>
      </ns0:c>
      <ns0:c r="H25" s="72">
        <ns0:v>167.88</ns0:v>
      </ns0:c>
      <ns0:c r="I25" s="73">
        <ns0:v>1310000</ns0:v>
      </ns0:c>
      <ns0:c r="J25" s="71">
        <ns0:v>2026</ns0:v>
      </ns0:c>
      <ns0:c r="K25" s="73">
        <ns0:v>9651.5140352169765</ns0:v>
      </ns0:c>
      <ns0:c r="L25" s="73">
        <ns0:v>7803.1927567309986</ns0:v>
      </ns0:c>
      <ns0:c r="M25" s="74" t="str">
        <ns0:f t="shared" si="0"/>
        <ns0:v>Ativo</ns0:v>
      </ns0:c>
      <ns0:c r="N25" s="74" t="str">
        <ns0:v>Idealista / JLL Residential</ns0:v>
      </ns0:c>
      <ns0:c r="O25" s="74" t="str">
        <ns0:v>https://www.idealista.pt/empreendimento/34271659/</ns0:v>
      </ns0:c>
      <ns0:c r="P25" s="75" t="n">
        <ns0:v>46288</ns0:v>
      </ns0:c>
      <ns0:c r="Q25" s="74" t="str">
        <ns0:f t="shared" si="1"/>
        <ns0:v>Premium waterfront/marina</ns0:v>
      </ns0:c>
      <ns0:c r="R25" s="74" t="s">
        <ns0:v>32</ns0:v>
      </ns0:c>
      <ns0:c r="S25" s="74"/>
      <ns0:c r="T25" s="74"/>
      <ns0:c r="U25" s="74"/>
      <ns0:c r="V25" s="74"/>
      <ns0:c r="W25" s="76" t="n">
        <ns0:f t="shared" si="2"/>
        <ns0:v>1</ns0:v>
      </ns0:c>
      <ns0:c r="X25" s="74" t="str">
        <ns0:f t="shared" si="3"/>
        <ns0:v>A · Premium ativo</ns0:v>
      </ns0:c>
      <ns0:c r="Y25" s="74" t="str">
        <ns0:f t="shared" si="4"/>
        <ns0:v>Alta</ns0:v>
      </ns0:c>
      <ns0:c r="Z25" s="74" t="str">
        <ns0:v>Validado face à oferta pública atual do Del Mar Waterfront em setembro de 2026.</ns0:v>
      </ns0:c>
      <ns0:c r="AA25" s="74" t="str">
        <ns0:f t="shared" si="5"/>
        <ns0:v>Revalidar disponibilidade e preço trimestralmente.</ns0:v>
      </ns0:c>
      <ns0:c r="AB25" s="74" t="str">
        <ns0:f t="shared" si="6"/>
        <ns0:v>Média</ns0:v>
      </ns0:c>
      <ns0:c r="AQ25" s="74" t="inlineStr">
        <ns0:is>
          <ns0:t>Olhão</ns0:t>
        </ns0:is>
      </ns0:c>
      <ns0:c r="AR25" s="74" t="inlineStr">
        <ns0:is>
          <ns0:t>https://residential.jll.pt/imovel/apartamento-t1-com-varanda-em-olhao-algarve/19744519</ns0:t>
        </ns0:is>
      </ns0:c>
    </ns0:row>
    <ns0:row r="26">
      <ns0:c r="A26" s="71" t="s">
        <ns0:v>28</ns0:v>
      </ns0:c>
      <ns0:c r="B26" s="71" t="s">
        <ns0:v>57</ns0:v>
      </ns0:c>
      <ns0:c r="C26" s="71" t="s">
        <ns0:v>30</ns0:v>
      </ns0:c>
      <ns0:c r="D26" s="71" t="s">
        <ns0:v>42</ns0:v>
      </ns0:c>
      <ns0:c r="E26" s="71">
        <ns0:v>2</ns0:v>
      </ns0:c>
      <ns0:c r="F26" s="72">
        <ns0:v>72.150000000000006</ns0:v>
      </ns0:c>
      <ns0:c r="G26" s="72">
        <ns0:v>15.6</ns0:v>
      </ns0:c>
      <ns0:c r="H26" s="72">
        <ns0:v>87.75</ns0:v>
      </ns0:c>
      <ns0:c r="I26" s="73">
        <ns0:v>375000</ns0:v>
      </ns0:c>
      <ns0:c r="J26" s="71">
        <ns0:v>2024</ns0:v>
      </ns0:c>
      <ns0:c r="K26" s="73">
        <ns0:v>5197.5051975051974</ns0:v>
      </ns0:c>
      <ns0:c r="L26" s="73">
        <ns0:v>4273.5042735042734</ns0:v>
      </ns0:c>
      <ns0:c r="M26" s="74" t="str">
        <ns0:f t="shared" si="0"/>
        <ns0:v>Histórico</ns0:v>
      </ns0:c>
      <ns0:c r="N26" s="74"/>
      <ns0:c r="O26" s="74"/>
      <ns0:c r="P26" s="77"/>
      <ns0:c r="Q26" s="74" t="str">
        <ns0:f t="shared" si="1"/>
        <ns0:v>Premium waterfront/marina</ns0:v>
      </ns0:c>
      <ns0:c r="R26" s="74" t="s">
        <ns0:v>32</ns0:v>
      </ns0:c>
      <ns0:c r="S26" s="74"/>
      <ns0:c r="T26" s="74"/>
      <ns0:c r="U26" s="74"/>
      <ns0:c r="V26" s="74"/>
      <ns0:c r="W26" s="76" t="n">
        <ns0:f t="shared" si="2"/>
        <ns0:v>0.2</ns0:v>
      </ns0:c>
      <ns0:c r="X26" s="74" t="str">
        <ns0:f t="shared" si="3"/>
        <ns0:v>C · Histórico/secundário</ns0:v>
      </ns0:c>
      <ns0:c r="Y26" s="74" t="str">
        <ns0:f t="shared" si="4"/>
        <ns0:v>Baixa</ns0:v>
      </ns0:c>
      <ns0:c r="Z26" s="74"/>
      <ns0:c r="AA26" s="74" t="str">
        <ns0:f t="shared" si="5"/>
        <ns0:v>Atualizar preço/status</ns0:v>
      </ns0:c>
      <ns0:c r="AB26" s="74" t="str">
        <ns0:f t="shared" si="6"/>
        <ns0:v>Alta</ns0:v>
      </ns0:c>
      <ns0:c r="AQ26" s="74" t="inlineStr">
        <ns0:is>
          <ns0:t>Olhão</ns0:t>
        </ns0:is>
      </ns0:c>
      <ns0:c r="AR26" s="74" t="inlineStr">
        <ns0:is>
          <ns0:t>https://residential.jll.pt/imovel/apartamento-t1-com-varanda-em-olhao-algarve/19744519</ns0:t>
        </ns0:is>
      </ns0:c>
    </ns0:row>
    <ns0:row r="27">
      <ns0:c r="A27" s="71" t="s">
        <ns0:v>28</ns0:v>
      </ns0:c>
      <ns0:c r="B27" s="71" t="s">
        <ns0:v>58</ns0:v>
      </ns0:c>
      <ns0:c r="C27" s="71" t="s">
        <ns0:v>30</ns0:v>
      </ns0:c>
      <ns0:c r="D27" s="71" t="s">
        <ns0:v>42</ns0:v>
      </ns0:c>
      <ns0:c r="E27" s="71">
        <ns0:v>2</ns0:v>
      </ns0:c>
      <ns0:c r="F27" s="72">
        <ns0:v>89.39</ns0:v>
      </ns0:c>
      <ns0:c r="G27" s="72">
        <ns0:v>16.61</ns0:v>
      </ns0:c>
      <ns0:c r="H27" s="72">
        <ns0:v>106</ns0:v>
      </ns0:c>
      <ns0:c r="I27" s="73">
        <ns0:v>395000</ns0:v>
      </ns0:c>
      <ns0:c r="J27" s="71">
        <ns0:v>2024</ns0:v>
      </ns0:c>
      <ns0:c r="K27" s="73">
        <ns0:v>4418.8387962859379</ns0:v>
      </ns0:c>
      <ns0:c r="L27" s="73">
        <ns0:v>3726.415094339623</ns0:v>
      </ns0:c>
      <ns0:c r="M27" s="74" t="str">
        <ns0:f t="shared" si="0"/>
        <ns0:v>Histórico</ns0:v>
      </ns0:c>
      <ns0:c r="N27" s="74"/>
      <ns0:c r="O27" s="74"/>
      <ns0:c r="P27" s="77"/>
      <ns0:c r="Q27" s="74" t="str">
        <ns0:f t="shared" si="1"/>
        <ns0:v>Premium waterfront/marina</ns0:v>
      </ns0:c>
      <ns0:c r="R27" s="74" t="s">
        <ns0:v>32</ns0:v>
      </ns0:c>
      <ns0:c r="S27" s="74"/>
      <ns0:c r="T27" s="74"/>
      <ns0:c r="U27" s="74"/>
      <ns0:c r="V27" s="74"/>
      <ns0:c r="W27" s="76" t="n">
        <ns0:f t="shared" si="2"/>
        <ns0:v>0.2</ns0:v>
      </ns0:c>
      <ns0:c r="X27" s="74" t="str">
        <ns0:f t="shared" si="3"/>
        <ns0:v>C · Histórico/secundário</ns0:v>
      </ns0:c>
      <ns0:c r="Y27" s="74" t="str">
        <ns0:f t="shared" si="4"/>
        <ns0:v>Baixa</ns0:v>
      </ns0:c>
      <ns0:c r="Z27" s="74"/>
      <ns0:c r="AA27" s="74" t="str">
        <ns0:f t="shared" si="5"/>
        <ns0:v>Atualizar preço/status</ns0:v>
      </ns0:c>
      <ns0:c r="AB27" s="74" t="str">
        <ns0:f t="shared" si="6"/>
        <ns0:v>Alta</ns0:v>
      </ns0:c>
      <ns0:c r="AQ27" s="74" t="inlineStr">
        <ns0:is>
          <ns0:t>Olhão</ns0:t>
        </ns0:is>
      </ns0:c>
      <ns0:c r="AR27" s="74" t="inlineStr">
        <ns0:is>
          <ns0:t>https://residential.jll.pt/imovel/apartamento-t1-com-varanda-em-olhao-algarve/19744519</ns0:t>
        </ns0:is>
      </ns0:c>
    </ns0:row>
    <ns0:row r="28">
      <ns0:c r="A28" s="71" t="s">
        <ns0:v>28</ns0:v>
      </ns0:c>
      <ns0:c r="B28" s="71" t="s">
        <ns0:v>59</ns0:v>
      </ns0:c>
      <ns0:c r="C28" s="71" t="s">
        <ns0:v>30</ns0:v>
      </ns0:c>
      <ns0:c r="D28" s="71" t="s">
        <ns0:v>31</ns0:v>
      </ns0:c>
      <ns0:c r="E28" s="71">
        <ns0:v>2</ns0:v>
      </ns0:c>
      <ns0:c r="F28" s="72">
        <ns0:v>120.58</ns0:v>
      </ns0:c>
      <ns0:c r="G28" s="72">
        <ns0:v>22.83</ns0:v>
      </ns0:c>
      <ns0:c r="H28" s="72">
        <ns0:v>143.41</ns0:v>
      </ns0:c>
      <ns0:c r="I28" s="73">
        <ns0:v>660000</ns0:v>
      </ns0:c>
      <ns0:c r="J28" s="71">
        <ns0:v>2024</ns0:v>
      </ns0:c>
      <ns0:c r="K28" s="73">
        <ns0:v>5473.5445347487148</ns0:v>
      </ns0:c>
      <ns0:c r="L28" s="73">
        <ns0:v>4602.1895265323201</ns0:v>
      </ns0:c>
      <ns0:c r="M28" s="74" t="str">
        <ns0:f t="shared" si="0"/>
        <ns0:v>Histórico</ns0:v>
      </ns0:c>
      <ns0:c r="N28" s="74"/>
      <ns0:c r="O28" s="74"/>
      <ns0:c r="P28" s="77"/>
      <ns0:c r="Q28" s="74" t="str">
        <ns0:f t="shared" si="1"/>
        <ns0:v>Premium waterfront/marina</ns0:v>
      </ns0:c>
      <ns0:c r="R28" s="74" t="s">
        <ns0:v>32</ns0:v>
      </ns0:c>
      <ns0:c r="S28" s="74"/>
      <ns0:c r="T28" s="74"/>
      <ns0:c r="U28" s="74"/>
      <ns0:c r="V28" s="74"/>
      <ns0:c r="W28" s="76" t="n">
        <ns0:f t="shared" si="2"/>
        <ns0:v>0.2</ns0:v>
      </ns0:c>
      <ns0:c r="X28" s="74" t="str">
        <ns0:f t="shared" si="3"/>
        <ns0:v>C · Histórico/secundário</ns0:v>
      </ns0:c>
      <ns0:c r="Y28" s="74" t="str">
        <ns0:f t="shared" si="4"/>
        <ns0:v>Baixa</ns0:v>
      </ns0:c>
      <ns0:c r="Z28" s="74"/>
      <ns0:c r="AA28" s="74" t="str">
        <ns0:f t="shared" si="5"/>
        <ns0:v>Atualizar preço/status</ns0:v>
      </ns0:c>
      <ns0:c r="AB28" s="74" t="str">
        <ns0:f t="shared" si="6"/>
        <ns0:v>Alta</ns0:v>
      </ns0:c>
      <ns0:c r="AQ28" s="74" t="inlineStr">
        <ns0:is>
          <ns0:t>Olhão</ns0:t>
        </ns0:is>
      </ns0:c>
      <ns0:c r="AR28" s="74" t="inlineStr">
        <ns0:is>
          <ns0:t>https://residential.jll.pt/imovel/apartamento-t1-com-varanda-em-olhao-algarve/19744519</ns0:t>
        </ns0:is>
      </ns0:c>
    </ns0:row>
    <ns0:row r="29">
      <ns0:c r="A29" s="71" t="s">
        <ns0:v>28</ns0:v>
      </ns0:c>
      <ns0:c r="B29" s="71" t="s">
        <ns0:v>60</ns0:v>
      </ns0:c>
      <ns0:c r="C29" s="71" t="s">
        <ns0:v>30</ns0:v>
      </ns0:c>
      <ns0:c r="D29" s="71" t="s">
        <ns0:v>42</ns0:v>
      </ns0:c>
      <ns0:c r="E29" s="71">
        <ns0:v>2</ns0:v>
      </ns0:c>
      <ns0:c r="F29" s="72">
        <ns0:v>85.19</ns0:v>
      </ns0:c>
      <ns0:c r="G29" s="72">
        <ns0:v>18.46</ns0:v>
      </ns0:c>
      <ns0:c r="H29" s="72">
        <ns0:v>103.65</ns0:v>
      </ns0:c>
      <ns0:c r="I29" s="73">
        <ns0:v>385000</ns0:v>
      </ns0:c>
      <ns0:c r="J29" s="71">
        <ns0:v>2024</ns0:v>
      </ns0:c>
      <ns0:c r="K29" s="73">
        <ns0:v>4519.3097781429742</ns0:v>
      </ns0:c>
      <ns0:c r="L29" s="73">
        <ns0:v>3714.42354076218</ns0:v>
      </ns0:c>
      <ns0:c r="M29" s="74" t="str">
        <ns0:f t="shared" si="0"/>
        <ns0:v>Histórico</ns0:v>
      </ns0:c>
      <ns0:c r="N29" s="74"/>
      <ns0:c r="O29" s="74"/>
      <ns0:c r="P29" s="77"/>
      <ns0:c r="Q29" s="74" t="str">
        <ns0:f t="shared" si="1"/>
        <ns0:v>Premium waterfront/marina</ns0:v>
      </ns0:c>
      <ns0:c r="R29" s="74" t="s">
        <ns0:v>32</ns0:v>
      </ns0:c>
      <ns0:c r="S29" s="74"/>
      <ns0:c r="T29" s="74"/>
      <ns0:c r="U29" s="74"/>
      <ns0:c r="V29" s="74"/>
      <ns0:c r="W29" s="76" t="n">
        <ns0:f t="shared" si="2"/>
        <ns0:v>0.2</ns0:v>
      </ns0:c>
      <ns0:c r="X29" s="74" t="str">
        <ns0:f t="shared" si="3"/>
        <ns0:v>C · Histórico/secundário</ns0:v>
      </ns0:c>
      <ns0:c r="Y29" s="74" t="str">
        <ns0:f t="shared" si="4"/>
        <ns0:v>Baixa</ns0:v>
      </ns0:c>
      <ns0:c r="Z29" s="74"/>
      <ns0:c r="AA29" s="74" t="str">
        <ns0:f t="shared" si="5"/>
        <ns0:v>Atualizar preço/status</ns0:v>
      </ns0:c>
      <ns0:c r="AB29" s="74" t="str">
        <ns0:f t="shared" si="6"/>
        <ns0:v>Alta</ns0:v>
      </ns0:c>
      <ns0:c r="AQ29" s="74" t="inlineStr">
        <ns0:is>
          <ns0:t>Olhão</ns0:t>
        </ns0:is>
      </ns0:c>
      <ns0:c r="AR29" s="74" t="inlineStr">
        <ns0:is>
          <ns0:t>https://residential.jll.pt/imovel/apartamento-t1-com-varanda-em-olhao-algarve/19744519</ns0:t>
        </ns0:is>
      </ns0:c>
    </ns0:row>
    <ns0:row r="30">
      <ns0:c r="A30" s="71" t="s">
        <ns0:v>28</ns0:v>
      </ns0:c>
      <ns0:c r="B30" s="71" t="s">
        <ns0:v>61</ns0:v>
      </ns0:c>
      <ns0:c r="C30" s="71" t="s">
        <ns0:v>30</ns0:v>
      </ns0:c>
      <ns0:c r="D30" s="71" t="s">
        <ns0:v>31</ns0:v>
      </ns0:c>
      <ns0:c r="E30" s="71">
        <ns0:v>3</ns0:v>
      </ns0:c>
      <ns0:c r="F30" s="72">
        <ns0:v>107.95</ns0:v>
      </ns0:c>
      <ns0:c r="G30" s="72">
        <ns0:v>19.3</ns0:v>
      </ns0:c>
      <ns0:c r="H30" s="72">
        <ns0:v>127.25</ns0:v>
      </ns0:c>
      <ns0:c r="I30" s="73">
        <ns0:v>575000</ns0:v>
      </ns0:c>
      <ns0:c r="J30" s="71">
        <ns0:v>2024</ns0:v>
      </ns0:c>
      <ns0:c r="K30" s="73">
        <ns0:v>5326.5400648448358</ns0:v>
      </ns0:c>
      <ns0:c r="L30" s="73">
        <ns0:v>4518.6640471512774</ns0:v>
      </ns0:c>
      <ns0:c r="M30" s="74" t="str">
        <ns0:f t="shared" si="0"/>
        <ns0:v>Histórico</ns0:v>
      </ns0:c>
      <ns0:c r="N30" s="74"/>
      <ns0:c r="O30" s="74"/>
      <ns0:c r="P30" s="77"/>
      <ns0:c r="Q30" s="74" t="str">
        <ns0:f t="shared" si="1"/>
        <ns0:v>Premium waterfront/marina</ns0:v>
      </ns0:c>
      <ns0:c r="R30" s="74" t="s">
        <ns0:v>32</ns0:v>
      </ns0:c>
      <ns0:c r="S30" s="74"/>
      <ns0:c r="T30" s="74"/>
      <ns0:c r="U30" s="74"/>
      <ns0:c r="V30" s="74"/>
      <ns0:c r="W30" s="76" t="n">
        <ns0:f t="shared" si="2"/>
        <ns0:v>0.2</ns0:v>
      </ns0:c>
      <ns0:c r="X30" s="74" t="str">
        <ns0:f t="shared" si="3"/>
        <ns0:v>C · Histórico/secundário</ns0:v>
      </ns0:c>
      <ns0:c r="Y30" s="74" t="str">
        <ns0:f t="shared" si="4"/>
        <ns0:v>Baixa</ns0:v>
      </ns0:c>
      <ns0:c r="Z30" s="74"/>
      <ns0:c r="AA30" s="74" t="str">
        <ns0:f t="shared" si="5"/>
        <ns0:v>Atualizar preço/status</ns0:v>
      </ns0:c>
      <ns0:c r="AB30" s="74" t="str">
        <ns0:f t="shared" si="6"/>
        <ns0:v>Alta</ns0:v>
      </ns0:c>
      <ns0:c r="AQ30" s="74" t="inlineStr">
        <ns0:is>
          <ns0:t>Olhão</ns0:t>
        </ns0:is>
      </ns0:c>
      <ns0:c r="AR30" s="74" t="inlineStr">
        <ns0:is>
          <ns0:t>https://residential.jll.pt/imovel/apartamento-t1-com-varanda-em-olhao-algarve/19744519</ns0:t>
        </ns0:is>
      </ns0:c>
    </ns0:row>
    <ns0:row r="31">
      <ns0:c r="A31" s="71" t="s">
        <ns0:v>28</ns0:v>
      </ns0:c>
      <ns0:c r="B31" s="71" t="s">
        <ns0:v>62</ns0:v>
      </ns0:c>
      <ns0:c r="C31" s="71">
        <ns0:v>1</ns0:v>
      </ns0:c>
      <ns0:c r="D31" s="71" t="s">
        <ns0:v>31</ns0:v>
      </ns0:c>
      <ns0:c r="E31" s="71">
        <ns0:v>2</ns0:v>
      </ns0:c>
      <ns0:c r="F31" s="72">
        <ns0:v>139.13999999999999</ns0:v>
      </ns0:c>
      <ns0:c r="G31" s="72">
        <ns0:v>26.67</ns0:v>
      </ns0:c>
      <ns0:c r="H31" s="72">
        <ns0:v>165.81</ns0:v>
      </ns0:c>
      <ns0:c r="I31" s="73">
        <ns0:v>1310000</ns0:v>
      </ns0:c>
      <ns0:c r="J31" s="71">
        <ns0:v>2026</ns0:v>
      </ns0:c>
      <ns0:c r="K31" s="73">
        <ns0:v>9271.2376024148343</ns0:v>
      </ns0:c>
      <ns0:c r="L31" s="73">
        <ns0:v>7779.989144201194</ns0:v>
      </ns0:c>
      <ns0:c r="M31" s="74" t="str">
        <ns0:f t="shared" si="0"/>
        <ns0:v>A validar</ns0:v>
      </ns0:c>
      <ns0:c r="N31" s="74" t="str">
        <ns0:v>Idealista / JLL Residential</ns0:v>
      </ns0:c>
      <ns0:c r="O31" s="74" t="str">
        <ns0:v>https://www.idealista.pt/empreendimento/34271659/</ns0:v>
      </ns0:c>
      <ns0:c r="P31" s="75" t="n">
        <ns0:v>46288</ns0:v>
      </ns0:c>
      <ns0:c r="Q31" s="74" t="str">
        <ns0:f t="shared" si="1"/>
        <ns0:v>Premium waterfront/marina</ns0:v>
      </ns0:c>
      <ns0:c r="R31" s="74" t="s">
        <ns0:v>32</ns0:v>
      </ns0:c>
      <ns0:c r="S31" s="74"/>
      <ns0:c r="T31" s="74"/>
      <ns0:c r="U31" s="74"/>
      <ns0:c r="V31" s="74"/>
      <ns0:c r="W31" s="76" t="n">
        <ns0:f t="shared" si="2"/>
        <ns0:v>0.6</ns0:v>
      </ns0:c>
      <ns0:c r="X31" s="74" t="str">
        <ns0:f t="shared" si="3"/>
        <ns0:v>B · A validar</ns0:v>
      </ns0:c>
      <ns0:c r="Y31" s="74" t="str">
        <ns0:f t="shared" si="4"/>
        <ns0:v>Média</ns0:v>
      </ns0:c>
      <ns0:c r="Z31" s="74" t="str">
        <ns0:v>Não identificado de forma inequívoca na oferta pública consultada em setembro de 2026; preservado até validação.</ns0:v>
      </ns0:c>
      <ns0:c r="AA31" s="74" t="str">
        <ns0:f t="shared" si="5"/>
        <ns0:v>Confirmar disponibilidade/preço ou passar a histórico.</ns0:v>
      </ns0:c>
      <ns0:c r="AB31" s="74" t="str">
        <ns0:f t="shared" si="6"/>
        <ns0:v>Alta</ns0:v>
      </ns0:c>
      <ns0:c r="AQ31" s="74" t="inlineStr">
        <ns0:is>
          <ns0:t>Olhão</ns0:t>
        </ns0:is>
      </ns0:c>
      <ns0:c r="AR31" s="74" t="inlineStr">
        <ns0:is>
          <ns0:t>https://residential.jll.pt/imovel/apartamento-t1-com-varanda-em-olhao-algarve/19744519</ns0:t>
        </ns0:is>
      </ns0:c>
    </ns0:row>
    <ns0:row r="32">
      <ns0:c r="A32" s="71" t="s">
        <ns0:v>28</ns0:v>
      </ns0:c>
      <ns0:c r="B32" s="71" t="s">
        <ns0:v>63</ns0:v>
      </ns0:c>
      <ns0:c r="C32" s="71">
        <ns0:v>1</ns0:v>
      </ns0:c>
      <ns0:c r="D32" s="71" t="s">
        <ns0:v>64</ns0:v>
      </ns0:c>
      <ns0:c r="E32" s="71">
        <ns0:v>1</ns0:v>
      </ns0:c>
      <ns0:c r="F32" s="72">
        <ns0:v>157.01</ns0:v>
      </ns0:c>
      <ns0:c r="G32" s="72">
        <ns0:v>27.23</ns0:v>
      </ns0:c>
      <ns0:c r="H32" s="72">
        <ns0:v>184.24</ns0:v>
      </ns0:c>
      <ns0:c r="I32" s="73">
        <ns0:v>1360000</ns0:v>
      </ns0:c>
      <ns0:c r="J32" s="71">
        <ns0:v>2026</ns0:v>
      </ns0:c>
      <ns0:c r="K32" s="73">
        <ns0:v>8661.8686707853012</ns0:v>
      </ns0:c>
      <ns0:c r="L32" s="73">
        <ns0:v>7381.6760746851942</ns0:v>
      </ns0:c>
      <ns0:c r="M32" s="74" t="str">
        <ns0:f t="shared" si="0"/>
        <ns0:v>Ativo</ns0:v>
      </ns0:c>
      <ns0:c r="N32" s="74" t="str">
        <ns0:v>Idealista / JLL Residential</ns0:v>
      </ns0:c>
      <ns0:c r="O32" s="74" t="str">
        <ns0:v>https://www.idealista.pt/empreendimento/34271659/</ns0:v>
      </ns0:c>
      <ns0:c r="P32" s="75" t="n">
        <ns0:v>46288</ns0:v>
      </ns0:c>
      <ns0:c r="Q32" s="74" t="str">
        <ns0:f t="shared" si="1"/>
        <ns0:v>Premium waterfront/marina</ns0:v>
      </ns0:c>
      <ns0:c r="R32" s="74" t="s">
        <ns0:v>32</ns0:v>
      </ns0:c>
      <ns0:c r="S32" s="74"/>
      <ns0:c r="T32" s="74"/>
      <ns0:c r="U32" s="74"/>
      <ns0:c r="V32" s="74"/>
      <ns0:c r="W32" s="76" t="n">
        <ns0:f t="shared" si="2"/>
        <ns0:v>1</ns0:v>
      </ns0:c>
      <ns0:c r="X32" s="74" t="str">
        <ns0:f t="shared" si="3"/>
        <ns0:v>A · Premium ativo</ns0:v>
      </ns0:c>
      <ns0:c r="Y32" s="74" t="str">
        <ns0:f t="shared" si="4"/>
        <ns0:v>Alta</ns0:v>
      </ns0:c>
      <ns0:c r="Z32" s="74" t="str">
        <ns0:v>Validado face à oferta pública atual do Del Mar Waterfront em setembro de 2026.</ns0:v>
      </ns0:c>
      <ns0:c r="AA32" s="74" t="str">
        <ns0:f t="shared" si="5"/>
        <ns0:v>Revalidar disponibilidade e preço trimestralmente.</ns0:v>
      </ns0:c>
      <ns0:c r="AB32" s="74" t="str">
        <ns0:f t="shared" si="6"/>
        <ns0:v>Média</ns0:v>
      </ns0:c>
      <ns0:c r="AQ32" s="74" t="inlineStr">
        <ns0:is>
          <ns0:t>Olhão</ns0:t>
        </ns0:is>
      </ns0:c>
      <ns0:c r="AR32" s="74" t="inlineStr">
        <ns0:is>
          <ns0:t>https://residential.jll.pt/imovel/apartamento-t1-com-varanda-em-olhao-algarve/19744519</ns0:t>
        </ns0:is>
      </ns0:c>
    </ns0:row>
    <ns0:row r="33">
      <ns0:c r="A33" s="71" t="s">
        <ns0:v>28</ns0:v>
      </ns0:c>
      <ns0:c r="B33" s="71" t="s">
        <ns0:v>65</ns0:v>
      </ns0:c>
      <ns0:c r="C33" s="71">
        <ns0:v>1</ns0:v>
      </ns0:c>
      <ns0:c r="D33" s="71" t="s">
        <ns0:v>31</ns0:v>
      </ns0:c>
      <ns0:c r="E33" s="71">
        <ns0:v>2</ns0:v>
      </ns0:c>
      <ns0:c r="F33" s="72">
        <ns0:v>127.37</ns0:v>
      </ns0:c>
      <ns0:c r="G33" s="72">
        <ns0:v>16.07</ns0:v>
      </ns0:c>
      <ns0:c r="H33" s="72">
        <ns0:v>143.44</ns0:v>
      </ns0:c>
      <ns0:c r="I33" s="73">
        <ns0:v>790000</ns0:v>
      </ns0:c>
      <ns0:c r="J33" s="71">
        <ns0:v>2026</ns0:v>
      </ns0:c>
      <ns0:c r="K33" s="73">
        <ns0:v>6202.4024495564099</ns0:v>
      </ns0:c>
      <ns0:c r="L33" s="73">
        <ns0:v>5507.5292805354156</ns0:v>
      </ns0:c>
      <ns0:c r="M33" s="74" t="str">
        <ns0:f t="shared" si="0"/>
        <ns0:v>Ativo</ns0:v>
      </ns0:c>
      <ns0:c r="N33" s="74" t="str">
        <ns0:v>Idealista / JLL Residential</ns0:v>
      </ns0:c>
      <ns0:c r="O33" s="74" t="str">
        <ns0:v>https://www.idealista.pt/empreendimento/34271659/</ns0:v>
      </ns0:c>
      <ns0:c r="P33" s="75" t="n">
        <ns0:v>46288</ns0:v>
      </ns0:c>
      <ns0:c r="Q33" s="74" t="str">
        <ns0:f t="shared" si="1"/>
        <ns0:v>Premium waterfront/marina</ns0:v>
      </ns0:c>
      <ns0:c r="R33" s="74" t="s">
        <ns0:v>32</ns0:v>
      </ns0:c>
      <ns0:c r="S33" s="74"/>
      <ns0:c r="T33" s="74"/>
      <ns0:c r="U33" s="74"/>
      <ns0:c r="V33" s="74"/>
      <ns0:c r="W33" s="76" t="n">
        <ns0:f t="shared" si="2"/>
        <ns0:v>1</ns0:v>
      </ns0:c>
      <ns0:c r="X33" s="74" t="str">
        <ns0:f t="shared" si="3"/>
        <ns0:v>A · Premium ativo</ns0:v>
      </ns0:c>
      <ns0:c r="Y33" s="74" t="str">
        <ns0:f t="shared" si="4"/>
        <ns0:v>Alta</ns0:v>
      </ns0:c>
      <ns0:c r="Z33" s="74" t="str">
        <ns0:v>Validado face à oferta pública atual do Del Mar Waterfront em setembro de 2026.</ns0:v>
      </ns0:c>
      <ns0:c r="AA33" s="74" t="str">
        <ns0:f t="shared" si="5"/>
        <ns0:v>Revalidar disponibilidade e preço trimestralmente.</ns0:v>
      </ns0:c>
      <ns0:c r="AB33" s="74" t="str">
        <ns0:f t="shared" si="6"/>
        <ns0:v>Média</ns0:v>
      </ns0:c>
      <ns0:c r="AQ33" s="74" t="inlineStr">
        <ns0:is>
          <ns0:t>Olhão</ns0:t>
        </ns0:is>
      </ns0:c>
      <ns0:c r="AR33" s="74" t="inlineStr">
        <ns0:is>
          <ns0:t>https://residential.jll.pt/imovel/apartamento-t1-com-varanda-em-olhao-algarve/19744519</ns0:t>
        </ns0:is>
      </ns0:c>
    </ns0:row>
    <ns0:row r="34">
      <ns0:c r="A34" s="71" t="s">
        <ns0:v>28</ns0:v>
      </ns0:c>
      <ns0:c r="B34" s="71" t="s">
        <ns0:v>66</ns0:v>
      </ns0:c>
      <ns0:c r="C34" s="71">
        <ns0:v>1</ns0:v>
      </ns0:c>
      <ns0:c r="D34" s="71" t="s">
        <ns0:v>42</ns0:v>
      </ns0:c>
      <ns0:c r="E34" s="71">
        <ns0:v>2</ns0:v>
      </ns0:c>
      <ns0:c r="F34" s="72">
        <ns0:v>94.46</ns0:v>
      </ns0:c>
      <ns0:c r="G34" s="72">
        <ns0:v>9.15</ns0:v>
      </ns0:c>
      <ns0:c r="H34" s="72">
        <ns0:v>103.61</ns0:v>
      </ns0:c>
      <ns0:c r="I34" s="73">
        <ns0:v>425000</ns0:v>
      </ns0:c>
      <ns0:c r="J34" s="71">
        <ns0:v>2024</ns0:v>
      </ns0:c>
      <ns0:c r="K34" s="73">
        <ns0:v>4499.2589455854331</ns0:v>
      </ns0:c>
      <ns0:c r="L34" s="73">
        <ns0:v>4101.9206640285684</ns0:v>
      </ns0:c>
      <ns0:c r="M34" s="74" t="str">
        <ns0:f t="shared" ref="M34:M65" si="7">IF(A34="The View","Projeto",IF(J34&gt;=2026,"Ativo",IF(J34=2025,"Rever","Histórico")))</ns0:f>
        <ns0:v>Histórico</ns0:v>
      </ns0:c>
      <ns0:c r="N34" s="74"/>
      <ns0:c r="O34" s="74"/>
      <ns0:c r="P34" s="77"/>
      <ns0:c r="Q34" s="74" t="str">
        <ns0:f t="shared" ref="Q34:Q97" si="8">IF(A34="The View","Projeto",IF(A34="Le Parc","Benchmark local",IF(OR(A34="Del Mar Waterfront",A34="Aura Living"),"Premium waterfront/marina","A classificar")))</ns0:f>
        <ns0:v>Premium waterfront/marina</ns0:v>
      </ns0:c>
      <ns0:c r="R34" s="74" t="s">
        <ns0:v>32</ns0:v>
      </ns0:c>
      <ns0:c r="S34" s="74"/>
      <ns0:c r="T34" s="74"/>
      <ns0:c r="U34" s="74"/>
      <ns0:c r="V34" s="74"/>
      <ns0:c r="W34" s="76" t="n">
        <ns0:f t="shared" ref="W34:W65" si="9">IF(A34="The View",1,MAX(0.25,MIN(1,IF(J34&gt;=2026,1,IF(J34=2025,0.8,IF(J34=2024,0.45,0.3)))*IF(Q34="Premium waterfront/marina",1,IF(Q34="Benchmark local",0.7,0.6))*IF(M34="Vendido",0.65,IF(M34="Reservado",0.8,IF(M34="Histórico",0.55,1))))))</ns0:f>
        <ns0:v>0.2</ns0:v>
      </ns0:c>
      <ns0:c r="X34" s="74" t="str">
        <ns0:f t="shared" ref="X34:X65" si="10">IF(A34="The View","Projeto",IF(W34&gt;=0.85,"A · Premium ativo",IF(W34&gt;=0.55,"B · Benchmark local","C · Histórico/secundário")))</ns0:f>
        <ns0:v>C · Histórico/secundário</ns0:v>
      </ns0:c>
      <ns0:c r="Y34" s="74" t="str">
        <ns0:f t="shared" ref="Y34:Y65" si="11">IF(A34="The View","N/A",IF(AND(N34&lt;&gt;"",O34&lt;&gt;"",P34&lt;&gt;""),"Alta",IF(OR(N34&lt;&gt;"",O34&lt;&gt;"",P34&lt;&gt;""),"Média","Baixa")))</ns0:f>
        <ns0:v>Baixa</ns0:v>
      </ns0:c>
      <ns0:c r="Z34" s="74"/>
      <ns0:c r="AA34" s="74" t="str">
        <ns0:f t="shared" ref="AA34:AA65" si="12">IF(A34="The View","Manter",IF(J34&lt;2026,"Atualizar preço/status",IF(Y34="Baixa","Adicionar fonte/URL/data",IF(W34&lt;0.55,"Rever comparabilidade","OK"))))</ns0:f>
        <ns0:v>Atualizar preço/status</ns0:v>
      </ns0:c>
      <ns0:c r="AB34" s="74" t="str">
        <ns0:f t="shared" ref="AB34:AB65" si="13">IF(A34="The View","",IF(OR(J34&lt;2026,Y34="Baixa"),"Alta",IF(W34&lt;0.55,"Média","Baixa")))</ns0:f>
        <ns0:v>Alta</ns0:v>
      </ns0:c>
      <ns0:c r="AQ34" s="74" t="inlineStr">
        <ns0:is>
          <ns0:t>Olhão</ns0:t>
        </ns0:is>
      </ns0:c>
      <ns0:c r="AR34" s="74" t="inlineStr">
        <ns0:is>
          <ns0:t>https://residential.jll.pt/imovel/apartamento-t1-com-varanda-em-olhao-algarve/19744519</ns0:t>
        </ns0:is>
      </ns0:c>
    </ns0:row>
    <ns0:row r="35">
      <ns0:c r="A35" s="71" t="s">
        <ns0:v>28</ns0:v>
      </ns0:c>
      <ns0:c r="B35" s="71" t="s">
        <ns0:v>67</ns0:v>
      </ns0:c>
      <ns0:c r="C35" s="71">
        <ns0:v>1</ns0:v>
      </ns0:c>
      <ns0:c r="D35" s="71" t="s">
        <ns0:v>64</ns0:v>
      </ns0:c>
      <ns0:c r="E35" s="71">
        <ns0:v>3</ns0:v>
      </ns0:c>
      <ns0:c r="F35" s="72">
        <ns0:v>163.49</ns0:v>
      </ns0:c>
      <ns0:c r="G35" s="72">
        <ns0:v>28.52</ns0:v>
      </ns0:c>
      <ns0:c r="H35" s="72">
        <ns0:v>192.01</ns0:v>
      </ns0:c>
      <ns0:c r="I35" s="73">
        <ns0:v>990000</ns0:v>
      </ns0:c>
      <ns0:c r="J35" s="71">
        <ns0:v>2024</ns0:v>
      </ns0:c>
      <ns0:c r="K35" s="73">
        <ns0:v>6055.4162334087696</ns0:v>
      </ns0:c>
      <ns0:c r="L35" s="73">
        <ns0:v>5155.9814592989942</ns0:v>
      </ns0:c>
      <ns0:c r="M35" s="74" t="str">
        <ns0:f t="shared" si="7"/>
        <ns0:v>Histórico</ns0:v>
      </ns0:c>
      <ns0:c r="N35" s="74"/>
      <ns0:c r="O35" s="74"/>
      <ns0:c r="P35" s="77"/>
      <ns0:c r="Q35" s="74" t="str">
        <ns0:f t="shared" si="8"/>
        <ns0:v>Premium waterfront/marina</ns0:v>
      </ns0:c>
      <ns0:c r="R35" s="74" t="s">
        <ns0:v>32</ns0:v>
      </ns0:c>
      <ns0:c r="S35" s="74"/>
      <ns0:c r="T35" s="74"/>
      <ns0:c r="U35" s="74"/>
      <ns0:c r="V35" s="74"/>
      <ns0:c r="W35" s="76" t="n">
        <ns0:f t="shared" si="9"/>
        <ns0:v>0.2</ns0:v>
      </ns0:c>
      <ns0:c r="X35" s="74" t="str">
        <ns0:f t="shared" si="10"/>
        <ns0:v>C · Histórico/secundário</ns0:v>
      </ns0:c>
      <ns0:c r="Y35" s="74" t="str">
        <ns0:f t="shared" si="11"/>
        <ns0:v>Baixa</ns0:v>
      </ns0:c>
      <ns0:c r="Z35" s="74"/>
      <ns0:c r="AA35" s="74" t="str">
        <ns0:f t="shared" si="12"/>
        <ns0:v>Atualizar preço/status</ns0:v>
      </ns0:c>
      <ns0:c r="AB35" s="74" t="str">
        <ns0:f t="shared" si="13"/>
        <ns0:v>Alta</ns0:v>
      </ns0:c>
      <ns0:c r="AQ35" s="74" t="inlineStr">
        <ns0:is>
          <ns0:t>Olhão</ns0:t>
        </ns0:is>
      </ns0:c>
      <ns0:c r="AR35" s="74" t="inlineStr">
        <ns0:is>
          <ns0:t>https://residential.jll.pt/imovel/apartamento-t1-com-varanda-em-olhao-algarve/19744519</ns0:t>
        </ns0:is>
      </ns0:c>
    </ns0:row>
    <ns0:row r="36">
      <ns0:c r="A36" s="71" t="s">
        <ns0:v>28</ns0:v>
      </ns0:c>
      <ns0:c r="B36" s="71" t="s">
        <ns0:v>68</ns0:v>
      </ns0:c>
      <ns0:c r="C36" s="71">
        <ns0:v>1</ns0:v>
      </ns0:c>
      <ns0:c r="D36" s="71" t="s">
        <ns0:v>31</ns0:v>
      </ns0:c>
      <ns0:c r="E36" s="71">
        <ns0:v>3</ns0:v>
      </ns0:c>
      <ns0:c r="F36" s="72">
        <ns0:v>132.30000000000001</ns0:v>
      </ns0:c>
      <ns0:c r="G36" s="72">
        <ns0:v>15.5</ns0:v>
      </ns0:c>
      <ns0:c r="H36" s="72">
        <ns0:v>147.80000000000001</ns0:v>
      </ns0:c>
      <ns0:c r="I36" s="73">
        <ns0:v>795000</ns0:v>
      </ns0:c>
      <ns0:c r="J36" s="71">
        <ns0:v>2026</ns0:v>
      </ns0:c>
      <ns0:c r="K36" s="73">
        <ns0:v>6009.0702947845803</ns0:v>
      </ns0:c>
      <ns0:c r="L36" s="73">
        <ns0:v>5378.8903924221913</ns0:v>
      </ns0:c>
      <ns0:c r="M36" s="74" t="str">
        <ns0:f t="shared" si="7"/>
        <ns0:v>Ativo</ns0:v>
      </ns0:c>
      <ns0:c r="N36" s="74" t="str">
        <ns0:v>Idealista / JLL Residential</ns0:v>
      </ns0:c>
      <ns0:c r="O36" s="74" t="str">
        <ns0:v>https://www.idealista.pt/empreendimento/34271659/</ns0:v>
      </ns0:c>
      <ns0:c r="P36" s="75" t="n">
        <ns0:v>46288</ns0:v>
      </ns0:c>
      <ns0:c r="Q36" s="74" t="str">
        <ns0:f t="shared" si="8"/>
        <ns0:v>Premium waterfront/marina</ns0:v>
      </ns0:c>
      <ns0:c r="R36" s="74" t="s">
        <ns0:v>32</ns0:v>
      </ns0:c>
      <ns0:c r="S36" s="74"/>
      <ns0:c r="T36" s="74"/>
      <ns0:c r="U36" s="74"/>
      <ns0:c r="V36" s="74"/>
      <ns0:c r="W36" s="76" t="n">
        <ns0:f t="shared" si="9"/>
        <ns0:v>1</ns0:v>
      </ns0:c>
      <ns0:c r="X36" s="74" t="str">
        <ns0:f t="shared" si="10"/>
        <ns0:v>A · Premium ativo</ns0:v>
      </ns0:c>
      <ns0:c r="Y36" s="74" t="str">
        <ns0:f t="shared" si="11"/>
        <ns0:v>Alta</ns0:v>
      </ns0:c>
      <ns0:c r="Z36" s="74" t="str">
        <ns0:v>Validado face à oferta pública atual do Del Mar Waterfront em setembro de 2026.</ns0:v>
      </ns0:c>
      <ns0:c r="AA36" s="74" t="str">
        <ns0:f t="shared" si="12"/>
        <ns0:v>Revalidar disponibilidade e preço trimestralmente.</ns0:v>
      </ns0:c>
      <ns0:c r="AB36" s="74" t="str">
        <ns0:f t="shared" si="13"/>
        <ns0:v>Média</ns0:v>
      </ns0:c>
      <ns0:c r="AQ36" s="74" t="inlineStr">
        <ns0:is>
          <ns0:t>Olhão</ns0:t>
        </ns0:is>
      </ns0:c>
      <ns0:c r="AR36" s="74" t="inlineStr">
        <ns0:is>
          <ns0:t>https://residential.jll.pt/imovel/apartamento-t1-com-varanda-em-olhao-algarve/19744519</ns0:t>
        </ns0:is>
      </ns0:c>
    </ns0:row>
    <ns0:row r="37">
      <ns0:c r="A37" s="71" t="s">
        <ns0:v>28</ns0:v>
      </ns0:c>
      <ns0:c r="B37" s="71" t="s">
        <ns0:v>69</ns0:v>
      </ns0:c>
      <ns0:c r="C37" s="71">
        <ns0:v>2</ns0:v>
      </ns0:c>
      <ns0:c r="D37" s="71" t="s">
        <ns0:v>31</ns0:v>
      </ns0:c>
      <ns0:c r="E37" s="71">
        <ns0:v>2</ns0:v>
      </ns0:c>
      <ns0:c r="F37" s="72">
        <ns0:v>139.13999999999999</ns0:v>
      </ns0:c>
      <ns0:c r="G37" s="72">
        <ns0:v>26.67</ns0:v>
      </ns0:c>
      <ns0:c r="H37" s="72">
        <ns0:v>165.81</ns0:v>
      </ns0:c>
      <ns0:c r="I37" s="73">
        <ns0:v>1320000</ns0:v>
      </ns0:c>
      <ns0:c r="J37" s="71">
        <ns0:v>2024</ns0:v>
      </ns0:c>
      <ns0:c r="K37" s="73">
        <ns0:v>9486.8477792151807</ns0:v>
      </ns0:c>
      <ns0:c r="L37" s="73">
        <ns0:v>7960.9191242988963</ns0:v>
      </ns0:c>
      <ns0:c r="M37" s="74" t="str">
        <ns0:f t="shared" si="7"/>
        <ns0:v>Histórico</ns0:v>
      </ns0:c>
      <ns0:c r="N37" s="74"/>
      <ns0:c r="O37" s="74"/>
      <ns0:c r="P37" s="77"/>
      <ns0:c r="Q37" s="74" t="str">
        <ns0:f t="shared" si="8"/>
        <ns0:v>Premium waterfront/marina</ns0:v>
      </ns0:c>
      <ns0:c r="R37" s="74" t="s">
        <ns0:v>32</ns0:v>
      </ns0:c>
      <ns0:c r="S37" s="74"/>
      <ns0:c r="T37" s="74"/>
      <ns0:c r="U37" s="74"/>
      <ns0:c r="V37" s="74"/>
      <ns0:c r="W37" s="76" t="n">
        <ns0:f t="shared" si="9"/>
        <ns0:v>0.2</ns0:v>
      </ns0:c>
      <ns0:c r="X37" s="74" t="str">
        <ns0:f t="shared" si="10"/>
        <ns0:v>C · Histórico/secundário</ns0:v>
      </ns0:c>
      <ns0:c r="Y37" s="74" t="str">
        <ns0:f t="shared" si="11"/>
        <ns0:v>Baixa</ns0:v>
      </ns0:c>
      <ns0:c r="Z37" s="74"/>
      <ns0:c r="AA37" s="74" t="str">
        <ns0:f t="shared" si="12"/>
        <ns0:v>Atualizar preço/status</ns0:v>
      </ns0:c>
      <ns0:c r="AB37" s="74" t="str">
        <ns0:f t="shared" si="13"/>
        <ns0:v>Alta</ns0:v>
      </ns0:c>
      <ns0:c r="AQ37" s="74" t="inlineStr">
        <ns0:is>
          <ns0:t>Olhão</ns0:t>
        </ns0:is>
      </ns0:c>
      <ns0:c r="AR37" s="74" t="inlineStr">
        <ns0:is>
          <ns0:t>https://residential.jll.pt/imovel/apartamento-t1-com-varanda-em-olhao-algarve/19744519</ns0:t>
        </ns0:is>
      </ns0:c>
    </ns0:row>
    <ns0:row r="38">
      <ns0:c r="A38" s="71" t="s">
        <ns0:v>28</ns0:v>
      </ns0:c>
      <ns0:c r="B38" s="71" t="s">
        <ns0:v>70</ns0:v>
      </ns0:c>
      <ns0:c r="C38" s="71">
        <ns0:v>2</ns0:v>
      </ns0:c>
      <ns0:c r="D38" s="71" t="s">
        <ns0:v>64</ns0:v>
      </ns0:c>
      <ns0:c r="E38" s="71">
        <ns0:v>1</ns0:v>
      </ns0:c>
      <ns0:c r="F38" s="72">
        <ns0:v>157.01</ns0:v>
      </ns0:c>
      <ns0:c r="G38" s="72">
        <ns0:v>27.23</ns0:v>
      </ns0:c>
      <ns0:c r="H38" s="72">
        <ns0:v>184.24</ns0:v>
      </ns0:c>
      <ns0:c r="I38" s="73">
        <ns0:v>1340000</ns0:v>
      </ns0:c>
      <ns0:c r="J38" s="71">
        <ns0:v>2024</ns0:v>
      </ns0:c>
      <ns0:c r="K38" s="73">
        <ns0:v>8534.4882491561057</ns0:v>
      </ns0:c>
      <ns0:c r="L38" s="73">
        <ns0:v>7273.122014763353</ns0:v>
      </ns0:c>
      <ns0:c r="M38" s="74" t="str">
        <ns0:f t="shared" si="7"/>
        <ns0:v>Histórico</ns0:v>
      </ns0:c>
      <ns0:c r="N38" s="74"/>
      <ns0:c r="O38" s="74"/>
      <ns0:c r="P38" s="77"/>
      <ns0:c r="Q38" s="74" t="str">
        <ns0:f t="shared" si="8"/>
        <ns0:v>Premium waterfront/marina</ns0:v>
      </ns0:c>
      <ns0:c r="R38" s="74" t="s">
        <ns0:v>32</ns0:v>
      </ns0:c>
      <ns0:c r="S38" s="74"/>
      <ns0:c r="T38" s="74"/>
      <ns0:c r="U38" s="74"/>
      <ns0:c r="V38" s="74"/>
      <ns0:c r="W38" s="76" t="n">
        <ns0:f t="shared" si="9"/>
        <ns0:v>0.2</ns0:v>
      </ns0:c>
      <ns0:c r="X38" s="74" t="str">
        <ns0:f t="shared" si="10"/>
        <ns0:v>C · Histórico/secundário</ns0:v>
      </ns0:c>
      <ns0:c r="Y38" s="74" t="str">
        <ns0:f t="shared" si="11"/>
        <ns0:v>Baixa</ns0:v>
      </ns0:c>
      <ns0:c r="Z38" s="74"/>
      <ns0:c r="AA38" s="74" t="str">
        <ns0:f t="shared" si="12"/>
        <ns0:v>Atualizar preço/status</ns0:v>
      </ns0:c>
      <ns0:c r="AB38" s="74" t="str">
        <ns0:f t="shared" si="13"/>
        <ns0:v>Alta</ns0:v>
      </ns0:c>
      <ns0:c r="AQ38" s="74" t="inlineStr">
        <ns0:is>
          <ns0:t>Olhão</ns0:t>
        </ns0:is>
      </ns0:c>
      <ns0:c r="AR38" s="74" t="inlineStr">
        <ns0:is>
          <ns0:t>https://residential.jll.pt/imovel/apartamento-t1-com-varanda-em-olhao-algarve/19744519</ns0:t>
        </ns0:is>
      </ns0:c>
    </ns0:row>
    <ns0:row r="39">
      <ns0:c r="A39" s="71" t="s">
        <ns0:v>28</ns0:v>
      </ns0:c>
      <ns0:c r="B39" s="71" t="s">
        <ns0:v>71</ns0:v>
      </ns0:c>
      <ns0:c r="C39" s="71">
        <ns0:v>2</ns0:v>
      </ns0:c>
      <ns0:c r="D39" s="71" t="s">
        <ns0:v>42</ns0:v>
      </ns0:c>
      <ns0:c r="E39" s="71">
        <ns0:v>2</ns0:v>
      </ns0:c>
      <ns0:c r="F39" s="72">
        <ns0:v>96.21</ns0:v>
      </ns0:c>
      <ns0:c r="G39" s="72">
        <ns0:v>10.95</ns0:v>
      </ns0:c>
      <ns0:c r="H39" s="72">
        <ns0:v>107.16</ns0:v>
      </ns0:c>
      <ns0:c r="I39" s="73">
        <ns0:v>435000</ns0:v>
      </ns0:c>
      <ns0:c r="J39" s="71">
        <ns0:v>2024</ns0:v>
      </ns0:c>
      <ns0:c r="K39" s="73">
        <ns0:v>4521.3595260367947</ns0:v>
      </ns0:c>
      <ns0:c r="L39" s="73">
        <ns0:v>4059.3505039193728</ns0:v>
      </ns0:c>
      <ns0:c r="M39" s="74" t="str">
        <ns0:f t="shared" si="7"/>
        <ns0:v>Histórico</ns0:v>
      </ns0:c>
      <ns0:c r="N39" s="74"/>
      <ns0:c r="O39" s="74"/>
      <ns0:c r="P39" s="77"/>
      <ns0:c r="Q39" s="74" t="str">
        <ns0:f t="shared" si="8"/>
        <ns0:v>Premium waterfront/marina</ns0:v>
      </ns0:c>
      <ns0:c r="R39" s="74" t="s">
        <ns0:v>32</ns0:v>
      </ns0:c>
      <ns0:c r="S39" s="74"/>
      <ns0:c r="T39" s="74"/>
      <ns0:c r="U39" s="74"/>
      <ns0:c r="V39" s="74"/>
      <ns0:c r="W39" s="76" t="n">
        <ns0:f t="shared" si="9"/>
        <ns0:v>0.2</ns0:v>
      </ns0:c>
      <ns0:c r="X39" s="74" t="str">
        <ns0:f t="shared" si="10"/>
        <ns0:v>C · Histórico/secundário</ns0:v>
      </ns0:c>
      <ns0:c r="Y39" s="74" t="str">
        <ns0:f t="shared" si="11"/>
        <ns0:v>Baixa</ns0:v>
      </ns0:c>
      <ns0:c r="Z39" s="74"/>
      <ns0:c r="AA39" s="74" t="str">
        <ns0:f t="shared" si="12"/>
        <ns0:v>Atualizar preço/status</ns0:v>
      </ns0:c>
      <ns0:c r="AB39" s="74" t="str">
        <ns0:f t="shared" si="13"/>
        <ns0:v>Alta</ns0:v>
      </ns0:c>
      <ns0:c r="AQ39" s="74" t="inlineStr">
        <ns0:is>
          <ns0:t>Olhão</ns0:t>
        </ns0:is>
      </ns0:c>
      <ns0:c r="AR39" s="74" t="inlineStr">
        <ns0:is>
          <ns0:t>https://residential.jll.pt/imovel/apartamento-t1-com-varanda-em-olhao-algarve/19744519</ns0:t>
        </ns0:is>
      </ns0:c>
    </ns0:row>
    <ns0:row r="40">
      <ns0:c r="A40" s="71" t="s">
        <ns0:v>28</ns0:v>
      </ns0:c>
      <ns0:c r="B40" s="71" t="s">
        <ns0:v>72</ns0:v>
      </ns0:c>
      <ns0:c r="C40" s="71">
        <ns0:v>2</ns0:v>
      </ns0:c>
      <ns0:c r="D40" s="71" t="s">
        <ns0:v>31</ns0:v>
      </ns0:c>
      <ns0:c r="E40" s="71">
        <ns0:v>2</ns0:v>
      </ns0:c>
      <ns0:c r="F40" s="72">
        <ns0:v>127.37</ns0:v>
      </ns0:c>
      <ns0:c r="G40" s="72">
        <ns0:v>16.07</ns0:v>
      </ns0:c>
      <ns0:c r="H40" s="72">
        <ns0:v>143.44</ns0:v>
      </ns0:c>
      <ns0:c r="I40" s="73">
        <ns0:v>795000</ns0:v>
      </ns0:c>
      <ns0:c r="J40" s="71">
        <ns0:v>2026</ns0:v>
      </ns0:c>
      <ns0:c r="K40" s="73">
        <ns0:v>6241.6581612624632</ns0:v>
      </ns0:c>
      <ns0:c r="L40" s="73">
        <ns0:v>5542.3870607919689</ns0:v>
      </ns0:c>
      <ns0:c r="M40" s="74" t="str">
        <ns0:f t="shared" si="7"/>
        <ns0:v>Ativo</ns0:v>
      </ns0:c>
      <ns0:c r="N40" s="74" t="str">
        <ns0:v>Idealista / JLL Residential</ns0:v>
      </ns0:c>
      <ns0:c r="O40" s="74" t="str">
        <ns0:v>https://www.idealista.pt/empreendimento/34271659/</ns0:v>
      </ns0:c>
      <ns0:c r="P40" s="75" t="n">
        <ns0:v>46288</ns0:v>
      </ns0:c>
      <ns0:c r="Q40" s="74" t="str">
        <ns0:f t="shared" si="8"/>
        <ns0:v>Premium waterfront/marina</ns0:v>
      </ns0:c>
      <ns0:c r="R40" s="74" t="s">
        <ns0:v>32</ns0:v>
      </ns0:c>
      <ns0:c r="S40" s="74"/>
      <ns0:c r="T40" s="74"/>
      <ns0:c r="U40" s="74"/>
      <ns0:c r="V40" s="74"/>
      <ns0:c r="W40" s="76" t="n">
        <ns0:f t="shared" si="9"/>
        <ns0:v>1</ns0:v>
      </ns0:c>
      <ns0:c r="X40" s="74" t="str">
        <ns0:f t="shared" si="10"/>
        <ns0:v>A · Premium ativo</ns0:v>
      </ns0:c>
      <ns0:c r="Y40" s="74" t="str">
        <ns0:f t="shared" si="11"/>
        <ns0:v>Alta</ns0:v>
      </ns0:c>
      <ns0:c r="Z40" s="74" t="str">
        <ns0:v>Validado face à oferta pública atual do Del Mar Waterfront em setembro de 2026.</ns0:v>
      </ns0:c>
      <ns0:c r="AA40" s="74" t="str">
        <ns0:f t="shared" si="12"/>
        <ns0:v>Revalidar disponibilidade e preço trimestralmente.</ns0:v>
      </ns0:c>
      <ns0:c r="AB40" s="74" t="str">
        <ns0:f t="shared" si="13"/>
        <ns0:v>Média</ns0:v>
      </ns0:c>
      <ns0:c r="AQ40" s="74" t="inlineStr">
        <ns0:is>
          <ns0:t>Olhão</ns0:t>
        </ns0:is>
      </ns0:c>
      <ns0:c r="AR40" s="74" t="inlineStr">
        <ns0:is>
          <ns0:t>https://residential.jll.pt/imovel/apartamento-t1-com-varanda-em-olhao-algarve/19744519</ns0:t>
        </ns0:is>
      </ns0:c>
    </ns0:row>
    <ns0:row r="41">
      <ns0:c r="A41" s="71" t="s">
        <ns0:v>28</ns0:v>
      </ns0:c>
      <ns0:c r="B41" s="71" t="s">
        <ns0:v>73</ns0:v>
      </ns0:c>
      <ns0:c r="C41" s="71">
        <ns0:v>2</ns0:v>
      </ns0:c>
      <ns0:c r="D41" s="71" t="s">
        <ns0:v>42</ns0:v>
      </ns0:c>
      <ns0:c r="E41" s="71">
        <ns0:v>2</ns0:v>
      </ns0:c>
      <ns0:c r="F41" s="72">
        <ns0:v>94.46</ns0:v>
      </ns0:c>
      <ns0:c r="G41" s="72">
        <ns0:v>9.15</ns0:v>
      </ns0:c>
      <ns0:c r="H41" s="72">
        <ns0:v>103.61</ns0:v>
      </ns0:c>
      <ns0:c r="I41" s="73">
        <ns0:v>435000</ns0:v>
      </ns0:c>
      <ns0:c r="J41" s="71">
        <ns0:v>2024</ns0:v>
      </ns0:c>
      <ns0:c r="K41" s="73">
        <ns0:v>4605.1238619521491</ns0:v>
      </ns0:c>
      <ns0:c r="L41" s="73">
        <ns0:v>4198.4364443586528</ns0:v>
      </ns0:c>
      <ns0:c r="M41" s="74" t="str">
        <ns0:f t="shared" si="7"/>
        <ns0:v>Histórico</ns0:v>
      </ns0:c>
      <ns0:c r="N41" s="74"/>
      <ns0:c r="O41" s="74"/>
      <ns0:c r="P41" s="77"/>
      <ns0:c r="Q41" s="74" t="str">
        <ns0:f t="shared" si="8"/>
        <ns0:v>Premium waterfront/marina</ns0:v>
      </ns0:c>
      <ns0:c r="R41" s="74" t="s">
        <ns0:v>32</ns0:v>
      </ns0:c>
      <ns0:c r="S41" s="74"/>
      <ns0:c r="T41" s="74"/>
      <ns0:c r="U41" s="74"/>
      <ns0:c r="V41" s="74"/>
      <ns0:c r="W41" s="76" t="n">
        <ns0:f t="shared" si="9"/>
        <ns0:v>0.2</ns0:v>
      </ns0:c>
      <ns0:c r="X41" s="74" t="str">
        <ns0:f t="shared" si="10"/>
        <ns0:v>C · Histórico/secundário</ns0:v>
      </ns0:c>
      <ns0:c r="Y41" s="74" t="str">
        <ns0:f t="shared" si="11"/>
        <ns0:v>Baixa</ns0:v>
      </ns0:c>
      <ns0:c r="Z41" s="74"/>
      <ns0:c r="AA41" s="74" t="str">
        <ns0:f t="shared" si="12"/>
        <ns0:v>Atualizar preço/status</ns0:v>
      </ns0:c>
      <ns0:c r="AB41" s="74" t="str">
        <ns0:f t="shared" si="13"/>
        <ns0:v>Alta</ns0:v>
      </ns0:c>
      <ns0:c r="AQ41" s="74" t="inlineStr">
        <ns0:is>
          <ns0:t>Olhão</ns0:t>
        </ns0:is>
      </ns0:c>
      <ns0:c r="AR41" s="74" t="inlineStr">
        <ns0:is>
          <ns0:t>https://residential.jll.pt/imovel/apartamento-t1-com-varanda-em-olhao-algarve/19744519</ns0:t>
        </ns0:is>
      </ns0:c>
    </ns0:row>
    <ns0:row r="42">
      <ns0:c r="A42" s="71" t="s">
        <ns0:v>28</ns0:v>
      </ns0:c>
      <ns0:c r="B42" s="71" t="s">
        <ns0:v>74</ns0:v>
      </ns0:c>
      <ns0:c r="C42" s="71">
        <ns0:v>2</ns0:v>
      </ns0:c>
      <ns0:c r="D42" s="71" t="s">
        <ns0:v>31</ns0:v>
      </ns0:c>
      <ns0:c r="E42" s="71">
        <ns0:v>3</ns0:v>
      </ns0:c>
      <ns0:c r="F42" s="72">
        <ns0:v>132.30000000000001</ns0:v>
      </ns0:c>
      <ns0:c r="G42" s="72">
        <ns0:v>9.5399999999999991</ns0:v>
      </ns0:c>
      <ns0:c r="H42" s="72">
        <ns0:v>141.84</ns0:v>
      </ns0:c>
      <ns0:c r="I42" s="73">
        <ns0:v>810000</ns0:v>
      </ns0:c>
      <ns0:c r="J42" s="71">
        <ns0:v>2026</ns0:v>
      </ns0:c>
      <ns0:c r="K42" s="73">
        <ns0:v>6122.4489795918362</ns0:v>
      </ns0:c>
      <ns0:c r="L42" s="73">
        <ns0:v>5710.6598984771572</ns0:v>
      </ns0:c>
      <ns0:c r="M42" s="74" t="str">
        <ns0:f t="shared" si="7"/>
        <ns0:v>Ativo</ns0:v>
      </ns0:c>
      <ns0:c r="N42" s="74" t="str">
        <ns0:v>Idealista / JLL Residential</ns0:v>
      </ns0:c>
      <ns0:c r="O42" s="74" t="str">
        <ns0:v>https://www.idealista.pt/empreendimento/34271659/</ns0:v>
      </ns0:c>
      <ns0:c r="P42" s="75" t="n">
        <ns0:v>46288</ns0:v>
      </ns0:c>
      <ns0:c r="Q42" s="74" t="str">
        <ns0:f t="shared" si="8"/>
        <ns0:v>Premium waterfront/marina</ns0:v>
      </ns0:c>
      <ns0:c r="R42" s="74" t="s">
        <ns0:v>32</ns0:v>
      </ns0:c>
      <ns0:c r="S42" s="74"/>
      <ns0:c r="T42" s="74"/>
      <ns0:c r="U42" s="74"/>
      <ns0:c r="V42" s="74"/>
      <ns0:c r="W42" s="76" t="n">
        <ns0:f t="shared" si="9"/>
        <ns0:v>1</ns0:v>
      </ns0:c>
      <ns0:c r="X42" s="74" t="str">
        <ns0:f t="shared" si="10"/>
        <ns0:v>A · Premium ativo</ns0:v>
      </ns0:c>
      <ns0:c r="Y42" s="74" t="str">
        <ns0:f t="shared" si="11"/>
        <ns0:v>Alta</ns0:v>
      </ns0:c>
      <ns0:c r="Z42" s="74" t="str">
        <ns0:v>Validado face à oferta pública atual do Del Mar Waterfront em setembro de 2026.</ns0:v>
      </ns0:c>
      <ns0:c r="AA42" s="74" t="str">
        <ns0:f t="shared" si="12"/>
        <ns0:v>Revalidar disponibilidade e preço trimestralmente.</ns0:v>
      </ns0:c>
      <ns0:c r="AB42" s="74" t="str">
        <ns0:f t="shared" si="13"/>
        <ns0:v>Média</ns0:v>
      </ns0:c>
      <ns0:c r="AQ42" s="74" t="inlineStr">
        <ns0:is>
          <ns0:t>Olhão</ns0:t>
        </ns0:is>
      </ns0:c>
      <ns0:c r="AR42" s="74" t="inlineStr">
        <ns0:is>
          <ns0:t>https://residential.jll.pt/imovel/apartamento-t1-com-varanda-em-olhao-algarve/19744519</ns0:t>
        </ns0:is>
      </ns0:c>
    </ns0:row>
    <ns0:row r="43">
      <ns0:c r="A43" s="71" t="s">
        <ns0:v>28</ns0:v>
      </ns0:c>
      <ns0:c r="B43" s="71" t="s">
        <ns0:v>75</ns0:v>
      </ns0:c>
      <ns0:c r="C43" s="71">
        <ns0:v>3</ns0:v>
      </ns0:c>
      <ns0:c r="D43" s="71" t="s">
        <ns0:v>42</ns0:v>
      </ns0:c>
      <ns0:c r="E43" s="71">
        <ns0:v>2</ns0:v>
      </ns0:c>
      <ns0:c r="F43" s="72">
        <ns0:v>96.21</ns0:v>
      </ns0:c>
      <ns0:c r="G43" s="72">
        <ns0:v>10.95</ns0:v>
      </ns0:c>
      <ns0:c r="H43" s="72">
        <ns0:v>107.16</ns0:v>
      </ns0:c>
      <ns0:c r="I43" s="73">
        <ns0:v>445000</ns0:v>
      </ns0:c>
      <ns0:c r="J43" s="71">
        <ns0:v>2024</ns0:v>
      </ns0:c>
      <ns0:c r="K43" s="73">
        <ns0:v>4625.2988254859156</ns0:v>
      </ns0:c>
      <ns0:c r="L43" s="73">
        <ns0:v>4152.668906308324</ns0:v>
      </ns0:c>
      <ns0:c r="M43" s="74" t="str">
        <ns0:f t="shared" si="7"/>
        <ns0:v>Histórico</ns0:v>
      </ns0:c>
      <ns0:c r="N43" s="74"/>
      <ns0:c r="O43" s="74"/>
      <ns0:c r="P43" s="77"/>
      <ns0:c r="Q43" s="74" t="str">
        <ns0:f t="shared" si="8"/>
        <ns0:v>Premium waterfront/marina</ns0:v>
      </ns0:c>
      <ns0:c r="R43" s="74" t="s">
        <ns0:v>32</ns0:v>
      </ns0:c>
      <ns0:c r="S43" s="74"/>
      <ns0:c r="T43" s="74"/>
      <ns0:c r="U43" s="74"/>
      <ns0:c r="V43" s="74"/>
      <ns0:c r="W43" s="76" t="n">
        <ns0:f t="shared" si="9"/>
        <ns0:v>0.2</ns0:v>
      </ns0:c>
      <ns0:c r="X43" s="74" t="str">
        <ns0:f t="shared" si="10"/>
        <ns0:v>C · Histórico/secundário</ns0:v>
      </ns0:c>
      <ns0:c r="Y43" s="74" t="str">
        <ns0:f t="shared" si="11"/>
        <ns0:v>Baixa</ns0:v>
      </ns0:c>
      <ns0:c r="Z43" s="74"/>
      <ns0:c r="AA43" s="74" t="str">
        <ns0:f t="shared" si="12"/>
        <ns0:v>Atualizar preço/status</ns0:v>
      </ns0:c>
      <ns0:c r="AB43" s="74" t="str">
        <ns0:f t="shared" si="13"/>
        <ns0:v>Alta</ns0:v>
      </ns0:c>
      <ns0:c r="AQ43" s="74" t="inlineStr">
        <ns0:is>
          <ns0:t>Olhão</ns0:t>
        </ns0:is>
      </ns0:c>
      <ns0:c r="AR43" s="74" t="inlineStr">
        <ns0:is>
          <ns0:t>https://residential.jll.pt/imovel/apartamento-t1-com-varanda-em-olhao-algarve/19744519</ns0:t>
        </ns0:is>
      </ns0:c>
    </ns0:row>
    <ns0:row r="44">
      <ns0:c r="A44" s="71" t="s">
        <ns0:v>28</ns0:v>
      </ns0:c>
      <ns0:c r="B44" s="71" t="s">
        <ns0:v>76</ns0:v>
      </ns0:c>
      <ns0:c r="C44" s="71">
        <ns0:v>3</ns0:v>
      </ns0:c>
      <ns0:c r="D44" s="71" t="s">
        <ns0:v>31</ns0:v>
      </ns0:c>
      <ns0:c r="E44" s="71">
        <ns0:v>2</ns0:v>
      </ns0:c>
      <ns0:c r="F44" s="72">
        <ns0:v>127.37</ns0:v>
      </ns0:c>
      <ns0:c r="G44" s="72">
        <ns0:v>16.07</ns0:v>
      </ns0:c>
      <ns0:c r="H44" s="72">
        <ns0:v>143.44</ns0:v>
      </ns0:c>
      <ns0:c r="I44" s="73">
        <ns0:v>745000</ns0:v>
      </ns0:c>
      <ns0:c r="J44" s="71">
        <ns0:v>2024</ns0:v>
      </ns0:c>
      <ns0:c r="K44" s="73">
        <ns0:v>5849.1010442019306</ns0:v>
      </ns0:c>
      <ns0:c r="L44" s="73">
        <ns0:v>5193.8092582264362</ns0:v>
      </ns0:c>
      <ns0:c r="M44" s="74" t="str">
        <ns0:f t="shared" si="7"/>
        <ns0:v>Histórico</ns0:v>
      </ns0:c>
      <ns0:c r="N44" s="74"/>
      <ns0:c r="O44" s="74"/>
      <ns0:c r="P44" s="77"/>
      <ns0:c r="Q44" s="74" t="str">
        <ns0:f t="shared" si="8"/>
        <ns0:v>Premium waterfront/marina</ns0:v>
      </ns0:c>
      <ns0:c r="R44" s="74" t="s">
        <ns0:v>32</ns0:v>
      </ns0:c>
      <ns0:c r="S44" s="74"/>
      <ns0:c r="T44" s="74"/>
      <ns0:c r="U44" s="74"/>
      <ns0:c r="V44" s="74"/>
      <ns0:c r="W44" s="76" t="n">
        <ns0:f t="shared" si="9"/>
        <ns0:v>0.2</ns0:v>
      </ns0:c>
      <ns0:c r="X44" s="74" t="str">
        <ns0:f t="shared" si="10"/>
        <ns0:v>C · Histórico/secundário</ns0:v>
      </ns0:c>
      <ns0:c r="Y44" s="74" t="str">
        <ns0:f t="shared" si="11"/>
        <ns0:v>Baixa</ns0:v>
      </ns0:c>
      <ns0:c r="Z44" s="74"/>
      <ns0:c r="AA44" s="74" t="str">
        <ns0:f t="shared" si="12"/>
        <ns0:v>Atualizar preço/status</ns0:v>
      </ns0:c>
      <ns0:c r="AB44" s="74" t="str">
        <ns0:f t="shared" si="13"/>
        <ns0:v>Alta</ns0:v>
      </ns0:c>
      <ns0:c r="AQ44" s="74" t="inlineStr">
        <ns0:is>
          <ns0:t>Olhão</ns0:t>
        </ns0:is>
      </ns0:c>
      <ns0:c r="AR44" s="74" t="inlineStr">
        <ns0:is>
          <ns0:t>https://residential.jll.pt/imovel/apartamento-t1-com-varanda-em-olhao-algarve/19744519</ns0:t>
        </ns0:is>
      </ns0:c>
    </ns0:row>
    <ns0:row r="45">
      <ns0:c r="A45" s="71" t="s">
        <ns0:v>28</ns0:v>
      </ns0:c>
      <ns0:c r="B45" s="71" t="s">
        <ns0:v>77</ns0:v>
      </ns0:c>
      <ns0:c r="C45" s="71">
        <ns0:v>3</ns0:v>
      </ns0:c>
      <ns0:c r="D45" s="71" t="s">
        <ns0:v>42</ns0:v>
      </ns0:c>
      <ns0:c r="E45" s="71">
        <ns0:v>2</ns0:v>
      </ns0:c>
      <ns0:c r="F45" s="72">
        <ns0:v>94.46</ns0:v>
      </ns0:c>
      <ns0:c r="G45" s="72">
        <ns0:v>9.15</ns0:v>
      </ns0:c>
      <ns0:c r="H45" s="72">
        <ns0:v>103.61</ns0:v>
      </ns0:c>
      <ns0:c r="I45" s="73">
        <ns0:v>445000</ns0:v>
      </ns0:c>
      <ns0:c r="J45" s="71">
        <ns0:v>2024</ns0:v>
      </ns0:c>
      <ns0:c r="K45" s="73">
        <ns0:v>4710.9887783188651</ns0:v>
      </ns0:c>
      <ns0:c r="L45" s="73">
        <ns0:v>4294.9522246887364</ns0:v>
      </ns0:c>
      <ns0:c r="M45" s="74" t="str">
        <ns0:f t="shared" si="7"/>
        <ns0:v>Histórico</ns0:v>
      </ns0:c>
      <ns0:c r="N45" s="74"/>
      <ns0:c r="O45" s="74"/>
      <ns0:c r="P45" s="77"/>
      <ns0:c r="Q45" s="74" t="str">
        <ns0:f t="shared" si="8"/>
        <ns0:v>Premium waterfront/marina</ns0:v>
      </ns0:c>
      <ns0:c r="R45" s="74" t="s">
        <ns0:v>32</ns0:v>
      </ns0:c>
      <ns0:c r="S45" s="74"/>
      <ns0:c r="T45" s="74"/>
      <ns0:c r="U45" s="74"/>
      <ns0:c r="V45" s="74"/>
      <ns0:c r="W45" s="76" t="n">
        <ns0:f t="shared" si="9"/>
        <ns0:v>0.2</ns0:v>
      </ns0:c>
      <ns0:c r="X45" s="74" t="str">
        <ns0:f t="shared" si="10"/>
        <ns0:v>C · Histórico/secundário</ns0:v>
      </ns0:c>
      <ns0:c r="Y45" s="74" t="str">
        <ns0:f t="shared" si="11"/>
        <ns0:v>Baixa</ns0:v>
      </ns0:c>
      <ns0:c r="Z45" s="74"/>
      <ns0:c r="AA45" s="74" t="str">
        <ns0:f t="shared" si="12"/>
        <ns0:v>Atualizar preço/status</ns0:v>
      </ns0:c>
      <ns0:c r="AB45" s="74" t="str">
        <ns0:f t="shared" si="13"/>
        <ns0:v>Alta</ns0:v>
      </ns0:c>
      <ns0:c r="AQ45" s="74" t="inlineStr">
        <ns0:is>
          <ns0:t>Olhão</ns0:t>
        </ns0:is>
      </ns0:c>
      <ns0:c r="AR45" s="74" t="inlineStr">
        <ns0:is>
          <ns0:t>https://residential.jll.pt/imovel/apartamento-t1-com-varanda-em-olhao-algarve/19744519</ns0:t>
        </ns0:is>
      </ns0:c>
    </ns0:row>
    <ns0:row r="46">
      <ns0:c r="A46" s="71" t="s">
        <ns0:v>28</ns0:v>
      </ns0:c>
      <ns0:c r="B46" s="71" t="s">
        <ns0:v>78</ns0:v>
      </ns0:c>
      <ns0:c r="C46" s="71">
        <ns0:v>3</ns0:v>
      </ns0:c>
      <ns0:c r="D46" s="71" t="s">
        <ns0:v>31</ns0:v>
      </ns0:c>
      <ns0:c r="E46" s="71">
        <ns0:v>3</ns0:v>
      </ns0:c>
      <ns0:c r="F46" s="72">
        <ns0:v>132.30000000000001</ns0:v>
      </ns0:c>
      <ns0:c r="G46" s="72">
        <ns0:v>15.5</ns0:v>
      </ns0:c>
      <ns0:c r="H46" s="72">
        <ns0:v>147.80000000000001</ns0:v>
      </ns0:c>
      <ns0:c r="I46" s="73">
        <ns0:v>685000</ns0:v>
      </ns0:c>
      <ns0:c r="J46" s="71">
        <ns0:v>2024</ns0:v>
      </ns0:c>
      <ns0:c r="K46" s="73">
        <ns0:v>5177.6266061980341</ns0:v>
      </ns0:c>
      <ns0:c r="L46" s="73">
        <ns0:v>4634.6414073071719</ns0:v>
      </ns0:c>
      <ns0:c r="M46" s="74" t="str">
        <ns0:f t="shared" si="7"/>
        <ns0:v>Histórico</ns0:v>
      </ns0:c>
      <ns0:c r="N46" s="74"/>
      <ns0:c r="O46" s="74"/>
      <ns0:c r="P46" s="77"/>
      <ns0:c r="Q46" s="74" t="str">
        <ns0:f t="shared" si="8"/>
        <ns0:v>Premium waterfront/marina</ns0:v>
      </ns0:c>
      <ns0:c r="R46" s="74" t="s">
        <ns0:v>32</ns0:v>
      </ns0:c>
      <ns0:c r="S46" s="74"/>
      <ns0:c r="T46" s="74"/>
      <ns0:c r="U46" s="74"/>
      <ns0:c r="V46" s="74"/>
      <ns0:c r="W46" s="76" t="n">
        <ns0:f t="shared" si="9"/>
        <ns0:v>0.2</ns0:v>
      </ns0:c>
      <ns0:c r="X46" s="74" t="str">
        <ns0:f t="shared" si="10"/>
        <ns0:v>C · Histórico/secundário</ns0:v>
      </ns0:c>
      <ns0:c r="Y46" s="74" t="str">
        <ns0:f t="shared" si="11"/>
        <ns0:v>Baixa</ns0:v>
      </ns0:c>
      <ns0:c r="Z46" s="74"/>
      <ns0:c r="AA46" s="74" t="str">
        <ns0:f t="shared" si="12"/>
        <ns0:v>Atualizar preço/status</ns0:v>
      </ns0:c>
      <ns0:c r="AB46" s="74" t="str">
        <ns0:f t="shared" si="13"/>
        <ns0:v>Alta</ns0:v>
      </ns0:c>
      <ns0:c r="AQ46" s="74" t="inlineStr">
        <ns0:is>
          <ns0:t>Olhão</ns0:t>
        </ns0:is>
      </ns0:c>
      <ns0:c r="AR46" s="74" t="inlineStr">
        <ns0:is>
          <ns0:t>https://residential.jll.pt/imovel/apartamento-t1-com-varanda-em-olhao-algarve/19744519</ns0:t>
        </ns0:is>
      </ns0:c>
    </ns0:row>
    <ns0:row r="47">
      <ns0:c r="A47" s="71" t="s">
        <ns0:v>28</ns0:v>
      </ns0:c>
      <ns0:c r="B47" s="71" t="s">
        <ns0:v>79</ns0:v>
      </ns0:c>
      <ns0:c r="C47" s="71">
        <ns0:v>4</ns0:v>
      </ns0:c>
      <ns0:c r="D47" s="71" t="s">
        <ns0:v>31</ns0:v>
      </ns0:c>
      <ns0:c r="E47" s="71">
        <ns0:v>2</ns0:v>
      </ns0:c>
      <ns0:c r="F47" s="72">
        <ns0:v>127.37</ns0:v>
      </ns0:c>
      <ns0:c r="G47" s="72">
        <ns0:v>16.07</ns0:v>
      </ns0:c>
      <ns0:c r="H47" s="72">
        <ns0:v>143.44</ns0:v>
      </ns0:c>
      <ns0:c r="I47" s="73">
        <ns0:v>835000</ns0:v>
      </ns0:c>
      <ns0:c r="J47" s="71">
        <ns0:v>2026</ns0:v>
      </ns0:c>
      <ns0:c r="K47" s="73">
        <ns0:v>5927.612467614038</ns0:v>
      </ns0:c>
      <ns0:c r="L47" s="73">
        <ns0:v>5263.5248187395428</ns0:v>
      </ns0:c>
      <ns0:c r="M47" s="74" t="str">
        <ns0:f t="shared" si="7"/>
        <ns0:v>A validar</ns0:v>
      </ns0:c>
      <ns0:c r="N47" s="74" t="str">
        <ns0:v>Idealista / JLL Residential</ns0:v>
      </ns0:c>
      <ns0:c r="O47" s="74" t="str">
        <ns0:v>https://www.idealista.pt/empreendimento/34271659/</ns0:v>
      </ns0:c>
      <ns0:c r="P47" s="75" t="n">
        <ns0:v>46288</ns0:v>
      </ns0:c>
      <ns0:c r="Q47" s="74" t="str">
        <ns0:f t="shared" si="8"/>
        <ns0:v>Premium waterfront/marina</ns0:v>
      </ns0:c>
      <ns0:c r="R47" s="74" t="s">
        <ns0:v>32</ns0:v>
      </ns0:c>
      <ns0:c r="S47" s="74"/>
      <ns0:c r="T47" s="74"/>
      <ns0:c r="U47" s="74"/>
      <ns0:c r="V47" s="74"/>
      <ns0:c r="W47" s="76" t="n">
        <ns0:f t="shared" si="9"/>
        <ns0:v>0.6</ns0:v>
      </ns0:c>
      <ns0:c r="X47" s="74" t="str">
        <ns0:f t="shared" si="10"/>
        <ns0:v>B · A validar</ns0:v>
      </ns0:c>
      <ns0:c r="Y47" s="74" t="str">
        <ns0:f t="shared" si="11"/>
        <ns0:v>Média</ns0:v>
      </ns0:c>
      <ns0:c r="Z47" s="74" t="str">
        <ns0:v>Não identificado de forma inequívoca na oferta pública consultada em setembro de 2026; preservado até validação.</ns0:v>
      </ns0:c>
      <ns0:c r="AA47" s="74" t="str">
        <ns0:f t="shared" si="12"/>
        <ns0:v>Confirmar disponibilidade/preço ou passar a histórico.</ns0:v>
      </ns0:c>
      <ns0:c r="AB47" s="74" t="str">
        <ns0:f t="shared" si="13"/>
        <ns0:v>Alta</ns0:v>
      </ns0:c>
      <ns0:c r="AQ47" s="74" t="inlineStr">
        <ns0:is>
          <ns0:t>Olhão</ns0:t>
        </ns0:is>
      </ns0:c>
      <ns0:c r="AR47" s="74" t="inlineStr">
        <ns0:is>
          <ns0:t>https://residential.jll.pt/imovel/apartamento-t1-com-varanda-em-olhao-algarve/19744519</ns0:t>
        </ns0:is>
      </ns0:c>
    </ns0:row>
    <ns0:row r="48">
      <ns0:c r="A48" s="71" t="s">
        <ns0:v>28</ns0:v>
      </ns0:c>
      <ns0:c r="B48" s="71" t="s">
        <ns0:v>80</ns0:v>
      </ns0:c>
      <ns0:c r="C48" s="71">
        <ns0:v>4</ns0:v>
      </ns0:c>
      <ns0:c r="D48" s="71" t="s">
        <ns0:v>31</ns0:v>
      </ns0:c>
      <ns0:c r="E48" s="71">
        <ns0:v>3</ns0:v>
      </ns0:c>
      <ns0:c r="F48" s="72">
        <ns0:v>132.30000000000001</ns0:v>
      </ns0:c>
      <ns0:c r="G48" s="72">
        <ns0:v>15.5</ns0:v>
      </ns0:c>
      <ns0:c r="H48" s="72">
        <ns0:v>147.80000000000001</ns0:v>
      </ns0:c>
      <ns0:c r="I48" s="73">
        <ns0:v>725000</ns0:v>
      </ns0:c>
      <ns0:c r="J48" s="71">
        <ns0:v>2024</ns0:v>
      </ns0:c>
      <ns0:c r="K48" s="73">
        <ns0:v>5479.9697656840508</ns0:v>
      </ns0:c>
      <ns0:c r="L48" s="73">
        <ns0:v>4905.2774018944519</ns0:v>
      </ns0:c>
      <ns0:c r="M48" s="74" t="str">
        <ns0:f t="shared" si="7"/>
        <ns0:v>Histórico</ns0:v>
      </ns0:c>
      <ns0:c r="N48" s="74"/>
      <ns0:c r="O48" s="74"/>
      <ns0:c r="P48" s="77"/>
      <ns0:c r="Q48" s="74" t="str">
        <ns0:f t="shared" si="8"/>
        <ns0:v>Premium waterfront/marina</ns0:v>
      </ns0:c>
      <ns0:c r="R48" s="74" t="s">
        <ns0:v>32</ns0:v>
      </ns0:c>
      <ns0:c r="S48" s="74"/>
      <ns0:c r="T48" s="74"/>
      <ns0:c r="U48" s="74"/>
      <ns0:c r="V48" s="74"/>
      <ns0:c r="W48" s="76" t="n">
        <ns0:f t="shared" si="9"/>
        <ns0:v>0.2</ns0:v>
      </ns0:c>
      <ns0:c r="X48" s="74" t="str">
        <ns0:f t="shared" si="10"/>
        <ns0:v>C · Histórico/secundário</ns0:v>
      </ns0:c>
      <ns0:c r="Y48" s="74" t="str">
        <ns0:f t="shared" si="11"/>
        <ns0:v>Baixa</ns0:v>
      </ns0:c>
      <ns0:c r="Z48" s="74"/>
      <ns0:c r="AA48" s="74" t="str">
        <ns0:f t="shared" si="12"/>
        <ns0:v>Atualizar preço/status</ns0:v>
      </ns0:c>
      <ns0:c r="AB48" s="74" t="str">
        <ns0:f t="shared" si="13"/>
        <ns0:v>Alta</ns0:v>
      </ns0:c>
      <ns0:c r="AQ48" s="74" t="inlineStr">
        <ns0:is>
          <ns0:t>Olhão</ns0:t>
        </ns0:is>
      </ns0:c>
      <ns0:c r="AR48" s="74" t="inlineStr">
        <ns0:is>
          <ns0:t>https://residential.jll.pt/imovel/apartamento-t1-com-varanda-em-olhao-algarve/19744519</ns0:t>
        </ns0:is>
      </ns0:c>
    </ns0:row>
    <ns0:row r="49">
      <ns0:c r="A49" s="71" t="s">
        <ns0:v>81</ns0:v>
      </ns0:c>
      <ns0:c r="B49" s="71" t="s">
        <ns0:v>82</ns0:v>
      </ns0:c>
      <ns0:c r="C49" s="71">
        <ns0:v>1</ns0:v>
      </ns0:c>
      <ns0:c r="D49" s="71" t="s">
        <ns0:v>31</ns0:v>
      </ns0:c>
      <ns0:c r="E49" s="71">
        <ns0:v>3</ns0:v>
      </ns0:c>
      <ns0:c r="F49" s="72">
        <ns0:v>107</ns0:v>
      </ns0:c>
      <ns0:c r="G49" s="72">
        <ns0:v>35</ns0:v>
      </ns0:c>
      <ns0:c r="H49" s="72">
        <ns0:v>142</ns0:v>
      </ns0:c>
      <ns0:c r="I49" s="73">
        <ns0:v>537900</ns0:v>
      </ns0:c>
      <ns0:c r="J49" s="71">
        <ns0:v>2026</ns0:v>
      </ns0:c>
      <ns0:c r="K49" s="73">
        <ns0:v>5027.1028037383176</ns0:v>
      </ns0:c>
      <ns0:c r="L49" s="73">
        <ns0:v>3788.0281690140851</ns0:v>
      </ns0:c>
      <ns0:c r="M49" s="74" t="str">
        <ns0:f t="shared" si="7"/>
        <ns0:v>Ativo</ns0:v>
      </ns0:c>
      <ns0:c r="N49" s="74"/>
      <ns0:c r="O49" s="74"/>
      <ns0:c r="P49" s="77"/>
      <ns0:c r="Q49" s="74" t="str">
        <ns0:f t="shared" si="8"/>
        <ns0:v>Benchmark local</ns0:v>
      </ns0:c>
      <ns0:c r="R49" s="74" t="s">
        <ns0:v>32</ns0:v>
      </ns0:c>
      <ns0:c r="S49" s="74"/>
      <ns0:c r="T49" s="74"/>
      <ns0:c r="U49" s="74"/>
      <ns0:c r="V49" s="74"/>
      <ns0:c r="W49" s="76" t="n">
        <ns0:f t="shared" si="9"/>
        <ns0:v>0.35</ns0:v>
      </ns0:c>
      <ns0:c r="X49" s="74" t="str">
        <ns0:f t="shared" si="10"/>
        <ns0:v>C · Benchmark local secundário</ns0:v>
      </ns0:c>
      <ns0:c r="Y49" s="74" t="str">
        <ns0:f t="shared" si="11"/>
        <ns0:v>Baixa</ns0:v>
      </ns0:c>
      <ns0:c r="Z49" s="74" t="str">
        <ns0:v>Benchmark local/contextual; menor comparabilidade com o produto premium atual do The View.</ns0:v>
      </ns0:c>
      <ns0:c r="AA49" s="74" t="str">
        <ns0:f t="shared" si="12"/>
        <ns0:v>Manter apenas como contexto; revalidar preços ativos.</ns0:v>
      </ns0:c>
      <ns0:c r="AB49" s="74" t="str">
        <ns0:f t="shared" si="13"/>
        <ns0:v>Baixa</ns0:v>
      </ns0:c>
    </ns0:row>
    <ns0:row r="50">
      <ns0:c r="A50" s="71" t="s">
        <ns0:v>81</ns0:v>
      </ns0:c>
      <ns0:c r="B50" s="71" t="s">
        <ns0:v>83</ns0:v>
      </ns0:c>
      <ns0:c r="C50" s="71">
        <ns0:v>1</ns0:v>
      </ns0:c>
      <ns0:c r="D50" s="71" t="s">
        <ns0:v>31</ns0:v>
      </ns0:c>
      <ns0:c r="E50" s="71">
        <ns0:v>1</ns0:v>
      </ns0:c>
      <ns0:c r="F50" s="72">
        <ns0:v>107</ns0:v>
      </ns0:c>
      <ns0:c r="G50" s="72">
        <ns0:v>35</ns0:v>
      </ns0:c>
      <ns0:c r="H50" s="72">
        <ns0:v>142</ns0:v>
      </ns0:c>
      <ns0:c r="I50" s="73">
        <ns0:v>425700</ns0:v>
      </ns0:c>
      <ns0:c r="J50" s="71">
        <ns0:v>2024</ns0:v>
      </ns0:c>
      <ns0:c r="K50" s="73">
        <ns0:v>3978.5046728971961</ns0:v>
      </ns0:c>
      <ns0:c r="L50" s="73">
        <ns0:v>2997.8873239436621</ns0:v>
      </ns0:c>
      <ns0:c r="M50" s="74" t="str">
        <ns0:f t="shared" si="7"/>
        <ns0:v>Histórico</ns0:v>
      </ns0:c>
      <ns0:c r="N50" s="74"/>
      <ns0:c r="O50" s="74"/>
      <ns0:c r="P50" s="77"/>
      <ns0:c r="Q50" s="74" t="str">
        <ns0:f t="shared" si="8"/>
        <ns0:v>Benchmark local</ns0:v>
      </ns0:c>
      <ns0:c r="R50" s="74" t="s">
        <ns0:v>32</ns0:v>
      </ns0:c>
      <ns0:c r="S50" s="74"/>
      <ns0:c r="T50" s="74"/>
      <ns0:c r="U50" s="74"/>
      <ns0:c r="V50" s="74"/>
      <ns0:c r="W50" s="76" t="n">
        <ns0:f t="shared" si="9"/>
        <ns0:v>0.2</ns0:v>
      </ns0:c>
      <ns0:c r="X50" s="74" t="str">
        <ns0:f t="shared" si="10"/>
        <ns0:v>C · Histórico/secundário</ns0:v>
      </ns0:c>
      <ns0:c r="Y50" s="74" t="str">
        <ns0:f t="shared" si="11"/>
        <ns0:v>Baixa</ns0:v>
      </ns0:c>
      <ns0:c r="Z50" s="74"/>
      <ns0:c r="AA50" s="74" t="str">
        <ns0:f t="shared" si="12"/>
        <ns0:v>Atualizar preço/status</ns0:v>
      </ns0:c>
      <ns0:c r="AB50" s="74" t="str">
        <ns0:f t="shared" si="13"/>
        <ns0:v>Alta</ns0:v>
      </ns0:c>
    </ns0:row>
    <ns0:row r="51">
      <ns0:c r="A51" s="71" t="s">
        <ns0:v>81</ns0:v>
      </ns0:c>
      <ns0:c r="B51" s="71" t="s">
        <ns0:v>84</ns0:v>
      </ns0:c>
      <ns0:c r="C51" s="71">
        <ns0:v>2</ns0:v>
      </ns0:c>
      <ns0:c r="D51" s="71" t="s">
        <ns0:v>31</ns0:v>
      </ns0:c>
      <ns0:c r="E51" s="71">
        <ns0:v>3</ns0:v>
      </ns0:c>
      <ns0:c r="F51" s="72">
        <ns0:v>107</ns0:v>
      </ns0:c>
      <ns0:c r="G51" s="72">
        <ns0:v>34</ns0:v>
      </ns0:c>
      <ns0:c r="H51" s="72">
        <ns0:v>141</ns0:v>
      </ns0:c>
      <ns0:c r="I51" s="73">
        <ns0:v>482350</ns0:v>
      </ns0:c>
      <ns0:c r="J51" s="71">
        <ns0:v>2026</ns0:v>
      </ns0:c>
      <ns0:c r="K51" s="73">
        <ns0:v>4507.9439252336451</ns0:v>
      </ns0:c>
      <ns0:c r="L51" s="73">
        <ns0:v>3420.921985815603</ns0:v>
      </ns0:c>
      <ns0:c r="M51" s="74" t="str">
        <ns0:f t="shared" si="7"/>
        <ns0:v>Ativo</ns0:v>
      </ns0:c>
      <ns0:c r="N51" s="74"/>
      <ns0:c r="O51" s="74"/>
      <ns0:c r="P51" s="77"/>
      <ns0:c r="Q51" s="74" t="str">
        <ns0:f t="shared" si="8"/>
        <ns0:v>Benchmark local</ns0:v>
      </ns0:c>
      <ns0:c r="R51" s="74" t="s">
        <ns0:v>32</ns0:v>
      </ns0:c>
      <ns0:c r="S51" s="74"/>
      <ns0:c r="T51" s="74"/>
      <ns0:c r="U51" s="74"/>
      <ns0:c r="V51" s="74"/>
      <ns0:c r="W51" s="76" t="n">
        <ns0:f t="shared" si="9"/>
        <ns0:v>0.35</ns0:v>
      </ns0:c>
      <ns0:c r="X51" s="74" t="str">
        <ns0:f t="shared" si="10"/>
        <ns0:v>C · Benchmark local secundário</ns0:v>
      </ns0:c>
      <ns0:c r="Y51" s="74" t="str">
        <ns0:f t="shared" si="11"/>
        <ns0:v>Baixa</ns0:v>
      </ns0:c>
      <ns0:c r="Z51" s="74" t="str">
        <ns0:v>Benchmark local/contextual; menor comparabilidade com o produto premium atual do The View.</ns0:v>
      </ns0:c>
      <ns0:c r="AA51" s="74" t="str">
        <ns0:f t="shared" si="12"/>
        <ns0:v>Manter apenas como contexto; revalidar preços ativos.</ns0:v>
      </ns0:c>
      <ns0:c r="AB51" s="74" t="str">
        <ns0:f t="shared" si="13"/>
        <ns0:v>Baixa</ns0:v>
      </ns0:c>
    </ns0:row>
    <ns0:row r="52">
      <ns0:c r="A52" s="71" t="s">
        <ns0:v>81</ns0:v>
      </ns0:c>
      <ns0:c r="B52" s="71" t="s">
        <ns0:v>85</ns0:v>
      </ns0:c>
      <ns0:c r="C52" s="71">
        <ns0:v>2</ns0:v>
      </ns0:c>
      <ns0:c r="D52" s="71" t="s">
        <ns0:v>31</ns0:v>
      </ns0:c>
      <ns0:c r="E52" s="71">
        <ns0:v>1</ns0:v>
      </ns0:c>
      <ns0:c r="F52" s="72">
        <ns0:v>107</ns0:v>
      </ns0:c>
      <ns0:c r="G52" s="72">
        <ns0:v>34</ns0:v>
      </ns0:c>
      <ns0:c r="H52" s="72">
        <ns0:v>141</ns0:v>
      </ns0:c>
      <ns0:c r="I52" s="73">
        <ns0:v>408100</ns0:v>
      </ns0:c>
      <ns0:c r="J52" s="71">
        <ns0:v>2024</ns0:v>
      </ns0:c>
      <ns0:c r="K52" s="73">
        <ns0:v>3814.0186915887848</ns0:v>
      </ns0:c>
      <ns0:c r="L52" s="73">
        <ns0:v>2894.3262411347519</ns0:v>
      </ns0:c>
      <ns0:c r="M52" s="74" t="str">
        <ns0:f t="shared" si="7"/>
        <ns0:v>Histórico</ns0:v>
      </ns0:c>
      <ns0:c r="N52" s="74"/>
      <ns0:c r="O52" s="74"/>
      <ns0:c r="P52" s="77"/>
      <ns0:c r="Q52" s="74" t="str">
        <ns0:f t="shared" si="8"/>
        <ns0:v>Benchmark local</ns0:v>
      </ns0:c>
      <ns0:c r="R52" s="74" t="s">
        <ns0:v>32</ns0:v>
      </ns0:c>
      <ns0:c r="S52" s="74"/>
      <ns0:c r="T52" s="74"/>
      <ns0:c r="U52" s="74"/>
      <ns0:c r="V52" s="74"/>
      <ns0:c r="W52" s="76" t="n">
        <ns0:f t="shared" si="9"/>
        <ns0:v>0.2</ns0:v>
      </ns0:c>
      <ns0:c r="X52" s="74" t="str">
        <ns0:f t="shared" si="10"/>
        <ns0:v>C · Histórico/secundário</ns0:v>
      </ns0:c>
      <ns0:c r="Y52" s="74" t="str">
        <ns0:f t="shared" si="11"/>
        <ns0:v>Baixa</ns0:v>
      </ns0:c>
      <ns0:c r="Z52" s="74"/>
      <ns0:c r="AA52" s="74" t="str">
        <ns0:f t="shared" si="12"/>
        <ns0:v>Atualizar preço/status</ns0:v>
      </ns0:c>
      <ns0:c r="AB52" s="74" t="str">
        <ns0:f t="shared" si="13"/>
        <ns0:v>Alta</ns0:v>
      </ns0:c>
    </ns0:row>
    <ns0:row r="53">
      <ns0:c r="A53" s="71" t="s">
        <ns0:v>81</ns0:v>
      </ns0:c>
      <ns0:c r="B53" s="71" t="s">
        <ns0:v>86</ns0:v>
      </ns0:c>
      <ns0:c r="C53" s="71">
        <ns0:v>3</ns0:v>
      </ns0:c>
      <ns0:c r="D53" s="71" t="s">
        <ns0:v>31</ns0:v>
      </ns0:c>
      <ns0:c r="E53" s="71">
        <ns0:v>3</ns0:v>
      </ns0:c>
      <ns0:c r="F53" s="72">
        <ns0:v>107</ns0:v>
      </ns0:c>
      <ns0:c r="G53" s="72">
        <ns0:v>34</ns0:v>
      </ns0:c>
      <ns0:c r="H53" s="72">
        <ns0:v>141</ns0:v>
      </ns0:c>
      <ns0:c r="I53" s="73">
        <ns0:v>409750</ns0:v>
      </ns0:c>
      <ns0:c r="J53" s="71">
        <ns0:v>2024</ns0:v>
      </ns0:c>
      <ns0:c r="K53" s="73">
        <ns0:v>3829.439252336449</ns0:v>
      </ns0:c>
      <ns0:c r="L53" s="73">
        <ns0:v>2906.0283687943261</ns0:v>
      </ns0:c>
      <ns0:c r="M53" s="74" t="str">
        <ns0:f t="shared" si="7"/>
        <ns0:v>Histórico</ns0:v>
      </ns0:c>
      <ns0:c r="N53" s="74"/>
      <ns0:c r="O53" s="74"/>
      <ns0:c r="P53" s="77"/>
      <ns0:c r="Q53" s="74" t="str">
        <ns0:f t="shared" si="8"/>
        <ns0:v>Benchmark local</ns0:v>
      </ns0:c>
      <ns0:c r="R53" s="74" t="s">
        <ns0:v>32</ns0:v>
      </ns0:c>
      <ns0:c r="S53" s="74"/>
      <ns0:c r="T53" s="74"/>
      <ns0:c r="U53" s="74"/>
      <ns0:c r="V53" s="74"/>
      <ns0:c r="W53" s="76" t="n">
        <ns0:f t="shared" si="9"/>
        <ns0:v>0.2</ns0:v>
      </ns0:c>
      <ns0:c r="X53" s="74" t="str">
        <ns0:f t="shared" si="10"/>
        <ns0:v>C · Histórico/secundário</ns0:v>
      </ns0:c>
      <ns0:c r="Y53" s="74" t="str">
        <ns0:f t="shared" si="11"/>
        <ns0:v>Baixa</ns0:v>
      </ns0:c>
      <ns0:c r="Z53" s="74"/>
      <ns0:c r="AA53" s="74" t="str">
        <ns0:f t="shared" si="12"/>
        <ns0:v>Atualizar preço/status</ns0:v>
      </ns0:c>
      <ns0:c r="AB53" s="74" t="str">
        <ns0:f t="shared" si="13"/>
        <ns0:v>Alta</ns0:v>
      </ns0:c>
    </ns0:row>
    <ns0:row r="54">
      <ns0:c r="A54" s="71" t="s">
        <ns0:v>81</ns0:v>
      </ns0:c>
      <ns0:c r="B54" s="71" t="s">
        <ns0:v>87</ns0:v>
      </ns0:c>
      <ns0:c r="C54" s="71">
        <ns0:v>3</ns0:v>
      </ns0:c>
      <ns0:c r="D54" s="71" t="s">
        <ns0:v>31</ns0:v>
      </ns0:c>
      <ns0:c r="E54" s="71">
        <ns0:v>1</ns0:v>
      </ns0:c>
      <ns0:c r="F54" s="72">
        <ns0:v>107</ns0:v>
      </ns0:c>
      <ns0:c r="G54" s="72">
        <ns0:v>34</ns0:v>
      </ns0:c>
      <ns0:c r="H54" s="72">
        <ns0:v>141</ns0:v>
      </ns0:c>
      <ns0:c r="I54" s="73">
        <ns0:v>409750</ns0:v>
      </ns0:c>
      <ns0:c r="J54" s="71">
        <ns0:v>2024</ns0:v>
      </ns0:c>
      <ns0:c r="K54" s="73">
        <ns0:v>3829.439252336449</ns0:v>
      </ns0:c>
      <ns0:c r="L54" s="73">
        <ns0:v>2906.0283687943261</ns0:v>
      </ns0:c>
      <ns0:c r="M54" s="74" t="str">
        <ns0:f t="shared" si="7"/>
        <ns0:v>Histórico</ns0:v>
      </ns0:c>
      <ns0:c r="N54" s="74"/>
      <ns0:c r="O54" s="74"/>
      <ns0:c r="P54" s="77"/>
      <ns0:c r="Q54" s="74" t="str">
        <ns0:f t="shared" si="8"/>
        <ns0:v>Benchmark local</ns0:v>
      </ns0:c>
      <ns0:c r="R54" s="74" t="s">
        <ns0:v>32</ns0:v>
      </ns0:c>
      <ns0:c r="S54" s="74"/>
      <ns0:c r="T54" s="74"/>
      <ns0:c r="U54" s="74"/>
      <ns0:c r="V54" s="74"/>
      <ns0:c r="W54" s="76" t="n">
        <ns0:f t="shared" si="9"/>
        <ns0:v>0.2</ns0:v>
      </ns0:c>
      <ns0:c r="X54" s="74" t="str">
        <ns0:f t="shared" si="10"/>
        <ns0:v>C · Histórico/secundário</ns0:v>
      </ns0:c>
      <ns0:c r="Y54" s="74" t="str">
        <ns0:f t="shared" si="11"/>
        <ns0:v>Baixa</ns0:v>
      </ns0:c>
      <ns0:c r="Z54" s="74"/>
      <ns0:c r="AA54" s="74" t="str">
        <ns0:f t="shared" si="12"/>
        <ns0:v>Atualizar preço/status</ns0:v>
      </ns0:c>
      <ns0:c r="AB54" s="74" t="str">
        <ns0:f t="shared" si="13"/>
        <ns0:v>Alta</ns0:v>
      </ns0:c>
    </ns0:row>
    <ns0:row r="55">
      <ns0:c r="A55" s="71" t="s">
        <ns0:v>81</ns0:v>
      </ns0:c>
      <ns0:c r="B55" s="71" t="s">
        <ns0:v>88</ns0:v>
      </ns0:c>
      <ns0:c r="C55" s="71">
        <ns0:v>4</ns0:v>
      </ns0:c>
      <ns0:c r="D55" s="71" t="s">
        <ns0:v>31</ns0:v>
      </ns0:c>
      <ns0:c r="E55" s="71">
        <ns0:v>3</ns0:v>
      </ns0:c>
      <ns0:c r="F55" s="72">
        <ns0:v>107</ns0:v>
      </ns0:c>
      <ns0:c r="G55" s="72">
        <ns0:v>34</ns0:v>
      </ns0:c>
      <ns0:c r="H55" s="72">
        <ns0:v>141</ns0:v>
      </ns0:c>
      <ns0:c r="I55" s="73">
        <ns0:v>420750</ns0:v>
      </ns0:c>
      <ns0:c r="J55" s="71">
        <ns0:v>2024</ns0:v>
      </ns0:c>
      <ns0:c r="K55" s="73">
        <ns0:v>3932.2429906542061</ns0:v>
      </ns0:c>
      <ns0:c r="L55" s="73">
        <ns0:v>2984.0425531914889</ns0:v>
      </ns0:c>
      <ns0:c r="M55" s="74" t="str">
        <ns0:f t="shared" si="7"/>
        <ns0:v>Histórico</ns0:v>
      </ns0:c>
      <ns0:c r="N55" s="74"/>
      <ns0:c r="O55" s="74"/>
      <ns0:c r="P55" s="77"/>
      <ns0:c r="Q55" s="74" t="str">
        <ns0:f t="shared" si="8"/>
        <ns0:v>Benchmark local</ns0:v>
      </ns0:c>
      <ns0:c r="R55" s="74" t="s">
        <ns0:v>32</ns0:v>
      </ns0:c>
      <ns0:c r="S55" s="74"/>
      <ns0:c r="T55" s="74"/>
      <ns0:c r="U55" s="74"/>
      <ns0:c r="V55" s="74"/>
      <ns0:c r="W55" s="76" t="n">
        <ns0:f t="shared" si="9"/>
        <ns0:v>0.2</ns0:v>
      </ns0:c>
      <ns0:c r="X55" s="74" t="str">
        <ns0:f t="shared" si="10"/>
        <ns0:v>C · Histórico/secundário</ns0:v>
      </ns0:c>
      <ns0:c r="Y55" s="74" t="str">
        <ns0:f t="shared" si="11"/>
        <ns0:v>Baixa</ns0:v>
      </ns0:c>
      <ns0:c r="Z55" s="74"/>
      <ns0:c r="AA55" s="74" t="str">
        <ns0:f t="shared" si="12"/>
        <ns0:v>Atualizar preço/status</ns0:v>
      </ns0:c>
      <ns0:c r="AB55" s="74" t="str">
        <ns0:f t="shared" si="13"/>
        <ns0:v>Alta</ns0:v>
      </ns0:c>
    </ns0:row>
    <ns0:row r="56">
      <ns0:c r="A56" s="71" t="s">
        <ns0:v>81</ns0:v>
      </ns0:c>
      <ns0:c r="B56" s="71" t="s">
        <ns0:v>89</ns0:v>
      </ns0:c>
      <ns0:c r="C56" s="71">
        <ns0:v>4</ns0:v>
      </ns0:c>
      <ns0:c r="D56" s="71" t="s">
        <ns0:v>31</ns0:v>
      </ns0:c>
      <ns0:c r="E56" s="71">
        <ns0:v>1</ns0:v>
      </ns0:c>
      <ns0:c r="F56" s="72">
        <ns0:v>107</ns0:v>
      </ns0:c>
      <ns0:c r="G56" s="72">
        <ns0:v>34</ns0:v>
      </ns0:c>
      <ns0:c r="H56" s="72">
        <ns0:v>141</ns0:v>
      </ns0:c>
      <ns0:c r="I56" s="73">
        <ns0:v>420750</ns0:v>
      </ns0:c>
      <ns0:c r="J56" s="71">
        <ns0:v>2024</ns0:v>
      </ns0:c>
      <ns0:c r="K56" s="73">
        <ns0:v>3932.2429906542061</ns0:v>
      </ns0:c>
      <ns0:c r="L56" s="73">
        <ns0:v>2984.0425531914889</ns0:v>
      </ns0:c>
      <ns0:c r="M56" s="74" t="str">
        <ns0:f t="shared" si="7"/>
        <ns0:v>Histórico</ns0:v>
      </ns0:c>
      <ns0:c r="N56" s="74"/>
      <ns0:c r="O56" s="74"/>
      <ns0:c r="P56" s="77"/>
      <ns0:c r="Q56" s="74" t="str">
        <ns0:f t="shared" si="8"/>
        <ns0:v>Benchmark local</ns0:v>
      </ns0:c>
      <ns0:c r="R56" s="74" t="s">
        <ns0:v>32</ns0:v>
      </ns0:c>
      <ns0:c r="S56" s="74"/>
      <ns0:c r="T56" s="74"/>
      <ns0:c r="U56" s="74"/>
      <ns0:c r="V56" s="74"/>
      <ns0:c r="W56" s="76" t="n">
        <ns0:f t="shared" si="9"/>
        <ns0:v>0.2</ns0:v>
      </ns0:c>
      <ns0:c r="X56" s="74" t="str">
        <ns0:f t="shared" si="10"/>
        <ns0:v>C · Histórico/secundário</ns0:v>
      </ns0:c>
      <ns0:c r="Y56" s="74" t="str">
        <ns0:f t="shared" si="11"/>
        <ns0:v>Baixa</ns0:v>
      </ns0:c>
      <ns0:c r="Z56" s="74"/>
      <ns0:c r="AA56" s="74" t="str">
        <ns0:f t="shared" si="12"/>
        <ns0:v>Atualizar preço/status</ns0:v>
      </ns0:c>
      <ns0:c r="AB56" s="74" t="str">
        <ns0:f t="shared" si="13"/>
        <ns0:v>Alta</ns0:v>
      </ns0:c>
    </ns0:row>
    <ns0:row r="57">
      <ns0:c r="A57" s="71" t="s">
        <ns0:v>81</ns0:v>
      </ns0:c>
      <ns0:c r="B57" s="71" t="s">
        <ns0:v>82</ns0:v>
      </ns0:c>
      <ns0:c r="C57" s="71">
        <ns0:v>1</ns0:v>
      </ns0:c>
      <ns0:c r="D57" s="71" t="s">
        <ns0:v>64</ns0:v>
      </ns0:c>
      <ns0:c r="E57" s="71">
        <ns0:v>3</ns0:v>
      </ns0:c>
      <ns0:c r="F57" s="72">
        <ns0:v>124</ns0:v>
      </ns0:c>
      <ns0:c r="G57" s="72">
        <ns0:v>74</ns0:v>
      </ns0:c>
      <ns0:c r="H57" s="72">
        <ns0:v>198</ns0:v>
      </ns0:c>
      <ns0:c r="I57" s="73">
        <ns0:v>513150</ns0:v>
      </ns0:c>
      <ns0:c r="J57" s="71">
        <ns0:v>2024</ns0:v>
      </ns0:c>
      <ns0:c r="K57" s="73">
        <ns0:v>4138.3064516129034</ns0:v>
      </ns0:c>
      <ns0:c r="L57" s="73">
        <ns0:v>2591.666666666667</ns0:v>
      </ns0:c>
      <ns0:c r="M57" s="74" t="str">
        <ns0:f t="shared" si="7"/>
        <ns0:v>Histórico</ns0:v>
      </ns0:c>
      <ns0:c r="N57" s="74"/>
      <ns0:c r="O57" s="74"/>
      <ns0:c r="P57" s="77"/>
      <ns0:c r="Q57" s="74" t="str">
        <ns0:f t="shared" si="8"/>
        <ns0:v>Benchmark local</ns0:v>
      </ns0:c>
      <ns0:c r="R57" s="74" t="s">
        <ns0:v>32</ns0:v>
      </ns0:c>
      <ns0:c r="S57" s="74"/>
      <ns0:c r="T57" s="74"/>
      <ns0:c r="U57" s="74"/>
      <ns0:c r="V57" s="74"/>
      <ns0:c r="W57" s="76" t="n">
        <ns0:f t="shared" si="9"/>
        <ns0:v>0.2</ns0:v>
      </ns0:c>
      <ns0:c r="X57" s="74" t="str">
        <ns0:f t="shared" si="10"/>
        <ns0:v>C · Histórico/secundário</ns0:v>
      </ns0:c>
      <ns0:c r="Y57" s="74" t="str">
        <ns0:f t="shared" si="11"/>
        <ns0:v>Baixa</ns0:v>
      </ns0:c>
      <ns0:c r="Z57" s="74"/>
      <ns0:c r="AA57" s="74" t="str">
        <ns0:f t="shared" si="12"/>
        <ns0:v>Atualizar preço/status</ns0:v>
      </ns0:c>
      <ns0:c r="AB57" s="74" t="str">
        <ns0:f t="shared" si="13"/>
        <ns0:v>Alta</ns0:v>
      </ns0:c>
    </ns0:row>
    <ns0:row r="58">
      <ns0:c r="A58" s="71" t="s">
        <ns0:v>81</ns0:v>
      </ns0:c>
      <ns0:c r="B58" s="71" t="s">
        <ns0:v>83</ns0:v>
      </ns0:c>
      <ns0:c r="C58" s="71">
        <ns0:v>1</ns0:v>
      </ns0:c>
      <ns0:c r="D58" s="71" t="s">
        <ns0:v>31</ns0:v>
      </ns0:c>
      <ns0:c r="E58" s="71">
        <ns0:v>4</ns0:v>
      </ns0:c>
      <ns0:c r="F58" s="72">
        <ns0:v>88</ns0:v>
      </ns0:c>
      <ns0:c r="G58" s="72">
        <ns0:v>3</ns0:v>
      </ns0:c>
      <ns0:c r="H58" s="72">
        <ns0:v>91</ns0:v>
      </ns0:c>
      <ns0:c r="I58" s="73">
        <ns0:v>331650</ns0:v>
      </ns0:c>
      <ns0:c r="J58" s="71">
        <ns0:v>2024</ns0:v>
      </ns0:c>
      <ns0:c r="K58" s="73">
        <ns0:v>3768.75</ns0:v>
      </ns0:c>
      <ns0:c r="L58" s="73">
        <ns0:v>3644.505494505494</ns0:v>
      </ns0:c>
      <ns0:c r="M58" s="74" t="str">
        <ns0:f t="shared" si="7"/>
        <ns0:v>Histórico</ns0:v>
      </ns0:c>
      <ns0:c r="N58" s="74"/>
      <ns0:c r="O58" s="74"/>
      <ns0:c r="P58" s="77"/>
      <ns0:c r="Q58" s="74" t="str">
        <ns0:f t="shared" si="8"/>
        <ns0:v>Benchmark local</ns0:v>
      </ns0:c>
      <ns0:c r="R58" s="74" t="s">
        <ns0:v>32</ns0:v>
      </ns0:c>
      <ns0:c r="S58" s="74"/>
      <ns0:c r="T58" s="74"/>
      <ns0:c r="U58" s="74"/>
      <ns0:c r="V58" s="74"/>
      <ns0:c r="W58" s="76" t="n">
        <ns0:f t="shared" si="9"/>
        <ns0:v>0.2</ns0:v>
      </ns0:c>
      <ns0:c r="X58" s="74" t="str">
        <ns0:f t="shared" si="10"/>
        <ns0:v>C · Histórico/secundário</ns0:v>
      </ns0:c>
      <ns0:c r="Y58" s="74" t="str">
        <ns0:f t="shared" si="11"/>
        <ns0:v>Baixa</ns0:v>
      </ns0:c>
      <ns0:c r="Z58" s="74"/>
      <ns0:c r="AA58" s="74" t="str">
        <ns0:f t="shared" si="12"/>
        <ns0:v>Atualizar preço/status</ns0:v>
      </ns0:c>
      <ns0:c r="AB58" s="74" t="str">
        <ns0:f t="shared" si="13"/>
        <ns0:v>Alta</ns0:v>
      </ns0:c>
    </ns0:row>
    <ns0:row r="59">
      <ns0:c r="A59" s="71" t="s">
        <ns0:v>81</ns0:v>
      </ns0:c>
      <ns0:c r="B59" s="71" t="s">
        <ns0:v>90</ns0:v>
      </ns0:c>
      <ns0:c r="C59" s="71">
        <ns0:v>1</ns0:v>
      </ns0:c>
      <ns0:c r="D59" s="71" t="s">
        <ns0:v>31</ns0:v>
      </ns0:c>
      <ns0:c r="E59" s="71">
        <ns0:v>4</ns0:v>
      </ns0:c>
      <ns0:c r="F59" s="72">
        <ns0:v>91</ns0:v>
      </ns0:c>
      <ns0:c r="G59" s="72">
        <ns0:v>3</ns0:v>
      </ns0:c>
      <ns0:c r="H59" s="72">
        <ns0:v>94</ns0:v>
      </ns0:c>
      <ns0:c r="I59" s="73">
        <ns0:v>341550</ns0:v>
      </ns0:c>
      <ns0:c r="J59" s="71">
        <ns0:v>2024</ns0:v>
      </ns0:c>
      <ns0:c r="K59" s="73">
        <ns0:v>3753.2967032967031</ns0:v>
      </ns0:c>
      <ns0:c r="L59" s="73">
        <ns0:v>3633.510638297872</ns0:v>
      </ns0:c>
      <ns0:c r="M59" s="74" t="str">
        <ns0:f t="shared" si="7"/>
        <ns0:v>Histórico</ns0:v>
      </ns0:c>
      <ns0:c r="N59" s="74"/>
      <ns0:c r="O59" s="74"/>
      <ns0:c r="P59" s="77"/>
      <ns0:c r="Q59" s="74" t="str">
        <ns0:f t="shared" si="8"/>
        <ns0:v>Benchmark local</ns0:v>
      </ns0:c>
      <ns0:c r="R59" s="74" t="s">
        <ns0:v>32</ns0:v>
      </ns0:c>
      <ns0:c r="S59" s="74"/>
      <ns0:c r="T59" s="74"/>
      <ns0:c r="U59" s="74"/>
      <ns0:c r="V59" s="74"/>
      <ns0:c r="W59" s="76" t="n">
        <ns0:f t="shared" si="9"/>
        <ns0:v>0.2</ns0:v>
      </ns0:c>
      <ns0:c r="X59" s="74" t="str">
        <ns0:f t="shared" si="10"/>
        <ns0:v>C · Histórico/secundário</ns0:v>
      </ns0:c>
      <ns0:c r="Y59" s="74" t="str">
        <ns0:f t="shared" si="11"/>
        <ns0:v>Baixa</ns0:v>
      </ns0:c>
      <ns0:c r="Z59" s="74"/>
      <ns0:c r="AA59" s="74" t="str">
        <ns0:f t="shared" si="12"/>
        <ns0:v>Atualizar preço/status</ns0:v>
      </ns0:c>
      <ns0:c r="AB59" s="74" t="str">
        <ns0:f t="shared" si="13"/>
        <ns0:v>Alta</ns0:v>
      </ns0:c>
    </ns0:row>
    <ns0:row r="60">
      <ns0:c r="A60" s="71" t="s">
        <ns0:v>81</ns0:v>
      </ns0:c>
      <ns0:c r="B60" s="71" t="s">
        <ns0:v>91</ns0:v>
      </ns0:c>
      <ns0:c r="C60" s="71">
        <ns0:v>1</ns0:v>
      </ns0:c>
      <ns0:c r="D60" s="71" t="s">
        <ns0:v>64</ns0:v>
      </ns0:c>
      <ns0:c r="E60" s="71">
        <ns0:v>1</ns0:v>
      </ns0:c>
      <ns0:c r="F60" s="72">
        <ns0:v>124</ns0:v>
      </ns0:c>
      <ns0:c r="G60" s="72">
        <ns0:v>85</ns0:v>
      </ns0:c>
      <ns0:c r="H60" s="72">
        <ns0:v>209</ns0:v>
      </ns0:c>
      <ns0:c r="I60" s="73">
        <ns0:v>518100</ns0:v>
      </ns0:c>
      <ns0:c r="J60" s="71">
        <ns0:v>2024</ns0:v>
      </ns0:c>
      <ns0:c r="K60" s="73">
        <ns0:v>4178.2258064516127</ns0:v>
      </ns0:c>
      <ns0:c r="L60" s="73">
        <ns0:v>2478.947368421052</ns0:v>
      </ns0:c>
      <ns0:c r="M60" s="74" t="str">
        <ns0:f t="shared" si="7"/>
        <ns0:v>Histórico</ns0:v>
      </ns0:c>
      <ns0:c r="N60" s="74"/>
      <ns0:c r="O60" s="74"/>
      <ns0:c r="P60" s="77"/>
      <ns0:c r="Q60" s="74" t="str">
        <ns0:f t="shared" si="8"/>
        <ns0:v>Benchmark local</ns0:v>
      </ns0:c>
      <ns0:c r="R60" s="74" t="s">
        <ns0:v>32</ns0:v>
      </ns0:c>
      <ns0:c r="S60" s="74"/>
      <ns0:c r="T60" s="74"/>
      <ns0:c r="U60" s="74"/>
      <ns0:c r="V60" s="74"/>
      <ns0:c r="W60" s="76" t="n">
        <ns0:f t="shared" si="9"/>
        <ns0:v>0.2</ns0:v>
      </ns0:c>
      <ns0:c r="X60" s="74" t="str">
        <ns0:f t="shared" si="10"/>
        <ns0:v>C · Histórico/secundário</ns0:v>
      </ns0:c>
      <ns0:c r="Y60" s="74" t="str">
        <ns0:f t="shared" si="11"/>
        <ns0:v>Baixa</ns0:v>
      </ns0:c>
      <ns0:c r="Z60" s="74"/>
      <ns0:c r="AA60" s="74" t="str">
        <ns0:f t="shared" si="12"/>
        <ns0:v>Atualizar preço/status</ns0:v>
      </ns0:c>
      <ns0:c r="AB60" s="74" t="str">
        <ns0:f t="shared" si="13"/>
        <ns0:v>Alta</ns0:v>
      </ns0:c>
    </ns0:row>
    <ns0:row r="61">
      <ns0:c r="A61" s="71" t="s">
        <ns0:v>81</ns0:v>
      </ns0:c>
      <ns0:c r="B61" s="71" t="s">
        <ns0:v>92</ns0:v>
      </ns0:c>
      <ns0:c r="C61" s="71">
        <ns0:v>1</ns0:v>
      </ns0:c>
      <ns0:c r="D61" s="71" t="s">
        <ns0:v>31</ns0:v>
      </ns0:c>
      <ns0:c r="E61" s="71">
        <ns0:v>2</ns0:v>
      </ns0:c>
      <ns0:c r="F61" s="72">
        <ns0:v>83</ns0:v>
      </ns0:c>
      <ns0:c r="G61" s="72">
        <ns0:v>108</ns0:v>
      </ns0:c>
      <ns0:c r="H61" s="72">
        <ns0:v>191</ns0:v>
      </ns0:c>
      <ns0:c r="I61" s="73">
        <ns0:v>404250</ns0:v>
      </ns0:c>
      <ns0:c r="J61" s="71">
        <ns0:v>2024</ns0:v>
      </ns0:c>
      <ns0:c r="K61" s="73">
        <ns0:v>4870.4819277108436</ns0:v>
      </ns0:c>
      <ns0:c r="L61" s="73">
        <ns0:v>2116.4921465968591</ns0:v>
      </ns0:c>
      <ns0:c r="M61" s="74" t="str">
        <ns0:f t="shared" si="7"/>
        <ns0:v>Histórico</ns0:v>
      </ns0:c>
      <ns0:c r="N61" s="74"/>
      <ns0:c r="O61" s="74"/>
      <ns0:c r="P61" s="77"/>
      <ns0:c r="Q61" s="74" t="str">
        <ns0:f t="shared" si="8"/>
        <ns0:v>Benchmark local</ns0:v>
      </ns0:c>
      <ns0:c r="R61" s="74" t="s">
        <ns0:v>32</ns0:v>
      </ns0:c>
      <ns0:c r="S61" s="74"/>
      <ns0:c r="T61" s="74"/>
      <ns0:c r="U61" s="74"/>
      <ns0:c r="V61" s="74"/>
      <ns0:c r="W61" s="76" t="n">
        <ns0:f t="shared" si="9"/>
        <ns0:v>0.2</ns0:v>
      </ns0:c>
      <ns0:c r="X61" s="74" t="str">
        <ns0:f t="shared" si="10"/>
        <ns0:v>C · Histórico/secundário</ns0:v>
      </ns0:c>
      <ns0:c r="Y61" s="74" t="str">
        <ns0:f t="shared" si="11"/>
        <ns0:v>Baixa</ns0:v>
      </ns0:c>
      <ns0:c r="Z61" s="74"/>
      <ns0:c r="AA61" s="74" t="str">
        <ns0:f t="shared" si="12"/>
        <ns0:v>Atualizar preço/status</ns0:v>
      </ns0:c>
      <ns0:c r="AB61" s="74" t="str">
        <ns0:f t="shared" si="13"/>
        <ns0:v>Alta</ns0:v>
      </ns0:c>
    </ns0:row>
    <ns0:row r="62">
      <ns0:c r="A62" s="71" t="s">
        <ns0:v>81</ns0:v>
      </ns0:c>
      <ns0:c r="B62" s="71" t="s">
        <ns0:v>93</ns0:v>
      </ns0:c>
      <ns0:c r="C62" s="71">
        <ns0:v>1</ns0:v>
      </ns0:c>
      <ns0:c r="D62" s="71" t="s">
        <ns0:v>31</ns0:v>
      </ns0:c>
      <ns0:c r="E62" s="71">
        <ns0:v>2</ns0:v>
      </ns0:c>
      <ns0:c r="F62" s="72">
        <ns0:v>83</ns0:v>
      </ns0:c>
      <ns0:c r="G62" s="72">
        <ns0:v>102</ns0:v>
      </ns0:c>
      <ns0:c r="H62" s="72">
        <ns0:v>185</ns0:v>
      </ns0:c>
      <ns0:c r="I62" s="73">
        <ns0:v>402600</ns0:v>
      </ns0:c>
      <ns0:c r="J62" s="71">
        <ns0:v>2024</ns0:v>
      </ns0:c>
      <ns0:c r="K62" s="73">
        <ns0:v>4850.6024096385536</ns0:v>
      </ns0:c>
      <ns0:c r="L62" s="73">
        <ns0:v>2176.2162162162158</ns0:v>
      </ns0:c>
      <ns0:c r="M62" s="74" t="str">
        <ns0:f t="shared" si="7"/>
        <ns0:v>Histórico</ns0:v>
      </ns0:c>
      <ns0:c r="N62" s="74"/>
      <ns0:c r="O62" s="74"/>
      <ns0:c r="P62" s="77"/>
      <ns0:c r="Q62" s="74" t="str">
        <ns0:f t="shared" si="8"/>
        <ns0:v>Benchmark local</ns0:v>
      </ns0:c>
      <ns0:c r="R62" s="74" t="s">
        <ns0:v>32</ns0:v>
      </ns0:c>
      <ns0:c r="S62" s="74"/>
      <ns0:c r="T62" s="74"/>
      <ns0:c r="U62" s="74"/>
      <ns0:c r="V62" s="74"/>
      <ns0:c r="W62" s="76" t="n">
        <ns0:f t="shared" si="9"/>
        <ns0:v>0.2</ns0:v>
      </ns0:c>
      <ns0:c r="X62" s="74" t="str">
        <ns0:f t="shared" si="10"/>
        <ns0:v>C · Histórico/secundário</ns0:v>
      </ns0:c>
      <ns0:c r="Y62" s="74" t="str">
        <ns0:f t="shared" si="11"/>
        <ns0:v>Baixa</ns0:v>
      </ns0:c>
      <ns0:c r="Z62" s="74"/>
      <ns0:c r="AA62" s="74" t="str">
        <ns0:f t="shared" si="12"/>
        <ns0:v>Atualizar preço/status</ns0:v>
      </ns0:c>
      <ns0:c r="AB62" s="74" t="str">
        <ns0:f t="shared" si="13"/>
        <ns0:v>Alta</ns0:v>
      </ns0:c>
    </ns0:row>
    <ns0:row r="63">
      <ns0:c r="A63" s="71" t="s">
        <ns0:v>81</ns0:v>
      </ns0:c>
      <ns0:c r="B63" s="71" t="s">
        <ns0:v>84</ns0:v>
      </ns0:c>
      <ns0:c r="C63" s="71">
        <ns0:v>2</ns0:v>
      </ns0:c>
      <ns0:c r="D63" s="71" t="s">
        <ns0:v>64</ns0:v>
      </ns0:c>
      <ns0:c r="E63" s="71">
        <ns0:v>3</ns0:v>
      </ns0:c>
      <ns0:c r="F63" s="72">
        <ns0:v>124</ns0:v>
      </ns0:c>
      <ns0:c r="G63" s="72">
        <ns0:v>29</ns0:v>
      </ns0:c>
      <ns0:c r="H63" s="72">
        <ns0:v>153</ns0:v>
      </ns0:c>
      <ns0:c r="I63" s="73">
        <ns0:v>502150</ns0:v>
      </ns0:c>
      <ns0:c r="J63" s="71">
        <ns0:v>2026</ns0:v>
      </ns0:c>
      <ns0:c r="K63" s="73">
        <ns0:v>4049.5967741935478</ns0:v>
      </ns0:c>
      <ns0:c r="L63" s="73">
        <ns0:v>3282.0261437908498</ns0:v>
      </ns0:c>
      <ns0:c r="M63" s="74" t="str">
        <ns0:f t="shared" si="7"/>
        <ns0:v>Ativo</ns0:v>
      </ns0:c>
      <ns0:c r="N63" s="74"/>
      <ns0:c r="O63" s="74"/>
      <ns0:c r="P63" s="77"/>
      <ns0:c r="Q63" s="74" t="str">
        <ns0:f t="shared" si="8"/>
        <ns0:v>Benchmark local</ns0:v>
      </ns0:c>
      <ns0:c r="R63" s="74" t="s">
        <ns0:v>32</ns0:v>
      </ns0:c>
      <ns0:c r="S63" s="74"/>
      <ns0:c r="T63" s="74"/>
      <ns0:c r="U63" s="74"/>
      <ns0:c r="V63" s="74"/>
      <ns0:c r="W63" s="76" t="n">
        <ns0:f t="shared" si="9"/>
        <ns0:v>0.35</ns0:v>
      </ns0:c>
      <ns0:c r="X63" s="74" t="str">
        <ns0:f t="shared" si="10"/>
        <ns0:v>C · Benchmark local secundário</ns0:v>
      </ns0:c>
      <ns0:c r="Y63" s="74" t="str">
        <ns0:f t="shared" si="11"/>
        <ns0:v>Baixa</ns0:v>
      </ns0:c>
      <ns0:c r="Z63" s="74" t="str">
        <ns0:v>Benchmark local/contextual; menor comparabilidade com o produto premium atual do The View.</ns0:v>
      </ns0:c>
      <ns0:c r="AA63" s="74" t="str">
        <ns0:f t="shared" si="12"/>
        <ns0:v>Manter apenas como contexto; revalidar preços ativos.</ns0:v>
      </ns0:c>
      <ns0:c r="AB63" s="74" t="str">
        <ns0:f t="shared" si="13"/>
        <ns0:v>Baixa</ns0:v>
      </ns0:c>
    </ns0:row>
    <ns0:row r="64">
      <ns0:c r="A64" s="71" t="s">
        <ns0:v>81</ns0:v>
      </ns0:c>
      <ns0:c r="B64" s="71" t="s">
        <ns0:v>85</ns0:v>
      </ns0:c>
      <ns0:c r="C64" s="71">
        <ns0:v>2</ns0:v>
      </ns0:c>
      <ns0:c r="D64" s="71" t="s">
        <ns0:v>31</ns0:v>
      </ns0:c>
      <ns0:c r="E64" s="71">
        <ns0:v>4</ns0:v>
      </ns0:c>
      <ns0:c r="F64" s="72">
        <ns0:v>91</ns0:v>
      </ns0:c>
      <ns0:c r="G64" s="72">
        <ns0:v>24</ns0:v>
      </ns0:c>
      <ns0:c r="H64" s="72">
        <ns0:v>115</ns0:v>
      </ns0:c>
      <ns0:c r="I64" s="73">
        <ns0:v>369600</ns0:v>
      </ns0:c>
      <ns0:c r="J64" s="71">
        <ns0:v>2024</ns0:v>
      </ns0:c>
      <ns0:c r="K64" s="73">
        <ns0:v>4061.538461538461</ns0:v>
      </ns0:c>
      <ns0:c r="L64" s="73">
        <ns0:v>3213.913043478261</ns0:v>
      </ns0:c>
      <ns0:c r="M64" s="74" t="str">
        <ns0:f t="shared" si="7"/>
        <ns0:v>Histórico</ns0:v>
      </ns0:c>
      <ns0:c r="N64" s="74"/>
      <ns0:c r="O64" s="74"/>
      <ns0:c r="P64" s="77"/>
      <ns0:c r="Q64" s="74" t="str">
        <ns0:f t="shared" si="8"/>
        <ns0:v>Benchmark local</ns0:v>
      </ns0:c>
      <ns0:c r="R64" s="74" t="s">
        <ns0:v>32</ns0:v>
      </ns0:c>
      <ns0:c r="S64" s="74"/>
      <ns0:c r="T64" s="74"/>
      <ns0:c r="U64" s="74"/>
      <ns0:c r="V64" s="74"/>
      <ns0:c r="W64" s="76" t="n">
        <ns0:f t="shared" si="9"/>
        <ns0:v>0.2</ns0:v>
      </ns0:c>
      <ns0:c r="X64" s="74" t="str">
        <ns0:f t="shared" si="10"/>
        <ns0:v>C · Histórico/secundário</ns0:v>
      </ns0:c>
      <ns0:c r="Y64" s="74" t="str">
        <ns0:f t="shared" si="11"/>
        <ns0:v>Baixa</ns0:v>
      </ns0:c>
      <ns0:c r="Z64" s="74"/>
      <ns0:c r="AA64" s="74" t="str">
        <ns0:f t="shared" si="12"/>
        <ns0:v>Atualizar preço/status</ns0:v>
      </ns0:c>
      <ns0:c r="AB64" s="74" t="str">
        <ns0:f t="shared" si="13"/>
        <ns0:v>Alta</ns0:v>
      </ns0:c>
    </ns0:row>
    <ns0:row r="65">
      <ns0:c r="A65" s="71" t="s">
        <ns0:v>81</ns0:v>
      </ns0:c>
      <ns0:c r="B65" s="71" t="s">
        <ns0:v>94</ns0:v>
      </ns0:c>
      <ns0:c r="C65" s="71">
        <ns0:v>2</ns0:v>
      </ns0:c>
      <ns0:c r="D65" s="71" t="s">
        <ns0:v>31</ns0:v>
      </ns0:c>
      <ns0:c r="E65" s="71">
        <ns0:v>4</ns0:v>
      </ns0:c>
      <ns0:c r="F65" s="72">
        <ns0:v>93</ns0:v>
      </ns0:c>
      <ns0:c r="G65" s="72">
        <ns0:v>24</ns0:v>
      </ns0:c>
      <ns0:c r="H65" s="72">
        <ns0:v>117</ns0:v>
      </ns0:c>
      <ns0:c r="I65" s="73">
        <ns0:v>376200</ns0:v>
      </ns0:c>
      <ns0:c r="J65" s="71">
        <ns0:v>2024</ns0:v>
      </ns0:c>
      <ns0:c r="K65" s="73">
        <ns0:v>4045.16129032258</ns0:v>
      </ns0:c>
      <ns0:c r="L65" s="73">
        <ns0:v>3215.3846153846148</ns0:v>
      </ns0:c>
      <ns0:c r="M65" s="74" t="str">
        <ns0:f t="shared" si="7"/>
        <ns0:v>Histórico</ns0:v>
      </ns0:c>
      <ns0:c r="N65" s="74"/>
      <ns0:c r="O65" s="74"/>
      <ns0:c r="P65" s="77"/>
      <ns0:c r="Q65" s="74" t="str">
        <ns0:f t="shared" si="8"/>
        <ns0:v>Benchmark local</ns0:v>
      </ns0:c>
      <ns0:c r="R65" s="74" t="s">
        <ns0:v>32</ns0:v>
      </ns0:c>
      <ns0:c r="S65" s="74"/>
      <ns0:c r="T65" s="74"/>
      <ns0:c r="U65" s="74"/>
      <ns0:c r="V65" s="74"/>
      <ns0:c r="W65" s="76" t="n">
        <ns0:f t="shared" si="9"/>
        <ns0:v>0.2</ns0:v>
      </ns0:c>
      <ns0:c r="X65" s="74" t="str">
        <ns0:f t="shared" si="10"/>
        <ns0:v>C · Histórico/secundário</ns0:v>
      </ns0:c>
      <ns0:c r="Y65" s="74" t="str">
        <ns0:f t="shared" si="11"/>
        <ns0:v>Baixa</ns0:v>
      </ns0:c>
      <ns0:c r="Z65" s="74"/>
      <ns0:c r="AA65" s="74" t="str">
        <ns0:f t="shared" si="12"/>
        <ns0:v>Atualizar preço/status</ns0:v>
      </ns0:c>
      <ns0:c r="AB65" s="74" t="str">
        <ns0:f t="shared" si="13"/>
        <ns0:v>Alta</ns0:v>
      </ns0:c>
    </ns0:row>
    <ns0:row r="66">
      <ns0:c r="A66" s="71" t="s">
        <ns0:v>81</ns0:v>
      </ns0:c>
      <ns0:c r="B66" s="71" t="s">
        <ns0:v>95</ns0:v>
      </ns0:c>
      <ns0:c r="C66" s="71">
        <ns0:v>2</ns0:v>
      </ns0:c>
      <ns0:c r="D66" s="71" t="s">
        <ns0:v>64</ns0:v>
      </ns0:c>
      <ns0:c r="E66" s="71">
        <ns0:v>1</ns0:v>
      </ns0:c>
      <ns0:c r="F66" s="72">
        <ns0:v>124</ns0:v>
      </ns0:c>
      <ns0:c r="G66" s="72">
        <ns0:v>29</ns0:v>
      </ns0:c>
      <ns0:c r="H66" s="72">
        <ns0:v>153</ns0:v>
      </ns0:c>
      <ns0:c r="I66" s="73">
        <ns0:v>482350</ns0:v>
      </ns0:c>
      <ns0:c r="J66" s="71">
        <ns0:v>2026</ns0:v>
      </ns0:c>
      <ns0:c r="K66" s="73">
        <ns0:v>3889.9193548387102</ns0:v>
      </ns0:c>
      <ns0:c r="L66" s="73">
        <ns0:v>3152.6143790849669</ns0:v>
      </ns0:c>
      <ns0:c r="M66" s="74" t="str">
        <ns0:f t="shared" ref="M66:M97" si="14">IF(A66="The View","Projeto",IF(J66&gt;=2026,"Ativo",IF(J66=2025,"Rever","Histórico")))</ns0:f>
        <ns0:v>Ativo</ns0:v>
      </ns0:c>
      <ns0:c r="N66" s="74"/>
      <ns0:c r="O66" s="74"/>
      <ns0:c r="P66" s="77"/>
      <ns0:c r="Q66" s="74" t="str">
        <ns0:f t="shared" si="8"/>
        <ns0:v>Benchmark local</ns0:v>
      </ns0:c>
      <ns0:c r="R66" s="74" t="s">
        <ns0:v>32</ns0:v>
      </ns0:c>
      <ns0:c r="S66" s="74"/>
      <ns0:c r="T66" s="74"/>
      <ns0:c r="U66" s="74"/>
      <ns0:c r="V66" s="74"/>
      <ns0:c r="W66" s="76" t="n">
        <ns0:f t="shared" ref="W66:W97" si="15">IF(A66="The View",1,MAX(0.25,MIN(1,IF(J66&gt;=2026,1,IF(J66=2025,0.8,IF(J66=2024,0.45,0.3)))*IF(Q66="Premium waterfront/marina",1,IF(Q66="Benchmark local",0.7,0.6))*IF(M66="Vendido",0.65,IF(M66="Reservado",0.8,IF(M66="Histórico",0.55,1))))))</ns0:f>
        <ns0:v>0.35</ns0:v>
      </ns0:c>
      <ns0:c r="X66" s="74" t="str">
        <ns0:f t="shared" ref="X66:X97" si="16">IF(A66="The View","Projeto",IF(W66&gt;=0.85,"A · Premium ativo",IF(W66&gt;=0.55,"B · Benchmark local","C · Histórico/secundário")))</ns0:f>
        <ns0:v>C · Benchmark local secundário</ns0:v>
      </ns0:c>
      <ns0:c r="Y66" s="74" t="str">
        <ns0:f t="shared" ref="Y66:Y97" si="17">IF(A66="The View","N/A",IF(AND(N66&lt;&gt;"",O66&lt;&gt;"",P66&lt;&gt;""),"Alta",IF(OR(N66&lt;&gt;"",O66&lt;&gt;"",P66&lt;&gt;""),"Média","Baixa")))</ns0:f>
        <ns0:v>Baixa</ns0:v>
      </ns0:c>
      <ns0:c r="Z66" s="74" t="str">
        <ns0:v>Benchmark local/contextual; menor comparabilidade com o produto premium atual do The View.</ns0:v>
      </ns0:c>
      <ns0:c r="AA66" s="74" t="str">
        <ns0:f t="shared" ref="AA66:AA97" si="18">IF(A66="The View","Manter",IF(J66&lt;2026,"Atualizar preço/status",IF(Y66="Baixa","Adicionar fonte/URL/data",IF(W66&lt;0.55,"Rever comparabilidade","OK"))))</ns0:f>
        <ns0:v>Manter apenas como contexto; revalidar preços ativos.</ns0:v>
      </ns0:c>
      <ns0:c r="AB66" s="74" t="str">
        <ns0:f t="shared" ref="AB66:AB97" si="19">IF(A66="The View","",IF(OR(J66&lt;2026,Y66="Baixa"),"Alta",IF(W66&lt;0.55,"Média","Baixa")))</ns0:f>
        <ns0:v>Baixa</ns0:v>
      </ns0:c>
    </ns0:row>
    <ns0:row r="67">
      <ns0:c r="A67" s="71" t="s">
        <ns0:v>81</ns0:v>
      </ns0:c>
      <ns0:c r="B67" s="71" t="s">
        <ns0:v>96</ns0:v>
      </ns0:c>
      <ns0:c r="C67" s="71">
        <ns0:v>2</ns0:v>
      </ns0:c>
      <ns0:c r="D67" s="71" t="s">
        <ns0:v>31</ns0:v>
      </ns0:c>
      <ns0:c r="E67" s="71">
        <ns0:v>2</ns0:v>
      </ns0:c>
      <ns0:c r="F67" s="72">
        <ns0:v>83</ns0:v>
      </ns0:c>
      <ns0:c r="G67" s="72">
        <ns0:v>23</ns0:v>
      </ns0:c>
      <ns0:c r="H67" s="72">
        <ns0:v>106</ns0:v>
      </ns0:c>
      <ns0:c r="I67" s="73">
        <ns0:v>339900</ns0:v>
      </ns0:c>
      <ns0:c r="J67" s="71">
        <ns0:v>2024</ns0:v>
      </ns0:c>
      <ns0:c r="K67" s="73">
        <ns0:v>4095.1807228915659</ns0:v>
      </ns0:c>
      <ns0:c r="L67" s="73">
        <ns0:v>3206.6037735849059</ns0:v>
      </ns0:c>
      <ns0:c r="M67" s="74" t="str">
        <ns0:f t="shared" si="14"/>
        <ns0:v>Histórico</ns0:v>
      </ns0:c>
      <ns0:c r="N67" s="74"/>
      <ns0:c r="O67" s="74"/>
      <ns0:c r="P67" s="77"/>
      <ns0:c r="Q67" s="74" t="str">
        <ns0:f t="shared" si="8"/>
        <ns0:v>Benchmark local</ns0:v>
      </ns0:c>
      <ns0:c r="R67" s="74" t="s">
        <ns0:v>32</ns0:v>
      </ns0:c>
      <ns0:c r="S67" s="74"/>
      <ns0:c r="T67" s="74"/>
      <ns0:c r="U67" s="74"/>
      <ns0:c r="V67" s="74"/>
      <ns0:c r="W67" s="76" t="n">
        <ns0:f t="shared" si="15"/>
        <ns0:v>0.2</ns0:v>
      </ns0:c>
      <ns0:c r="X67" s="74" t="str">
        <ns0:f t="shared" si="16"/>
        <ns0:v>C · Histórico/secundário</ns0:v>
      </ns0:c>
      <ns0:c r="Y67" s="74" t="str">
        <ns0:f t="shared" si="17"/>
        <ns0:v>Baixa</ns0:v>
      </ns0:c>
      <ns0:c r="Z67" s="74"/>
      <ns0:c r="AA67" s="74" t="str">
        <ns0:f t="shared" si="18"/>
        <ns0:v>Atualizar preço/status</ns0:v>
      </ns0:c>
      <ns0:c r="AB67" s="74" t="str">
        <ns0:f t="shared" si="19"/>
        <ns0:v>Alta</ns0:v>
      </ns0:c>
    </ns0:row>
    <ns0:row r="68">
      <ns0:c r="A68" s="71" t="s">
        <ns0:v>81</ns0:v>
      </ns0:c>
      <ns0:c r="B68" s="71" t="s">
        <ns0:v>97</ns0:v>
      </ns0:c>
      <ns0:c r="C68" s="71">
        <ns0:v>2</ns0:v>
      </ns0:c>
      <ns0:c r="D68" s="71" t="s">
        <ns0:v>31</ns0:v>
      </ns0:c>
      <ns0:c r="E68" s="71">
        <ns0:v>2</ns0:v>
      </ns0:c>
      <ns0:c r="F68" s="72">
        <ns0:v>83</ns0:v>
      </ns0:c>
      <ns0:c r="G68" s="72">
        <ns0:v>23</ns0:v>
      </ns0:c>
      <ns0:c r="H68" s="72">
        <ns0:v>106</ns0:v>
      </ns0:c>
      <ns0:c r="I68" s="73">
        <ns0:v>339900</ns0:v>
      </ns0:c>
      <ns0:c r="J68" s="71">
        <ns0:v>2024</ns0:v>
      </ns0:c>
      <ns0:c r="K68" s="73">
        <ns0:v>4095.1807228915659</ns0:v>
      </ns0:c>
      <ns0:c r="L68" s="73">
        <ns0:v>3206.6037735849059</ns0:v>
      </ns0:c>
      <ns0:c r="M68" s="74" t="str">
        <ns0:f t="shared" si="14"/>
        <ns0:v>Histórico</ns0:v>
      </ns0:c>
      <ns0:c r="N68" s="74"/>
      <ns0:c r="O68" s="74"/>
      <ns0:c r="P68" s="77"/>
      <ns0:c r="Q68" s="74" t="str">
        <ns0:f t="shared" si="8"/>
        <ns0:v>Benchmark local</ns0:v>
      </ns0:c>
      <ns0:c r="R68" s="74" t="s">
        <ns0:v>32</ns0:v>
      </ns0:c>
      <ns0:c r="S68" s="74"/>
      <ns0:c r="T68" s="74"/>
      <ns0:c r="U68" s="74"/>
      <ns0:c r="V68" s="74"/>
      <ns0:c r="W68" s="76" t="n">
        <ns0:f t="shared" si="15"/>
        <ns0:v>0.2</ns0:v>
      </ns0:c>
      <ns0:c r="X68" s="74" t="str">
        <ns0:f t="shared" si="16"/>
        <ns0:v>C · Histórico/secundário</ns0:v>
      </ns0:c>
      <ns0:c r="Y68" s="74" t="str">
        <ns0:f t="shared" si="17"/>
        <ns0:v>Baixa</ns0:v>
      </ns0:c>
      <ns0:c r="Z68" s="74"/>
      <ns0:c r="AA68" s="74" t="str">
        <ns0:f t="shared" si="18"/>
        <ns0:v>Atualizar preço/status</ns0:v>
      </ns0:c>
      <ns0:c r="AB68" s="74" t="str">
        <ns0:f t="shared" si="19"/>
        <ns0:v>Alta</ns0:v>
      </ns0:c>
    </ns0:row>
    <ns0:row r="69">
      <ns0:c r="A69" s="71" t="s">
        <ns0:v>81</ns0:v>
      </ns0:c>
      <ns0:c r="B69" s="71" t="s">
        <ns0:v>86</ns0:v>
      </ns0:c>
      <ns0:c r="C69" s="71">
        <ns0:v>3</ns0:v>
      </ns0:c>
      <ns0:c r="D69" s="71" t="s">
        <ns0:v>64</ns0:v>
      </ns0:c>
      <ns0:c r="E69" s="71">
        <ns0:v>3</ns0:v>
      </ns0:c>
      <ns0:c r="F69" s="72">
        <ns0:v>124</ns0:v>
      </ns0:c>
      <ns0:c r="G69" s="72">
        <ns0:v>29</ns0:v>
      </ns0:c>
      <ns0:c r="H69" s="72">
        <ns0:v>153</ns0:v>
      </ns0:c>
      <ns0:c r="I69" s="73">
        <ns0:v>503800</ns0:v>
      </ns0:c>
      <ns0:c r="J69" s="71">
        <ns0:v>2026</ns0:v>
      </ns0:c>
      <ns0:c r="K69" s="73">
        <ns0:v>4062.9032258064522</ns0:v>
      </ns0:c>
      <ns0:c r="L69" s="73">
        <ns0:v>3292.8104575163402</ns0:v>
      </ns0:c>
      <ns0:c r="M69" s="74" t="str">
        <ns0:f t="shared" si="14"/>
        <ns0:v>Ativo</ns0:v>
      </ns0:c>
      <ns0:c r="N69" s="74"/>
      <ns0:c r="O69" s="74"/>
      <ns0:c r="P69" s="77"/>
      <ns0:c r="Q69" s="74" t="str">
        <ns0:f t="shared" si="8"/>
        <ns0:v>Benchmark local</ns0:v>
      </ns0:c>
      <ns0:c r="R69" s="74" t="s">
        <ns0:v>32</ns0:v>
      </ns0:c>
      <ns0:c r="S69" s="74"/>
      <ns0:c r="T69" s="74"/>
      <ns0:c r="U69" s="74"/>
      <ns0:c r="V69" s="74"/>
      <ns0:c r="W69" s="76" t="n">
        <ns0:f t="shared" si="15"/>
        <ns0:v>0.35</ns0:v>
      </ns0:c>
      <ns0:c r="X69" s="74" t="str">
        <ns0:f t="shared" si="16"/>
        <ns0:v>C · Benchmark local secundário</ns0:v>
      </ns0:c>
      <ns0:c r="Y69" s="74" t="str">
        <ns0:f t="shared" si="17"/>
        <ns0:v>Baixa</ns0:v>
      </ns0:c>
      <ns0:c r="Z69" s="74" t="str">
        <ns0:v>Benchmark local/contextual; menor comparabilidade com o produto premium atual do The View.</ns0:v>
      </ns0:c>
      <ns0:c r="AA69" s="74" t="str">
        <ns0:f t="shared" si="18"/>
        <ns0:v>Manter apenas como contexto; revalidar preços ativos.</ns0:v>
      </ns0:c>
      <ns0:c r="AB69" s="74" t="str">
        <ns0:f t="shared" si="19"/>
        <ns0:v>Baixa</ns0:v>
      </ns0:c>
    </ns0:row>
    <ns0:row r="70">
      <ns0:c r="A70" s="71" t="s">
        <ns0:v>81</ns0:v>
      </ns0:c>
      <ns0:c r="B70" s="71" t="s">
        <ns0:v>87</ns0:v>
      </ns0:c>
      <ns0:c r="C70" s="71">
        <ns0:v>3</ns0:v>
      </ns0:c>
      <ns0:c r="D70" s="71" t="s">
        <ns0:v>31</ns0:v>
      </ns0:c>
      <ns0:c r="E70" s="71">
        <ns0:v>4</ns0:v>
      </ns0:c>
      <ns0:c r="F70" s="72">
        <ns0:v>91</ns0:v>
      </ns0:c>
      <ns0:c r="G70" s="72">
        <ns0:v>24</ns0:v>
      </ns0:c>
      <ns0:c r="H70" s="72">
        <ns0:v>115</ns0:v>
      </ns0:c>
      <ns0:c r="I70" s="73">
        <ns0:v>374000</ns0:v>
      </ns0:c>
      <ns0:c r="J70" s="71">
        <ns0:v>2024</ns0:v>
      </ns0:c>
      <ns0:c r="K70" s="73">
        <ns0:v>4109.8901098901097</ns0:v>
      </ns0:c>
      <ns0:c r="L70" s="73">
        <ns0:v>3252.173913043478</ns0:v>
      </ns0:c>
      <ns0:c r="M70" s="74" t="str">
        <ns0:f t="shared" si="14"/>
        <ns0:v>Histórico</ns0:v>
      </ns0:c>
      <ns0:c r="N70" s="74"/>
      <ns0:c r="O70" s="74"/>
      <ns0:c r="P70" s="77"/>
      <ns0:c r="Q70" s="74" t="str">
        <ns0:f t="shared" si="8"/>
        <ns0:v>Benchmark local</ns0:v>
      </ns0:c>
      <ns0:c r="R70" s="74" t="s">
        <ns0:v>32</ns0:v>
      </ns0:c>
      <ns0:c r="S70" s="74"/>
      <ns0:c r="T70" s="74"/>
      <ns0:c r="U70" s="74"/>
      <ns0:c r="V70" s="74"/>
      <ns0:c r="W70" s="76" t="n">
        <ns0:f t="shared" si="15"/>
        <ns0:v>0.2</ns0:v>
      </ns0:c>
      <ns0:c r="X70" s="74" t="str">
        <ns0:f t="shared" si="16"/>
        <ns0:v>C · Histórico/secundário</ns0:v>
      </ns0:c>
      <ns0:c r="Y70" s="74" t="str">
        <ns0:f t="shared" si="17"/>
        <ns0:v>Baixa</ns0:v>
      </ns0:c>
      <ns0:c r="Z70" s="74"/>
      <ns0:c r="AA70" s="74" t="str">
        <ns0:f t="shared" si="18"/>
        <ns0:v>Atualizar preço/status</ns0:v>
      </ns0:c>
      <ns0:c r="AB70" s="74" t="str">
        <ns0:f t="shared" si="19"/>
        <ns0:v>Alta</ns0:v>
      </ns0:c>
    </ns0:row>
    <ns0:row r="71">
      <ns0:c r="A71" s="71" t="s">
        <ns0:v>81</ns0:v>
      </ns0:c>
      <ns0:c r="B71" s="71" t="s">
        <ns0:v>98</ns0:v>
      </ns0:c>
      <ns0:c r="C71" s="71">
        <ns0:v>3</ns0:v>
      </ns0:c>
      <ns0:c r="D71" s="71" t="s">
        <ns0:v>31</ns0:v>
      </ns0:c>
      <ns0:c r="E71" s="71">
        <ns0:v>4</ns0:v>
      </ns0:c>
      <ns0:c r="F71" s="72">
        <ns0:v>83</ns0:v>
      </ns0:c>
      <ns0:c r="G71" s="72">
        <ns0:v>24</ns0:v>
      </ns0:c>
      <ns0:c r="H71" s="72">
        <ns0:v>107</ns0:v>
      </ns0:c>
      <ns0:c r="I71" s="73">
        <ns0:v>490600</ns0:v>
      </ns0:c>
      <ns0:c r="J71" s="71">
        <ns0:v>2026</ns0:v>
      </ns0:c>
      <ns0:c r="K71" s="73">
        <ns0:v>5910.8433734939763</ns0:v>
      </ns0:c>
      <ns0:c r="L71" s="73">
        <ns0:v>4585.0467289719627</ns0:v>
      </ns0:c>
      <ns0:c r="M71" s="74" t="str">
        <ns0:f t="shared" si="14"/>
        <ns0:v>Ativo</ns0:v>
      </ns0:c>
      <ns0:c r="N71" s="74"/>
      <ns0:c r="O71" s="74"/>
      <ns0:c r="P71" s="77"/>
      <ns0:c r="Q71" s="74" t="str">
        <ns0:f t="shared" si="8"/>
        <ns0:v>Benchmark local</ns0:v>
      </ns0:c>
      <ns0:c r="R71" s="74" t="s">
        <ns0:v>32</ns0:v>
      </ns0:c>
      <ns0:c r="S71" s="74"/>
      <ns0:c r="T71" s="74"/>
      <ns0:c r="U71" s="74"/>
      <ns0:c r="V71" s="74"/>
      <ns0:c r="W71" s="76" t="n">
        <ns0:f t="shared" si="15"/>
        <ns0:v>0.35</ns0:v>
      </ns0:c>
      <ns0:c r="X71" s="74" t="str">
        <ns0:f t="shared" si="16"/>
        <ns0:v>C · Benchmark local secundário</ns0:v>
      </ns0:c>
      <ns0:c r="Y71" s="74" t="str">
        <ns0:f t="shared" si="17"/>
        <ns0:v>Baixa</ns0:v>
      </ns0:c>
      <ns0:c r="Z71" s="74" t="str">
        <ns0:v>Benchmark local/contextual; menor comparabilidade com o produto premium atual do The View.</ns0:v>
      </ns0:c>
      <ns0:c r="AA71" s="74" t="str">
        <ns0:f t="shared" si="18"/>
        <ns0:v>Manter apenas como contexto; revalidar preços ativos.</ns0:v>
      </ns0:c>
      <ns0:c r="AB71" s="74" t="str">
        <ns0:f t="shared" si="19"/>
        <ns0:v>Baixa</ns0:v>
      </ns0:c>
    </ns0:row>
    <ns0:row r="72">
      <ns0:c r="A72" s="71" t="s">
        <ns0:v>81</ns0:v>
      </ns0:c>
      <ns0:c r="B72" s="71" t="s">
        <ns0:v>99</ns0:v>
      </ns0:c>
      <ns0:c r="C72" s="71">
        <ns0:v>3</ns0:v>
      </ns0:c>
      <ns0:c r="D72" s="71" t="s">
        <ns0:v>64</ns0:v>
      </ns0:c>
      <ns0:c r="E72" s="71">
        <ns0:v>1</ns0:v>
      </ns0:c>
      <ns0:c r="F72" s="72">
        <ns0:v>124</ns0:v>
      </ns0:c>
      <ns0:c r="G72" s="72">
        <ns0:v>29</ns0:v>
      </ns0:c>
      <ns0:c r="H72" s="72">
        <ns0:v>153</ns0:v>
      </ns0:c>
      <ns0:c r="I72" s="73">
        <ns0:v>486750</ns0:v>
      </ns0:c>
      <ns0:c r="J72" s="71">
        <ns0:v>2024</ns0:v>
      </ns0:c>
      <ns0:c r="K72" s="73">
        <ns0:v>3925.4032258064522</ns0:v>
      </ns0:c>
      <ns0:c r="L72" s="73">
        <ns0:v>3181.372549019608</ns0:v>
      </ns0:c>
      <ns0:c r="M72" s="74" t="str">
        <ns0:f t="shared" si="14"/>
        <ns0:v>Histórico</ns0:v>
      </ns0:c>
      <ns0:c r="N72" s="74"/>
      <ns0:c r="O72" s="74"/>
      <ns0:c r="P72" s="77"/>
      <ns0:c r="Q72" s="74" t="str">
        <ns0:f t="shared" si="8"/>
        <ns0:v>Benchmark local</ns0:v>
      </ns0:c>
      <ns0:c r="R72" s="74" t="s">
        <ns0:v>32</ns0:v>
      </ns0:c>
      <ns0:c r="S72" s="74"/>
      <ns0:c r="T72" s="74"/>
      <ns0:c r="U72" s="74"/>
      <ns0:c r="V72" s="74"/>
      <ns0:c r="W72" s="76" t="n">
        <ns0:f t="shared" si="15"/>
        <ns0:v>0.2</ns0:v>
      </ns0:c>
      <ns0:c r="X72" s="74" t="str">
        <ns0:f t="shared" si="16"/>
        <ns0:v>C · Histórico/secundário</ns0:v>
      </ns0:c>
      <ns0:c r="Y72" s="74" t="str">
        <ns0:f t="shared" si="17"/>
        <ns0:v>Baixa</ns0:v>
      </ns0:c>
      <ns0:c r="Z72" s="74"/>
      <ns0:c r="AA72" s="74" t="str">
        <ns0:f t="shared" si="18"/>
        <ns0:v>Atualizar preço/status</ns0:v>
      </ns0:c>
      <ns0:c r="AB72" s="74" t="str">
        <ns0:f t="shared" si="19"/>
        <ns0:v>Alta</ns0:v>
      </ns0:c>
    </ns0:row>
    <ns0:row r="73">
      <ns0:c r="A73" s="71" t="s">
        <ns0:v>81</ns0:v>
      </ns0:c>
      <ns0:c r="B73" s="71" t="s">
        <ns0:v>100</ns0:v>
      </ns0:c>
      <ns0:c r="C73" s="71">
        <ns0:v>3</ns0:v>
      </ns0:c>
      <ns0:c r="D73" s="71" t="s">
        <ns0:v>31</ns0:v>
      </ns0:c>
      <ns0:c r="E73" s="71">
        <ns0:v>2</ns0:v>
      </ns0:c>
      <ns0:c r="F73" s="72">
        <ns0:v>83</ns0:v>
      </ns0:c>
      <ns0:c r="G73" s="72">
        <ns0:v>23</ns0:v>
      </ns0:c>
      <ns0:c r="H73" s="72">
        <ns0:v>106</ns0:v>
      </ns0:c>
      <ns0:c r="I73" s="73">
        <ns0:v>344300</ns0:v>
      </ns0:c>
      <ns0:c r="J73" s="71">
        <ns0:v>2024</ns0:v>
      </ns0:c>
      <ns0:c r="K73" s="73">
        <ns0:v>4148.1927710843374</ns0:v>
      </ns0:c>
      <ns0:c r="L73" s="73">
        <ns0:v>3248.1132075471701</ns0:v>
      </ns0:c>
      <ns0:c r="M73" s="74" t="str">
        <ns0:f t="shared" si="14"/>
        <ns0:v>Histórico</ns0:v>
      </ns0:c>
      <ns0:c r="N73" s="74"/>
      <ns0:c r="O73" s="74"/>
      <ns0:c r="P73" s="77"/>
      <ns0:c r="Q73" s="74" t="str">
        <ns0:f t="shared" si="8"/>
        <ns0:v>Benchmark local</ns0:v>
      </ns0:c>
      <ns0:c r="R73" s="74" t="s">
        <ns0:v>32</ns0:v>
      </ns0:c>
      <ns0:c r="S73" s="74"/>
      <ns0:c r="T73" s="74"/>
      <ns0:c r="U73" s="74"/>
      <ns0:c r="V73" s="74"/>
      <ns0:c r="W73" s="76" t="n">
        <ns0:f t="shared" si="15"/>
        <ns0:v>0.2</ns0:v>
      </ns0:c>
      <ns0:c r="X73" s="74" t="str">
        <ns0:f t="shared" si="16"/>
        <ns0:v>C · Histórico/secundário</ns0:v>
      </ns0:c>
      <ns0:c r="Y73" s="74" t="str">
        <ns0:f t="shared" si="17"/>
        <ns0:v>Baixa</ns0:v>
      </ns0:c>
      <ns0:c r="Z73" s="74"/>
      <ns0:c r="AA73" s="74" t="str">
        <ns0:f t="shared" si="18"/>
        <ns0:v>Atualizar preço/status</ns0:v>
      </ns0:c>
      <ns0:c r="AB73" s="74" t="str">
        <ns0:f t="shared" si="19"/>
        <ns0:v>Alta</ns0:v>
      </ns0:c>
    </ns0:row>
    <ns0:row r="74">
      <ns0:c r="A74" s="71" t="s">
        <ns0:v>81</ns0:v>
      </ns0:c>
      <ns0:c r="B74" s="71" t="s">
        <ns0:v>101</ns0:v>
      </ns0:c>
      <ns0:c r="C74" s="71">
        <ns0:v>3</ns0:v>
      </ns0:c>
      <ns0:c r="D74" s="71" t="s">
        <ns0:v>31</ns0:v>
      </ns0:c>
      <ns0:c r="E74" s="71">
        <ns0:v>2</ns0:v>
      </ns0:c>
      <ns0:c r="F74" s="72">
        <ns0:v>83</ns0:v>
      </ns0:c>
      <ns0:c r="G74" s="72">
        <ns0:v>23</ns0:v>
      </ns0:c>
      <ns0:c r="H74" s="72">
        <ns0:v>106</ns0:v>
      </ns0:c>
      <ns0:c r="I74" s="73">
        <ns0:v>344300</ns0:v>
      </ns0:c>
      <ns0:c r="J74" s="71">
        <ns0:v>2024</ns0:v>
      </ns0:c>
      <ns0:c r="K74" s="73">
        <ns0:v>4148.1927710843374</ns0:v>
      </ns0:c>
      <ns0:c r="L74" s="73">
        <ns0:v>3248.1132075471701</ns0:v>
      </ns0:c>
      <ns0:c r="M74" s="74" t="str">
        <ns0:f t="shared" si="14"/>
        <ns0:v>Histórico</ns0:v>
      </ns0:c>
      <ns0:c r="N74" s="74"/>
      <ns0:c r="O74" s="74"/>
      <ns0:c r="P74" s="77"/>
      <ns0:c r="Q74" s="74" t="str">
        <ns0:f t="shared" si="8"/>
        <ns0:v>Benchmark local</ns0:v>
      </ns0:c>
      <ns0:c r="R74" s="74" t="s">
        <ns0:v>32</ns0:v>
      </ns0:c>
      <ns0:c r="S74" s="74"/>
      <ns0:c r="T74" s="74"/>
      <ns0:c r="U74" s="74"/>
      <ns0:c r="V74" s="74"/>
      <ns0:c r="W74" s="76" t="n">
        <ns0:f t="shared" si="15"/>
        <ns0:v>0.2</ns0:v>
      </ns0:c>
      <ns0:c r="X74" s="74" t="str">
        <ns0:f t="shared" si="16"/>
        <ns0:v>C · Histórico/secundário</ns0:v>
      </ns0:c>
      <ns0:c r="Y74" s="74" t="str">
        <ns0:f t="shared" si="17"/>
        <ns0:v>Baixa</ns0:v>
      </ns0:c>
      <ns0:c r="Z74" s="74"/>
      <ns0:c r="AA74" s="74" t="str">
        <ns0:f t="shared" si="18"/>
        <ns0:v>Atualizar preço/status</ns0:v>
      </ns0:c>
      <ns0:c r="AB74" s="74" t="str">
        <ns0:f t="shared" si="19"/>
        <ns0:v>Alta</ns0:v>
      </ns0:c>
    </ns0:row>
    <ns0:row r="75">
      <ns0:c r="A75" s="71" t="s">
        <ns0:v>81</ns0:v>
      </ns0:c>
      <ns0:c r="B75" s="71" t="s">
        <ns0:v>88</ns0:v>
      </ns0:c>
      <ns0:c r="C75" s="71">
        <ns0:v>4</ns0:v>
      </ns0:c>
      <ns0:c r="D75" s="71" t="s">
        <ns0:v>64</ns0:v>
      </ns0:c>
      <ns0:c r="E75" s="71">
        <ns0:v>3</ns0:v>
      </ns0:c>
      <ns0:c r="F75" s="72">
        <ns0:v>134</ns0:v>
      </ns0:c>
      <ns0:c r="G75" s="72">
        <ns0:v>29</ns0:v>
      </ns0:c>
      <ns0:c r="H75" s="72">
        <ns0:v>163</ns0:v>
      </ns0:c>
      <ns0:c r="I75" s="73">
        <ns0:v>521400</ns0:v>
      </ns0:c>
      <ns0:c r="J75" s="71">
        <ns0:v>2026</ns0:v>
      </ns0:c>
      <ns0:c r="K75" s="73">
        <ns0:v>3891.0447761194032</ns0:v>
      </ns0:c>
      <ns0:c r="L75" s="73">
        <ns0:v>3198.7730061349689</ns0:v>
      </ns0:c>
      <ns0:c r="M75" s="74" t="str">
        <ns0:f t="shared" si="14"/>
        <ns0:v>Ativo</ns0:v>
      </ns0:c>
      <ns0:c r="N75" s="74"/>
      <ns0:c r="O75" s="74"/>
      <ns0:c r="P75" s="77"/>
      <ns0:c r="Q75" s="74" t="str">
        <ns0:f t="shared" si="8"/>
        <ns0:v>Benchmark local</ns0:v>
      </ns0:c>
      <ns0:c r="R75" s="74" t="s">
        <ns0:v>32</ns0:v>
      </ns0:c>
      <ns0:c r="S75" s="74"/>
      <ns0:c r="T75" s="74"/>
      <ns0:c r="U75" s="74"/>
      <ns0:c r="V75" s="74"/>
      <ns0:c r="W75" s="76" t="n">
        <ns0:f t="shared" si="15"/>
        <ns0:v>0.35</ns0:v>
      </ns0:c>
      <ns0:c r="X75" s="74" t="str">
        <ns0:f t="shared" si="16"/>
        <ns0:v>C · Benchmark local secundário</ns0:v>
      </ns0:c>
      <ns0:c r="Y75" s="74" t="str">
        <ns0:f t="shared" si="17"/>
        <ns0:v>Baixa</ns0:v>
      </ns0:c>
      <ns0:c r="Z75" s="74" t="str">
        <ns0:v>Benchmark local/contextual; menor comparabilidade com o produto premium atual do The View.</ns0:v>
      </ns0:c>
      <ns0:c r="AA75" s="74" t="str">
        <ns0:f t="shared" si="18"/>
        <ns0:v>Manter apenas como contexto; revalidar preços ativos.</ns0:v>
      </ns0:c>
      <ns0:c r="AB75" s="74" t="str">
        <ns0:f t="shared" si="19"/>
        <ns0:v>Baixa</ns0:v>
      </ns0:c>
    </ns0:row>
    <ns0:row r="76">
      <ns0:c r="A76" s="71" t="s">
        <ns0:v>81</ns0:v>
      </ns0:c>
      <ns0:c r="B76" s="71" t="s">
        <ns0:v>89</ns0:v>
      </ns0:c>
      <ns0:c r="C76" s="71">
        <ns0:v>4</ns0:v>
      </ns0:c>
      <ns0:c r="D76" s="71" t="s">
        <ns0:v>31</ns0:v>
      </ns0:c>
      <ns0:c r="E76" s="71">
        <ns0:v>4</ns0:v>
      </ns0:c>
      <ns0:c r="F76" s="72">
        <ns0:v>108</ns0:v>
      </ns0:c>
      <ns0:c r="G76" s="72">
        <ns0:v>28</ns0:v>
      </ns0:c>
      <ns0:c r="H76" s="72">
        <ns0:v>136</ns0:v>
      </ns0:c>
      <ns0:c r="I76" s="73">
        <ns0:v>407000</ns0:v>
      </ns0:c>
      <ns0:c r="J76" s="71">
        <ns0:v>2024</ns0:v>
      </ns0:c>
      <ns0:c r="K76" s="73">
        <ns0:v>3768.5185185185192</ns0:v>
      </ns0:c>
      <ns0:c r="L76" s="73">
        <ns0:v>2992.6470588235288</ns0:v>
      </ns0:c>
      <ns0:c r="M76" s="74" t="str">
        <ns0:f t="shared" si="14"/>
        <ns0:v>Histórico</ns0:v>
      </ns0:c>
      <ns0:c r="N76" s="74"/>
      <ns0:c r="O76" s="74"/>
      <ns0:c r="P76" s="77"/>
      <ns0:c r="Q76" s="74" t="str">
        <ns0:f t="shared" si="8"/>
        <ns0:v>Benchmark local</ns0:v>
      </ns0:c>
      <ns0:c r="R76" s="74" t="s">
        <ns0:v>32</ns0:v>
      </ns0:c>
      <ns0:c r="S76" s="74"/>
      <ns0:c r="T76" s="74"/>
      <ns0:c r="U76" s="74"/>
      <ns0:c r="V76" s="74"/>
      <ns0:c r="W76" s="76" t="n">
        <ns0:f t="shared" si="15"/>
        <ns0:v>0.2</ns0:v>
      </ns0:c>
      <ns0:c r="X76" s="74" t="str">
        <ns0:f t="shared" si="16"/>
        <ns0:v>C · Histórico/secundário</ns0:v>
      </ns0:c>
      <ns0:c r="Y76" s="74" t="str">
        <ns0:f t="shared" si="17"/>
        <ns0:v>Baixa</ns0:v>
      </ns0:c>
      <ns0:c r="Z76" s="74"/>
      <ns0:c r="AA76" s="74" t="str">
        <ns0:f t="shared" si="18"/>
        <ns0:v>Atualizar preço/status</ns0:v>
      </ns0:c>
      <ns0:c r="AB76" s="74" t="str">
        <ns0:f t="shared" si="19"/>
        <ns0:v>Alta</ns0:v>
      </ns0:c>
    </ns0:row>
    <ns0:row r="77">
      <ns0:c r="A77" s="71" t="s">
        <ns0:v>81</ns0:v>
      </ns0:c>
      <ns0:c r="B77" s="71" t="s">
        <ns0:v>102</ns0:v>
      </ns0:c>
      <ns0:c r="C77" s="71">
        <ns0:v>4</ns0:v>
      </ns0:c>
      <ns0:c r="D77" s="71" t="s">
        <ns0:v>31</ns0:v>
      </ns0:c>
      <ns0:c r="E77" s="71">
        <ns0:v>4</ns0:v>
      </ns0:c>
      <ns0:c r="F77" s="72">
        <ns0:v>108</ns0:v>
      </ns0:c>
      <ns0:c r="G77" s="72">
        <ns0:v>28</ns0:v>
      </ns0:c>
      <ns0:c r="H77" s="72">
        <ns0:v>136</ns0:v>
      </ns0:c>
      <ns0:c r="I77" s="73">
        <ns0:v>407000</ns0:v>
      </ns0:c>
      <ns0:c r="J77" s="71">
        <ns0:v>2024</ns0:v>
      </ns0:c>
      <ns0:c r="K77" s="73">
        <ns0:v>3768.5185185185192</ns0:v>
      </ns0:c>
      <ns0:c r="L77" s="73">
        <ns0:v>2992.6470588235288</ns0:v>
      </ns0:c>
      <ns0:c r="M77" s="74" t="str">
        <ns0:f t="shared" si="14"/>
        <ns0:v>Histórico</ns0:v>
      </ns0:c>
      <ns0:c r="N77" s="74"/>
      <ns0:c r="O77" s="74"/>
      <ns0:c r="P77" s="77"/>
      <ns0:c r="Q77" s="74" t="str">
        <ns0:f t="shared" si="8"/>
        <ns0:v>Benchmark local</ns0:v>
      </ns0:c>
      <ns0:c r="R77" s="74" t="s">
        <ns0:v>32</ns0:v>
      </ns0:c>
      <ns0:c r="S77" s="74"/>
      <ns0:c r="T77" s="74"/>
      <ns0:c r="U77" s="74"/>
      <ns0:c r="V77" s="74"/>
      <ns0:c r="W77" s="76" t="n">
        <ns0:f t="shared" si="15"/>
        <ns0:v>0.2</ns0:v>
      </ns0:c>
      <ns0:c r="X77" s="74" t="str">
        <ns0:f t="shared" si="16"/>
        <ns0:v>C · Histórico/secundário</ns0:v>
      </ns0:c>
      <ns0:c r="Y77" s="74" t="str">
        <ns0:f t="shared" si="17"/>
        <ns0:v>Baixa</ns0:v>
      </ns0:c>
      <ns0:c r="Z77" s="74"/>
      <ns0:c r="AA77" s="74" t="str">
        <ns0:f t="shared" si="18"/>
        <ns0:v>Atualizar preço/status</ns0:v>
      </ns0:c>
      <ns0:c r="AB77" s="74" t="str">
        <ns0:f t="shared" si="19"/>
        <ns0:v>Alta</ns0:v>
      </ns0:c>
    </ns0:row>
    <ns0:row r="78">
      <ns0:c r="A78" s="71" t="s">
        <ns0:v>81</ns0:v>
      </ns0:c>
      <ns0:c r="B78" s="71" t="s">
        <ns0:v>103</ns0:v>
      </ns0:c>
      <ns0:c r="C78" s="71">
        <ns0:v>4</ns0:v>
      </ns0:c>
      <ns0:c r="D78" s="71" t="s">
        <ns0:v>104</ns0:v>
      </ns0:c>
      <ns0:c r="E78" s="71">
        <ns0:v>1</ns0:v>
      </ns0:c>
      <ns0:c r="F78" s="72">
        <ns0:v>156</ns0:v>
      </ns0:c>
      <ns0:c r="G78" s="72">
        <ns0:v>35</ns0:v>
      </ns0:c>
      <ns0:c r="H78" s="72">
        <ns0:v>191</ns0:v>
      </ns0:c>
      <ns0:c r="I78" s="73">
        <ns0:v>598950</ns0:v>
      </ns0:c>
      <ns0:c r="J78" s="71">
        <ns0:v>2024</ns0:v>
      </ns0:c>
      <ns0:c r="K78" s="73">
        <ns0:v>3839.4230769230771</ns0:v>
      </ns0:c>
      <ns0:c r="L78" s="73">
        <ns0:v>3135.8638743455499</ns0:v>
      </ns0:c>
      <ns0:c r="M78" s="74" t="str">
        <ns0:f t="shared" si="14"/>
        <ns0:v>Histórico</ns0:v>
      </ns0:c>
      <ns0:c r="N78" s="74"/>
      <ns0:c r="O78" s="74"/>
      <ns0:c r="P78" s="77"/>
      <ns0:c r="Q78" s="74" t="str">
        <ns0:f t="shared" si="8"/>
        <ns0:v>Benchmark local</ns0:v>
      </ns0:c>
      <ns0:c r="R78" s="74" t="s">
        <ns0:v>32</ns0:v>
      </ns0:c>
      <ns0:c r="S78" s="74"/>
      <ns0:c r="T78" s="74"/>
      <ns0:c r="U78" s="74"/>
      <ns0:c r="V78" s="74"/>
      <ns0:c r="W78" s="76" t="n">
        <ns0:f t="shared" si="15"/>
        <ns0:v>0.2</ns0:v>
      </ns0:c>
      <ns0:c r="X78" s="74" t="str">
        <ns0:f t="shared" si="16"/>
        <ns0:v>C · Histórico/secundário</ns0:v>
      </ns0:c>
      <ns0:c r="Y78" s="74" t="str">
        <ns0:f t="shared" si="17"/>
        <ns0:v>Baixa</ns0:v>
      </ns0:c>
      <ns0:c r="Z78" s="74"/>
      <ns0:c r="AA78" s="74" t="str">
        <ns0:f t="shared" si="18"/>
        <ns0:v>Atualizar preço/status</ns0:v>
      </ns0:c>
      <ns0:c r="AB78" s="74" t="str">
        <ns0:f t="shared" si="19"/>
        <ns0:v>Alta</ns0:v>
      </ns0:c>
    </ns0:row>
    <ns0:row r="79">
      <ns0:c r="A79" s="71" t="s">
        <ns0:v>81</ns0:v>
      </ns0:c>
      <ns0:c r="B79" s="71" t="s">
        <ns0:v>105</ns0:v>
      </ns0:c>
      <ns0:c r="C79" s="71">
        <ns0:v>4</ns0:v>
      </ns0:c>
      <ns0:c r="D79" s="71" t="s">
        <ns0:v>31</ns0:v>
      </ns0:c>
      <ns0:c r="E79" s="71">
        <ns0:v>2</ns0:v>
      </ns0:c>
      <ns0:c r="F79" s="72">
        <ns0:v>101</ns0:v>
      </ns0:c>
      <ns0:c r="G79" s="72">
        <ns0:v>30</ns0:v>
      </ns0:c>
      <ns0:c r="H79" s="72">
        <ns0:v>131</ns0:v>
      </ns0:c>
      <ns0:c r="I79" s="73">
        <ns0:v>385550</ns0:v>
      </ns0:c>
      <ns0:c r="J79" s="71">
        <ns0:v>2024</ns0:v>
      </ns0:c>
      <ns0:c r="K79" s="73">
        <ns0:v>3817.326732673268</ns0:v>
      </ns0:c>
      <ns0:c r="L79" s="73">
        <ns0:v>2943.129770992367</ns0:v>
      </ns0:c>
      <ns0:c r="M79" s="74" t="str">
        <ns0:f t="shared" si="14"/>
        <ns0:v>Histórico</ns0:v>
      </ns0:c>
      <ns0:c r="N79" s="74"/>
      <ns0:c r="O79" s="74"/>
      <ns0:c r="P79" s="77"/>
      <ns0:c r="Q79" s="74" t="str">
        <ns0:f t="shared" si="8"/>
        <ns0:v>Benchmark local</ns0:v>
      </ns0:c>
      <ns0:c r="R79" s="74" t="s">
        <ns0:v>32</ns0:v>
      </ns0:c>
      <ns0:c r="S79" s="74"/>
      <ns0:c r="T79" s="74"/>
      <ns0:c r="U79" s="74"/>
      <ns0:c r="V79" s="74"/>
      <ns0:c r="W79" s="76" t="n">
        <ns0:f t="shared" si="15"/>
        <ns0:v>0.2</ns0:v>
      </ns0:c>
      <ns0:c r="X79" s="74" t="str">
        <ns0:f t="shared" si="16"/>
        <ns0:v>C · Histórico/secundário</ns0:v>
      </ns0:c>
      <ns0:c r="Y79" s="74" t="str">
        <ns0:f t="shared" si="17"/>
        <ns0:v>Baixa</ns0:v>
      </ns0:c>
      <ns0:c r="Z79" s="74"/>
      <ns0:c r="AA79" s="74" t="str">
        <ns0:f t="shared" si="18"/>
        <ns0:v>Atualizar preço/status</ns0:v>
      </ns0:c>
      <ns0:c r="AB79" s="74" t="str">
        <ns0:f t="shared" si="19"/>
        <ns0:v>Alta</ns0:v>
      </ns0:c>
    </ns0:row>
    <ns0:row r="80">
      <ns0:c r="A80" s="71" t="s">
        <ns0:v>81</ns0:v>
      </ns0:c>
      <ns0:c r="B80" s="71" t="s">
        <ns0:v>106</ns0:v>
      </ns0:c>
      <ns0:c r="C80" s="71">
        <ns0:v>5</ns0:v>
      </ns0:c>
      <ns0:c r="D80" s="71" t="s">
        <ns0:v>64</ns0:v>
      </ns0:c>
      <ns0:c r="E80" s="71">
        <ns0:v>3</ns0:v>
      </ns0:c>
      <ns0:c r="F80" s="72">
        <ns0:v>134</ns0:v>
      </ns0:c>
      <ns0:c r="G80" s="72">
        <ns0:v>29</ns0:v>
      </ns0:c>
      <ns0:c r="H80" s="72">
        <ns0:v>163</ns0:v>
      </ns0:c>
      <ns0:c r="I80" s="73">
        <ns0:v>523050</ns0:v>
      </ns0:c>
      <ns0:c r="J80" s="71">
        <ns0:v>2024</ns0:v>
      </ns0:c>
      <ns0:c r="K80" s="73">
        <ns0:v>3903.3582089552242</ns0:v>
      </ns0:c>
      <ns0:c r="L80" s="73">
        <ns0:v>3208.8957055214719</ns0:v>
      </ns0:c>
      <ns0:c r="M80" s="74" t="str">
        <ns0:f t="shared" si="14"/>
        <ns0:v>Histórico</ns0:v>
      </ns0:c>
      <ns0:c r="N80" s="74"/>
      <ns0:c r="O80" s="74"/>
      <ns0:c r="P80" s="77"/>
      <ns0:c r="Q80" s="74" t="str">
        <ns0:f t="shared" si="8"/>
        <ns0:v>Benchmark local</ns0:v>
      </ns0:c>
      <ns0:c r="R80" s="74" t="s">
        <ns0:v>32</ns0:v>
      </ns0:c>
      <ns0:c r="S80" s="74"/>
      <ns0:c r="T80" s="74"/>
      <ns0:c r="U80" s="74"/>
      <ns0:c r="V80" s="74"/>
      <ns0:c r="W80" s="76" t="n">
        <ns0:f t="shared" si="15"/>
        <ns0:v>0.2</ns0:v>
      </ns0:c>
      <ns0:c r="X80" s="74" t="str">
        <ns0:f t="shared" si="16"/>
        <ns0:v>C · Histórico/secundário</ns0:v>
      </ns0:c>
      <ns0:c r="Y80" s="74" t="str">
        <ns0:f t="shared" si="17"/>
        <ns0:v>Baixa</ns0:v>
      </ns0:c>
      <ns0:c r="Z80" s="74"/>
      <ns0:c r="AA80" s="74" t="str">
        <ns0:f t="shared" si="18"/>
        <ns0:v>Atualizar preço/status</ns0:v>
      </ns0:c>
      <ns0:c r="AB80" s="74" t="str">
        <ns0:f t="shared" si="19"/>
        <ns0:v>Alta</ns0:v>
      </ns0:c>
    </ns0:row>
    <ns0:row r="81">
      <ns0:c r="A81" s="71" t="s">
        <ns0:v>81</ns0:v>
      </ns0:c>
      <ns0:c r="B81" s="71" t="s">
        <ns0:v>107</ns0:v>
      </ns0:c>
      <ns0:c r="C81" s="71">
        <ns0:v>5</ns0:v>
      </ns0:c>
      <ns0:c r="D81" s="71" t="s">
        <ns0:v>31</ns0:v>
      </ns0:c>
      <ns0:c r="E81" s="71">
        <ns0:v>4</ns0:v>
      </ns0:c>
      <ns0:c r="F81" s="72">
        <ns0:v>108</ns0:v>
      </ns0:c>
      <ns0:c r="G81" s="72">
        <ns0:v>28</ns0:v>
      </ns0:c>
      <ns0:c r="H81" s="72">
        <ns0:v>136</ns0:v>
      </ns0:c>
      <ns0:c r="I81" s="73">
        <ns0:v>408650</ns0:v>
      </ns0:c>
      <ns0:c r="J81" s="71">
        <ns0:v>2024</ns0:v>
      </ns0:c>
      <ns0:c r="K81" s="73">
        <ns0:v>3783.7962962962961</ns0:v>
      </ns0:c>
      <ns0:c r="L81" s="73">
        <ns0:v>3004.7794117647059</ns0:v>
      </ns0:c>
      <ns0:c r="M81" s="74" t="str">
        <ns0:f t="shared" si="14"/>
        <ns0:v>Histórico</ns0:v>
      </ns0:c>
      <ns0:c r="N81" s="74"/>
      <ns0:c r="O81" s="74"/>
      <ns0:c r="P81" s="77"/>
      <ns0:c r="Q81" s="74" t="str">
        <ns0:f t="shared" si="8"/>
        <ns0:v>Benchmark local</ns0:v>
      </ns0:c>
      <ns0:c r="R81" s="74" t="s">
        <ns0:v>32</ns0:v>
      </ns0:c>
      <ns0:c r="S81" s="74"/>
      <ns0:c r="T81" s="74"/>
      <ns0:c r="U81" s="74"/>
      <ns0:c r="V81" s="74"/>
      <ns0:c r="W81" s="76" t="n">
        <ns0:f t="shared" si="15"/>
        <ns0:v>0.2</ns0:v>
      </ns0:c>
      <ns0:c r="X81" s="74" t="str">
        <ns0:f t="shared" si="16"/>
        <ns0:v>C · Histórico/secundário</ns0:v>
      </ns0:c>
      <ns0:c r="Y81" s="74" t="str">
        <ns0:f t="shared" si="17"/>
        <ns0:v>Baixa</ns0:v>
      </ns0:c>
      <ns0:c r="Z81" s="74"/>
      <ns0:c r="AA81" s="74" t="str">
        <ns0:f t="shared" si="18"/>
        <ns0:v>Atualizar preço/status</ns0:v>
      </ns0:c>
      <ns0:c r="AB81" s="74" t="str">
        <ns0:f t="shared" si="19"/>
        <ns0:v>Alta</ns0:v>
      </ns0:c>
    </ns0:row>
    <ns0:row r="82">
      <ns0:c r="A82" s="71" t="s">
        <ns0:v>81</ns0:v>
      </ns0:c>
      <ns0:c r="B82" s="71" t="s">
        <ns0:v>108</ns0:v>
      </ns0:c>
      <ns0:c r="C82" s="71">
        <ns0:v>5</ns0:v>
      </ns0:c>
      <ns0:c r="D82" s="71" t="s">
        <ns0:v>31</ns0:v>
      </ns0:c>
      <ns0:c r="E82" s="71">
        <ns0:v>4</ns0:v>
      </ns0:c>
      <ns0:c r="F82" s="72">
        <ns0:v>108</ns0:v>
      </ns0:c>
      <ns0:c r="G82" s="72">
        <ns0:v>28</ns0:v>
      </ns0:c>
      <ns0:c r="H82" s="72">
        <ns0:v>136</ns0:v>
      </ns0:c>
      <ns0:c r="I82" s="73">
        <ns0:v>408650</ns0:v>
      </ns0:c>
      <ns0:c r="J82" s="71">
        <ns0:v>2024</ns0:v>
      </ns0:c>
      <ns0:c r="K82" s="73">
        <ns0:v>3783.7962962962961</ns0:v>
      </ns0:c>
      <ns0:c r="L82" s="73">
        <ns0:v>3004.7794117647059</ns0:v>
      </ns0:c>
      <ns0:c r="M82" s="74" t="str">
        <ns0:f t="shared" si="14"/>
        <ns0:v>Histórico</ns0:v>
      </ns0:c>
      <ns0:c r="N82" s="74"/>
      <ns0:c r="O82" s="74"/>
      <ns0:c r="P82" s="77"/>
      <ns0:c r="Q82" s="74" t="str">
        <ns0:f t="shared" si="8"/>
        <ns0:v>Benchmark local</ns0:v>
      </ns0:c>
      <ns0:c r="R82" s="74" t="s">
        <ns0:v>32</ns0:v>
      </ns0:c>
      <ns0:c r="S82" s="74"/>
      <ns0:c r="T82" s="74"/>
      <ns0:c r="U82" s="74"/>
      <ns0:c r="V82" s="74"/>
      <ns0:c r="W82" s="76" t="n">
        <ns0:f t="shared" si="15"/>
        <ns0:v>0.2</ns0:v>
      </ns0:c>
      <ns0:c r="X82" s="74" t="str">
        <ns0:f t="shared" si="16"/>
        <ns0:v>C · Histórico/secundário</ns0:v>
      </ns0:c>
      <ns0:c r="Y82" s="74" t="str">
        <ns0:f t="shared" si="17"/>
        <ns0:v>Baixa</ns0:v>
      </ns0:c>
      <ns0:c r="Z82" s="74"/>
      <ns0:c r="AA82" s="74" t="str">
        <ns0:f t="shared" si="18"/>
        <ns0:v>Atualizar preço/status</ns0:v>
      </ns0:c>
      <ns0:c r="AB82" s="74" t="str">
        <ns0:f t="shared" si="19"/>
        <ns0:v>Alta</ns0:v>
      </ns0:c>
    </ns0:row>
    <ns0:row r="83">
      <ns0:c r="A83" s="71" t="s">
        <ns0:v>81</ns0:v>
      </ns0:c>
      <ns0:c r="B83" s="71" t="s">
        <ns0:v>109</ns0:v>
      </ns0:c>
      <ns0:c r="C83" s="71">
        <ns0:v>5</ns0:v>
      </ns0:c>
      <ns0:c r="D83" s="71" t="s">
        <ns0:v>104</ns0:v>
      </ns0:c>
      <ns0:c r="E83" s="71">
        <ns0:v>1</ns0:v>
      </ns0:c>
      <ns0:c r="F83" s="72">
        <ns0:v>156</ns0:v>
      </ns0:c>
      <ns0:c r="G83" s="72">
        <ns0:v>35</ns0:v>
      </ns0:c>
      <ns0:c r="H83" s="72">
        <ns0:v>191</ns0:v>
      </ns0:c>
      <ns0:c r="I83" s="73">
        <ns0:v>600600</ns0:v>
      </ns0:c>
      <ns0:c r="J83" s="71">
        <ns0:v>2024</ns0:v>
      </ns0:c>
      <ns0:c r="K83" s="73">
        <ns0:v>3850</ns0:v>
      </ns0:c>
      <ns0:c r="L83" s="73">
        <ns0:v>3144.5026178010471</ns0:v>
      </ns0:c>
      <ns0:c r="M83" s="74" t="str">
        <ns0:f t="shared" si="14"/>
        <ns0:v>Histórico</ns0:v>
      </ns0:c>
      <ns0:c r="N83" s="74"/>
      <ns0:c r="O83" s="74"/>
      <ns0:c r="P83" s="77"/>
      <ns0:c r="Q83" s="74" t="str">
        <ns0:f t="shared" si="8"/>
        <ns0:v>Benchmark local</ns0:v>
      </ns0:c>
      <ns0:c r="R83" s="74" t="s">
        <ns0:v>32</ns0:v>
      </ns0:c>
      <ns0:c r="S83" s="74"/>
      <ns0:c r="T83" s="74"/>
      <ns0:c r="U83" s="74"/>
      <ns0:c r="V83" s="74"/>
      <ns0:c r="W83" s="76" t="n">
        <ns0:f t="shared" si="15"/>
        <ns0:v>0.2</ns0:v>
      </ns0:c>
      <ns0:c r="X83" s="74" t="str">
        <ns0:f t="shared" si="16"/>
        <ns0:v>C · Histórico/secundário</ns0:v>
      </ns0:c>
      <ns0:c r="Y83" s="74" t="str">
        <ns0:f t="shared" si="17"/>
        <ns0:v>Baixa</ns0:v>
      </ns0:c>
      <ns0:c r="Z83" s="74"/>
      <ns0:c r="AA83" s="74" t="str">
        <ns0:f t="shared" si="18"/>
        <ns0:v>Atualizar preço/status</ns0:v>
      </ns0:c>
      <ns0:c r="AB83" s="74" t="str">
        <ns0:f t="shared" si="19"/>
        <ns0:v>Alta</ns0:v>
      </ns0:c>
    </ns0:row>
    <ns0:row r="84">
      <ns0:c r="A84" s="71" t="s">
        <ns0:v>81</ns0:v>
      </ns0:c>
      <ns0:c r="B84" s="71" t="s">
        <ns0:v>110</ns0:v>
      </ns0:c>
      <ns0:c r="C84" s="71">
        <ns0:v>5</ns0:v>
      </ns0:c>
      <ns0:c r="D84" s="71" t="s">
        <ns0:v>31</ns0:v>
      </ns0:c>
      <ns0:c r="E84" s="71">
        <ns0:v>2</ns0:v>
      </ns0:c>
      <ns0:c r="F84" s="72">
        <ns0:v>101</ns0:v>
      </ns0:c>
      <ns0:c r="G84" s="72">
        <ns0:v>30</ns0:v>
      </ns0:c>
      <ns0:c r="H84" s="72">
        <ns0:v>131</ns0:v>
      </ns0:c>
      <ns0:c r="I84" s="73">
        <ns0:v>387200</ns0:v>
      </ns0:c>
      <ns0:c r="J84" s="71">
        <ns0:v>2024</ns0:v>
      </ns0:c>
      <ns0:c r="K84" s="73">
        <ns0:v>3833.6633663366342</ns0:v>
      </ns0:c>
      <ns0:c r="L84" s="73">
        <ns0:v>2955.7251908396952</ns0:v>
      </ns0:c>
      <ns0:c r="M84" s="74" t="str">
        <ns0:f t="shared" si="14"/>
        <ns0:v>Histórico</ns0:v>
      </ns0:c>
      <ns0:c r="N84" s="74"/>
      <ns0:c r="O84" s="74"/>
      <ns0:c r="P84" s="77"/>
      <ns0:c r="Q84" s="74" t="str">
        <ns0:f t="shared" si="8"/>
        <ns0:v>Benchmark local</ns0:v>
      </ns0:c>
      <ns0:c r="R84" s="74" t="s">
        <ns0:v>32</ns0:v>
      </ns0:c>
      <ns0:c r="S84" s="74"/>
      <ns0:c r="T84" s="74"/>
      <ns0:c r="U84" s="74"/>
      <ns0:c r="V84" s="74"/>
      <ns0:c r="W84" s="76" t="n">
        <ns0:f t="shared" si="15"/>
        <ns0:v>0.2</ns0:v>
      </ns0:c>
      <ns0:c r="X84" s="74" t="str">
        <ns0:f t="shared" si="16"/>
        <ns0:v>C · Histórico/secundário</ns0:v>
      </ns0:c>
      <ns0:c r="Y84" s="74" t="str">
        <ns0:f t="shared" si="17"/>
        <ns0:v>Baixa</ns0:v>
      </ns0:c>
      <ns0:c r="Z84" s="74"/>
      <ns0:c r="AA84" s="74" t="str">
        <ns0:f t="shared" si="18"/>
        <ns0:v>Atualizar preço/status</ns0:v>
      </ns0:c>
      <ns0:c r="AB84" s="74" t="str">
        <ns0:f t="shared" si="19"/>
        <ns0:v>Alta</ns0:v>
      </ns0:c>
    </ns0:row>
    <ns0:row r="85">
      <ns0:c r="A85" s="71" t="s">
        <ns0:v>81</ns0:v>
      </ns0:c>
      <ns0:c r="B85" s="71" t="s">
        <ns0:v>111</ns0:v>
      </ns0:c>
      <ns0:c r="C85" s="71">
        <ns0:v>6</ns0:v>
      </ns0:c>
      <ns0:c r="D85" s="71" t="s">
        <ns0:v>64</ns0:v>
      </ns0:c>
      <ns0:c r="E85" s="71">
        <ns0:v>3</ns0:v>
      </ns0:c>
      <ns0:c r="F85" s="72">
        <ns0:v>134</ns0:v>
      </ns0:c>
      <ns0:c r="G85" s="72">
        <ns0:v>29</ns0:v>
      </ns0:c>
      <ns0:c r="H85" s="72">
        <ns0:v>163</ns0:v>
      </ns0:c>
      <ns0:c r="I85" s="73">
        <ns0:v>534050</ns0:v>
      </ns0:c>
      <ns0:c r="J85" s="71">
        <ns0:v>2024</ns0:v>
      </ns0:c>
      <ns0:c r="K85" s="73">
        <ns0:v>3985.4477611940301</ns0:v>
      </ns0:c>
      <ns0:c r="L85" s="73">
        <ns0:v>3276.38036809816</ns0:v>
      </ns0:c>
      <ns0:c r="M85" s="74" t="str">
        <ns0:f t="shared" si="14"/>
        <ns0:v>Histórico</ns0:v>
      </ns0:c>
      <ns0:c r="N85" s="74"/>
      <ns0:c r="O85" s="74"/>
      <ns0:c r="P85" s="77"/>
      <ns0:c r="Q85" s="74" t="str">
        <ns0:f t="shared" si="8"/>
        <ns0:v>Benchmark local</ns0:v>
      </ns0:c>
      <ns0:c r="R85" s="74" t="s">
        <ns0:v>32</ns0:v>
      </ns0:c>
      <ns0:c r="S85" s="74"/>
      <ns0:c r="T85" s="74"/>
      <ns0:c r="U85" s="74"/>
      <ns0:c r="V85" s="74"/>
      <ns0:c r="W85" s="76" t="n">
        <ns0:f t="shared" si="15"/>
        <ns0:v>0.2</ns0:v>
      </ns0:c>
      <ns0:c r="X85" s="74" t="str">
        <ns0:f t="shared" si="16"/>
        <ns0:v>C · Histórico/secundário</ns0:v>
      </ns0:c>
      <ns0:c r="Y85" s="74" t="str">
        <ns0:f t="shared" si="17"/>
        <ns0:v>Baixa</ns0:v>
      </ns0:c>
      <ns0:c r="Z85" s="74"/>
      <ns0:c r="AA85" s="74" t="str">
        <ns0:f t="shared" si="18"/>
        <ns0:v>Atualizar preço/status</ns0:v>
      </ns0:c>
      <ns0:c r="AB85" s="74" t="str">
        <ns0:f t="shared" si="19"/>
        <ns0:v>Alta</ns0:v>
      </ns0:c>
    </ns0:row>
    <ns0:row r="86">
      <ns0:c r="A86" s="71" t="s">
        <ns0:v>81</ns0:v>
      </ns0:c>
      <ns0:c r="B86" s="71" t="s">
        <ns0:v>112</ns0:v>
      </ns0:c>
      <ns0:c r="C86" s="71">
        <ns0:v>6</ns0:v>
      </ns0:c>
      <ns0:c r="D86" s="71" t="s">
        <ns0:v>31</ns0:v>
      </ns0:c>
      <ns0:c r="E86" s="71">
        <ns0:v>4</ns0:v>
      </ns0:c>
      <ns0:c r="F86" s="72">
        <ns0:v>108</ns0:v>
      </ns0:c>
      <ns0:c r="G86" s="72">
        <ns0:v>28</ns0:v>
      </ns0:c>
      <ns0:c r="H86" s="72">
        <ns0:v>136</ns0:v>
      </ns0:c>
      <ns0:c r="I86" s="73">
        <ns0:v>436150</ns0:v>
      </ns0:c>
      <ns0:c r="J86" s="71">
        <ns0:v>2024</ns0:v>
      </ns0:c>
      <ns0:c r="K86" s="73">
        <ns0:v>4038.4259259259261</ns0:v>
      </ns0:c>
      <ns0:c r="L86" s="73">
        <ns0:v>3206.9852941176468</ns0:v>
      </ns0:c>
      <ns0:c r="M86" s="74" t="str">
        <ns0:f t="shared" si="14"/>
        <ns0:v>Histórico</ns0:v>
      </ns0:c>
      <ns0:c r="N86" s="74"/>
      <ns0:c r="O86" s="74"/>
      <ns0:c r="P86" s="77"/>
      <ns0:c r="Q86" s="74" t="str">
        <ns0:f t="shared" si="8"/>
        <ns0:v>Benchmark local</ns0:v>
      </ns0:c>
      <ns0:c r="R86" s="74" t="s">
        <ns0:v>32</ns0:v>
      </ns0:c>
      <ns0:c r="S86" s="74"/>
      <ns0:c r="T86" s="74"/>
      <ns0:c r="U86" s="74"/>
      <ns0:c r="V86" s="74"/>
      <ns0:c r="W86" s="76" t="n">
        <ns0:f t="shared" si="15"/>
        <ns0:v>0.2</ns0:v>
      </ns0:c>
      <ns0:c r="X86" s="74" t="str">
        <ns0:f t="shared" si="16"/>
        <ns0:v>C · Histórico/secundário</ns0:v>
      </ns0:c>
      <ns0:c r="Y86" s="74" t="str">
        <ns0:f t="shared" si="17"/>
        <ns0:v>Baixa</ns0:v>
      </ns0:c>
      <ns0:c r="Z86" s="74"/>
      <ns0:c r="AA86" s="74" t="str">
        <ns0:f t="shared" si="18"/>
        <ns0:v>Atualizar preço/status</ns0:v>
      </ns0:c>
      <ns0:c r="AB86" s="74" t="str">
        <ns0:f t="shared" si="19"/>
        <ns0:v>Alta</ns0:v>
      </ns0:c>
    </ns0:row>
    <ns0:row r="87">
      <ns0:c r="A87" s="71" t="s">
        <ns0:v>81</ns0:v>
      </ns0:c>
      <ns0:c r="B87" s="71" t="s">
        <ns0:v>113</ns0:v>
      </ns0:c>
      <ns0:c r="C87" s="71">
        <ns0:v>6</ns0:v>
      </ns0:c>
      <ns0:c r="D87" s="71" t="s">
        <ns0:v>31</ns0:v>
      </ns0:c>
      <ns0:c r="E87" s="71">
        <ns0:v>4</ns0:v>
      </ns0:c>
      <ns0:c r="F87" s="72">
        <ns0:v>108</ns0:v>
      </ns0:c>
      <ns0:c r="G87" s="72">
        <ns0:v>28</ns0:v>
      </ns0:c>
      <ns0:c r="H87" s="72">
        <ns0:v>136</ns0:v>
      </ns0:c>
      <ns0:c r="I87" s="73">
        <ns0:v>436150</ns0:v>
      </ns0:c>
      <ns0:c r="J87" s="71">
        <ns0:v>2024</ns0:v>
      </ns0:c>
      <ns0:c r="K87" s="73">
        <ns0:v>4038.4259259259261</ns0:v>
      </ns0:c>
      <ns0:c r="L87" s="73">
        <ns0:v>3206.9852941176468</ns0:v>
      </ns0:c>
      <ns0:c r="M87" s="74" t="str">
        <ns0:f t="shared" si="14"/>
        <ns0:v>Histórico</ns0:v>
      </ns0:c>
      <ns0:c r="N87" s="74"/>
      <ns0:c r="O87" s="74"/>
      <ns0:c r="P87" s="77"/>
      <ns0:c r="Q87" s="74" t="str">
        <ns0:f t="shared" si="8"/>
        <ns0:v>Benchmark local</ns0:v>
      </ns0:c>
      <ns0:c r="R87" s="74" t="s">
        <ns0:v>32</ns0:v>
      </ns0:c>
      <ns0:c r="S87" s="74"/>
      <ns0:c r="T87" s="74"/>
      <ns0:c r="U87" s="74"/>
      <ns0:c r="V87" s="74"/>
      <ns0:c r="W87" s="76" t="n">
        <ns0:f t="shared" si="15"/>
        <ns0:v>0.2</ns0:v>
      </ns0:c>
      <ns0:c r="X87" s="74" t="str">
        <ns0:f t="shared" si="16"/>
        <ns0:v>C · Histórico/secundário</ns0:v>
      </ns0:c>
      <ns0:c r="Y87" s="74" t="str">
        <ns0:f t="shared" si="17"/>
        <ns0:v>Baixa</ns0:v>
      </ns0:c>
      <ns0:c r="Z87" s="74"/>
      <ns0:c r="AA87" s="74" t="str">
        <ns0:f t="shared" si="18"/>
        <ns0:v>Atualizar preço/status</ns0:v>
      </ns0:c>
      <ns0:c r="AB87" s="74" t="str">
        <ns0:f t="shared" si="19"/>
        <ns0:v>Alta</ns0:v>
      </ns0:c>
    </ns0:row>
    <ns0:row r="88">
      <ns0:c r="A88" s="71" t="s">
        <ns0:v>81</ns0:v>
      </ns0:c>
      <ns0:c r="B88" s="71" t="s">
        <ns0:v>114</ns0:v>
      </ns0:c>
      <ns0:c r="C88" s="71">
        <ns0:v>6</ns0:v>
      </ns0:c>
      <ns0:c r="D88" s="71" t="s">
        <ns0:v>104</ns0:v>
      </ns0:c>
      <ns0:c r="E88" s="71">
        <ns0:v>1</ns0:v>
      </ns0:c>
      <ns0:c r="F88" s="72">
        <ns0:v>156</ns0:v>
      </ns0:c>
      <ns0:c r="G88" s="72">
        <ns0:v>35</ns0:v>
      </ns0:c>
      <ns0:c r="H88" s="72">
        <ns0:v>191</ns0:v>
      </ns0:c>
      <ns0:c r="I88" s="73">
        <ns0:v>611600</ns0:v>
      </ns0:c>
      <ns0:c r="J88" s="71">
        <ns0:v>2024</ns0:v>
      </ns0:c>
      <ns0:c r="K88" s="73">
        <ns0:v>3920.5128205128199</ns0:v>
      </ns0:c>
      <ns0:c r="L88" s="73">
        <ns0:v>3202.0942408376959</ns0:v>
      </ns0:c>
      <ns0:c r="M88" s="74" t="str">
        <ns0:f t="shared" si="14"/>
        <ns0:v>Histórico</ns0:v>
      </ns0:c>
      <ns0:c r="N88" s="74"/>
      <ns0:c r="O88" s="74"/>
      <ns0:c r="P88" s="77"/>
      <ns0:c r="Q88" s="74" t="str">
        <ns0:f t="shared" si="8"/>
        <ns0:v>Benchmark local</ns0:v>
      </ns0:c>
      <ns0:c r="R88" s="74" t="s">
        <ns0:v>32</ns0:v>
      </ns0:c>
      <ns0:c r="S88" s="74"/>
      <ns0:c r="T88" s="74"/>
      <ns0:c r="U88" s="74"/>
      <ns0:c r="V88" s="74"/>
      <ns0:c r="W88" s="76" t="n">
        <ns0:f t="shared" si="15"/>
        <ns0:v>0.2</ns0:v>
      </ns0:c>
      <ns0:c r="X88" s="74" t="str">
        <ns0:f t="shared" si="16"/>
        <ns0:v>C · Histórico/secundário</ns0:v>
      </ns0:c>
      <ns0:c r="Y88" s="74" t="str">
        <ns0:f t="shared" si="17"/>
        <ns0:v>Baixa</ns0:v>
      </ns0:c>
      <ns0:c r="Z88" s="74"/>
      <ns0:c r="AA88" s="74" t="str">
        <ns0:f t="shared" si="18"/>
        <ns0:v>Atualizar preço/status</ns0:v>
      </ns0:c>
      <ns0:c r="AB88" s="74" t="str">
        <ns0:f t="shared" si="19"/>
        <ns0:v>Alta</ns0:v>
      </ns0:c>
    </ns0:row>
    <ns0:row r="89">
      <ns0:c r="A89" s="71" t="s">
        <ns0:v>81</ns0:v>
      </ns0:c>
      <ns0:c r="B89" s="71" t="s">
        <ns0:v>115</ns0:v>
      </ns0:c>
      <ns0:c r="C89" s="71">
        <ns0:v>6</ns0:v>
      </ns0:c>
      <ns0:c r="D89" s="71" t="s">
        <ns0:v>31</ns0:v>
      </ns0:c>
      <ns0:c r="E89" s="71">
        <ns0:v>2</ns0:v>
      </ns0:c>
      <ns0:c r="F89" s="72">
        <ns0:v>101</ns0:v>
      </ns0:c>
      <ns0:c r="G89" s="72">
        <ns0:v>30</ns0:v>
      </ns0:c>
      <ns0:c r="H89" s="72">
        <ns0:v>131</ns0:v>
      </ns0:c>
      <ns0:c r="I89" s="73">
        <ns0:v>414700</ns0:v>
      </ns0:c>
      <ns0:c r="J89" s="71">
        <ns0:v>2024</ns0:v>
      </ns0:c>
      <ns0:c r="K89" s="73">
        <ns0:v>4105.9405940594061</ns0:v>
      </ns0:c>
      <ns0:c r="L89" s="73">
        <ns0:v>3165.6488549618321</ns0:v>
      </ns0:c>
      <ns0:c r="M89" s="74" t="str">
        <ns0:f t="shared" si="14"/>
        <ns0:v>Histórico</ns0:v>
      </ns0:c>
      <ns0:c r="N89" s="74"/>
      <ns0:c r="O89" s="74"/>
      <ns0:c r="P89" s="77"/>
      <ns0:c r="Q89" s="74" t="str">
        <ns0:f t="shared" si="8"/>
        <ns0:v>Benchmark local</ns0:v>
      </ns0:c>
      <ns0:c r="R89" s="74" t="s">
        <ns0:v>32</ns0:v>
      </ns0:c>
      <ns0:c r="S89" s="74"/>
      <ns0:c r="T89" s="74"/>
      <ns0:c r="U89" s="74"/>
      <ns0:c r="V89" s="74"/>
      <ns0:c r="W89" s="76" t="n">
        <ns0:f t="shared" si="15"/>
        <ns0:v>0.2</ns0:v>
      </ns0:c>
      <ns0:c r="X89" s="74" t="str">
        <ns0:f t="shared" si="16"/>
        <ns0:v>C · Histórico/secundário</ns0:v>
      </ns0:c>
      <ns0:c r="Y89" s="74" t="str">
        <ns0:f t="shared" si="17"/>
        <ns0:v>Baixa</ns0:v>
      </ns0:c>
      <ns0:c r="Z89" s="74"/>
      <ns0:c r="AA89" s="74" t="str">
        <ns0:f t="shared" si="18"/>
        <ns0:v>Atualizar preço/status</ns0:v>
      </ns0:c>
      <ns0:c r="AB89" s="74" t="str">
        <ns0:f t="shared" si="19"/>
        <ns0:v>Alta</ns0:v>
      </ns0:c>
    </ns0:row>
    <ns0:row r="90">
      <ns0:c r="A90" s="71" t="s">
        <ns0:v>81</ns0:v>
      </ns0:c>
      <ns0:c r="B90" s="71" t="s">
        <ns0:v>82</ns0:v>
      </ns0:c>
      <ns0:c r="C90" s="71">
        <ns0:v>1</ns0:v>
      </ns0:c>
      <ns0:c r="D90" s="71" t="s">
        <ns0:v>64</ns0:v>
      </ns0:c>
      <ns0:c r="E90" s="71">
        <ns0:v>3</ns0:v>
      </ns0:c>
      <ns0:c r="F90" s="72">
        <ns0:v>130</ns0:v>
      </ns0:c>
      <ns0:c r="G90" s="72">
        <ns0:v>87</ns0:v>
      </ns0:c>
      <ns0:c r="H90" s="72">
        <ns0:v>217</ns0:v>
      </ns0:c>
      <ns0:c r="I90" s="73">
        <ns0:v>537900</ns0:v>
      </ns0:c>
      <ns0:c r="J90" s="71">
        <ns0:v>2024</ns0:v>
      </ns0:c>
      <ns0:c r="K90" s="73">
        <ns0:v>4137.6923076923076</ns0:v>
      </ns0:c>
      <ns0:c r="L90" s="73">
        <ns0:v>2478.8018433179718</ns0:v>
      </ns0:c>
      <ns0:c r="M90" s="74" t="str">
        <ns0:f t="shared" si="14"/>
        <ns0:v>Histórico</ns0:v>
      </ns0:c>
      <ns0:c r="N90" s="74"/>
      <ns0:c r="O90" s="74"/>
      <ns0:c r="P90" s="77"/>
      <ns0:c r="Q90" s="74" t="str">
        <ns0:f t="shared" si="8"/>
        <ns0:v>Benchmark local</ns0:v>
      </ns0:c>
      <ns0:c r="R90" s="74" t="s">
        <ns0:v>32</ns0:v>
      </ns0:c>
      <ns0:c r="S90" s="74"/>
      <ns0:c r="T90" s="74"/>
      <ns0:c r="U90" s="74"/>
      <ns0:c r="V90" s="74"/>
      <ns0:c r="W90" s="76" t="n">
        <ns0:f t="shared" si="15"/>
        <ns0:v>0.2</ns0:v>
      </ns0:c>
      <ns0:c r="X90" s="74" t="str">
        <ns0:f t="shared" si="16"/>
        <ns0:v>C · Histórico/secundário</ns0:v>
      </ns0:c>
      <ns0:c r="Y90" s="74" t="str">
        <ns0:f t="shared" si="17"/>
        <ns0:v>Baixa</ns0:v>
      </ns0:c>
      <ns0:c r="Z90" s="74"/>
      <ns0:c r="AA90" s="74" t="str">
        <ns0:f t="shared" si="18"/>
        <ns0:v>Atualizar preço/status</ns0:v>
      </ns0:c>
      <ns0:c r="AB90" s="74" t="str">
        <ns0:f t="shared" si="19"/>
        <ns0:v>Alta</ns0:v>
      </ns0:c>
    </ns0:row>
    <ns0:row r="91">
      <ns0:c r="A91" s="71" t="s">
        <ns0:v>81</ns0:v>
      </ns0:c>
      <ns0:c r="B91" s="71" t="s">
        <ns0:v>83</ns0:v>
      </ns0:c>
      <ns0:c r="C91" s="71">
        <ns0:v>1</ns0:v>
      </ns0:c>
      <ns0:c r="D91" s="71" t="s">
        <ns0:v>42</ns0:v>
      </ns0:c>
      <ns0:c r="E91" s="71">
        <ns0:v>4</ns0:v>
      </ns0:c>
      <ns0:c r="F91" s="72">
        <ns0:v>58</ns0:v>
      </ns0:c>
      <ns0:c r="G91" s="72">
        <ns0:v>6</ns0:v>
      </ns0:c>
      <ns0:c r="H91" s="72">
        <ns0:v>64</ns0:v>
      </ns0:c>
      <ns0:c r="I91" s="73">
        <ns0:v>232650</ns0:v>
      </ns0:c>
      <ns0:c r="J91" s="71">
        <ns0:v>2024</ns0:v>
      </ns0:c>
      <ns0:c r="K91" s="73">
        <ns0:v>4011.2068965517242</ns0:v>
      </ns0:c>
      <ns0:c r="L91" s="73">
        <ns0:v>3635.15625</ns0:v>
      </ns0:c>
      <ns0:c r="M91" s="74" t="str">
        <ns0:f t="shared" si="14"/>
        <ns0:v>Histórico</ns0:v>
      </ns0:c>
      <ns0:c r="N91" s="74"/>
      <ns0:c r="O91" s="74"/>
      <ns0:c r="P91" s="77"/>
      <ns0:c r="Q91" s="74" t="str">
        <ns0:f t="shared" si="8"/>
        <ns0:v>Benchmark local</ns0:v>
      </ns0:c>
      <ns0:c r="R91" s="74" t="s">
        <ns0:v>32</ns0:v>
      </ns0:c>
      <ns0:c r="S91" s="74"/>
      <ns0:c r="T91" s="74"/>
      <ns0:c r="U91" s="74"/>
      <ns0:c r="V91" s="74"/>
      <ns0:c r="W91" s="76" t="n">
        <ns0:f t="shared" si="15"/>
        <ns0:v>0.2</ns0:v>
      </ns0:c>
      <ns0:c r="X91" s="74" t="str">
        <ns0:f t="shared" si="16"/>
        <ns0:v>C · Histórico/secundário</ns0:v>
      </ns0:c>
      <ns0:c r="Y91" s="74" t="str">
        <ns0:f t="shared" si="17"/>
        <ns0:v>Baixa</ns0:v>
      </ns0:c>
      <ns0:c r="Z91" s="74"/>
      <ns0:c r="AA91" s="74" t="str">
        <ns0:f t="shared" si="18"/>
        <ns0:v>Atualizar preço/status</ns0:v>
      </ns0:c>
      <ns0:c r="AB91" s="74" t="str">
        <ns0:f t="shared" si="19"/>
        <ns0:v>Alta</ns0:v>
      </ns0:c>
    </ns0:row>
    <ns0:row r="92">
      <ns0:c r="A92" s="71" t="s">
        <ns0:v>81</ns0:v>
      </ns0:c>
      <ns0:c r="B92" s="71" t="s">
        <ns0:v>90</ns0:v>
      </ns0:c>
      <ns0:c r="C92" s="71">
        <ns0:v>1</ns0:v>
      </ns0:c>
      <ns0:c r="D92" s="71" t="s">
        <ns0:v>64</ns0:v>
      </ns0:c>
      <ns0:c r="E92" s="71">
        <ns0:v>1</ns0:v>
      </ns0:c>
      <ns0:c r="F92" s="72">
        <ns0:v>126</ns0:v>
      </ns0:c>
      <ns0:c r="G92" s="72">
        <ns0:v>74</ns0:v>
      </ns0:c>
      <ns0:c r="H92" s="72">
        <ns0:v>200</ns0:v>
      </ns0:c>
      <ns0:c r="I92" s="73">
        <ns0:v>519750</ns0:v>
      </ns0:c>
      <ns0:c r="J92" s="71">
        <ns0:v>2024</ns0:v>
      </ns0:c>
      <ns0:c r="K92" s="73">
        <ns0:v>4125</ns0:v>
      </ns0:c>
      <ns0:c r="L92" s="73">
        <ns0:v>2598.75</ns0:v>
      </ns0:c>
      <ns0:c r="M92" s="74" t="str">
        <ns0:f t="shared" si="14"/>
        <ns0:v>Histórico</ns0:v>
      </ns0:c>
      <ns0:c r="N92" s="74"/>
      <ns0:c r="O92" s="74"/>
      <ns0:c r="P92" s="77"/>
      <ns0:c r="Q92" s="74" t="str">
        <ns0:f t="shared" si="8"/>
        <ns0:v>Benchmark local</ns0:v>
      </ns0:c>
      <ns0:c r="R92" s="74" t="s">
        <ns0:v>32</ns0:v>
      </ns0:c>
      <ns0:c r="S92" s="74"/>
      <ns0:c r="T92" s="74"/>
      <ns0:c r="U92" s="74"/>
      <ns0:c r="V92" s="74"/>
      <ns0:c r="W92" s="76" t="n">
        <ns0:f t="shared" si="15"/>
        <ns0:v>0.2</ns0:v>
      </ns0:c>
      <ns0:c r="X92" s="74" t="str">
        <ns0:f t="shared" si="16"/>
        <ns0:v>C · Histórico/secundário</ns0:v>
      </ns0:c>
      <ns0:c r="Y92" s="74" t="str">
        <ns0:f t="shared" si="17"/>
        <ns0:v>Baixa</ns0:v>
      </ns0:c>
      <ns0:c r="Z92" s="74"/>
      <ns0:c r="AA92" s="74" t="str">
        <ns0:f t="shared" si="18"/>
        <ns0:v>Atualizar preço/status</ns0:v>
      </ns0:c>
      <ns0:c r="AB92" s="74" t="str">
        <ns0:f t="shared" si="19"/>
        <ns0:v>Alta</ns0:v>
      </ns0:c>
    </ns0:row>
    <ns0:row r="93">
      <ns0:c r="A93" s="71" t="s">
        <ns0:v>81</ns0:v>
      </ns0:c>
      <ns0:c r="B93" s="71" t="s">
        <ns0:v>84</ns0:v>
      </ns0:c>
      <ns0:c r="C93" s="71">
        <ns0:v>2</ns0:v>
      </ns0:c>
      <ns0:c r="D93" s="71" t="s">
        <ns0:v>64</ns0:v>
      </ns0:c>
      <ns0:c r="E93" s="71">
        <ns0:v>3</ns0:v>
      </ns0:c>
      <ns0:c r="F93" s="72">
        <ns0:v>130</ns0:v>
      </ns0:c>
      <ns0:c r="G93" s="72">
        <ns0:v>28</ns0:v>
      </ns0:c>
      <ns0:c r="H93" s="72">
        <ns0:v>158</ns0:v>
      </ns0:c>
      <ns0:c r="I93" s="73">
        <ns0:v>502150</ns0:v>
      </ns0:c>
      <ns0:c r="J93" s="71">
        <ns0:v>2024</ns0:v>
      </ns0:c>
      <ns0:c r="K93" s="73">
        <ns0:v>3862.6923076923081</ns0:v>
      </ns0:c>
      <ns0:c r="L93" s="73">
        <ns0:v>3178.164556962025</ns0:v>
      </ns0:c>
      <ns0:c r="M93" s="74" t="str">
        <ns0:f t="shared" si="14"/>
        <ns0:v>Histórico</ns0:v>
      </ns0:c>
      <ns0:c r="N93" s="74"/>
      <ns0:c r="O93" s="74"/>
      <ns0:c r="P93" s="77"/>
      <ns0:c r="Q93" s="74" t="str">
        <ns0:f t="shared" si="8"/>
        <ns0:v>Benchmark local</ns0:v>
      </ns0:c>
      <ns0:c r="R93" s="74" t="s">
        <ns0:v>32</ns0:v>
      </ns0:c>
      <ns0:c r="S93" s="74"/>
      <ns0:c r="T93" s="74"/>
      <ns0:c r="U93" s="74"/>
      <ns0:c r="V93" s="74"/>
      <ns0:c r="W93" s="76" t="n">
        <ns0:f t="shared" si="15"/>
        <ns0:v>0.2</ns0:v>
      </ns0:c>
      <ns0:c r="X93" s="74" t="str">
        <ns0:f t="shared" si="16"/>
        <ns0:v>C · Histórico/secundário</ns0:v>
      </ns0:c>
      <ns0:c r="Y93" s="74" t="str">
        <ns0:f t="shared" si="17"/>
        <ns0:v>Baixa</ns0:v>
      </ns0:c>
      <ns0:c r="Z93" s="74"/>
      <ns0:c r="AA93" s="74" t="str">
        <ns0:f t="shared" si="18"/>
        <ns0:v>Atualizar preço/status</ns0:v>
      </ns0:c>
      <ns0:c r="AB93" s="74" t="str">
        <ns0:f t="shared" si="19"/>
        <ns0:v>Alta</ns0:v>
      </ns0:c>
    </ns0:row>
    <ns0:row r="94">
      <ns0:c r="A94" s="71" t="s">
        <ns0:v>81</ns0:v>
      </ns0:c>
      <ns0:c r="B94" s="71" t="s">
        <ns0:v>85</ns0:v>
      </ns0:c>
      <ns0:c r="C94" s="71">
        <ns0:v>2</ns0:v>
      </ns0:c>
      <ns0:c r="D94" s="71" t="s">
        <ns0:v>42</ns0:v>
      </ns0:c>
      <ns0:c r="E94" s="71">
        <ns0:v>4</ns0:v>
      </ns0:c>
      <ns0:c r="F94" s="72">
        <ns0:v>65</ns0:v>
      </ns0:c>
      <ns0:c r="G94" s="72">
        <ns0:v>15</ns0:v>
      </ns0:c>
      <ns0:c r="H94" s="72">
        <ns0:v>80</ns0:v>
      </ns0:c>
      <ns0:c r="I94" s="73">
        <ns0:v>272250</ns0:v>
      </ns0:c>
      <ns0:c r="J94" s="71">
        <ns0:v>2024</ns0:v>
      </ns0:c>
      <ns0:c r="K94" s="73">
        <ns0:v>4188.4615384615381</ns0:v>
      </ns0:c>
      <ns0:c r="L94" s="73">
        <ns0:v>3403.125</ns0:v>
      </ns0:c>
      <ns0:c r="M94" s="74" t="str">
        <ns0:f t="shared" si="14"/>
        <ns0:v>Histórico</ns0:v>
      </ns0:c>
      <ns0:c r="N94" s="74"/>
      <ns0:c r="O94" s="74"/>
      <ns0:c r="P94" s="77"/>
      <ns0:c r="Q94" s="74" t="str">
        <ns0:f t="shared" si="8"/>
        <ns0:v>Benchmark local</ns0:v>
      </ns0:c>
      <ns0:c r="R94" s="74" t="s">
        <ns0:v>32</ns0:v>
      </ns0:c>
      <ns0:c r="S94" s="74"/>
      <ns0:c r="T94" s="74"/>
      <ns0:c r="U94" s="74"/>
      <ns0:c r="V94" s="74"/>
      <ns0:c r="W94" s="76" t="n">
        <ns0:f t="shared" si="15"/>
        <ns0:v>0.2</ns0:v>
      </ns0:c>
      <ns0:c r="X94" s="74" t="str">
        <ns0:f t="shared" si="16"/>
        <ns0:v>C · Histórico/secundário</ns0:v>
      </ns0:c>
      <ns0:c r="Y94" s="74" t="str">
        <ns0:f t="shared" si="17"/>
        <ns0:v>Baixa</ns0:v>
      </ns0:c>
      <ns0:c r="Z94" s="74"/>
      <ns0:c r="AA94" s="74" t="str">
        <ns0:f t="shared" si="18"/>
        <ns0:v>Atualizar preço/status</ns0:v>
      </ns0:c>
      <ns0:c r="AB94" s="74" t="str">
        <ns0:f t="shared" si="19"/>
        <ns0:v>Alta</ns0:v>
      </ns0:c>
    </ns0:row>
    <ns0:row r="95">
      <ns0:c r="A95" s="71" t="s">
        <ns0:v>81</ns0:v>
      </ns0:c>
      <ns0:c r="B95" s="71" t="s">
        <ns0:v>94</ns0:v>
      </ns0:c>
      <ns0:c r="C95" s="71">
        <ns0:v>2</ns0:v>
      </ns0:c>
      <ns0:c r="D95" s="71" t="s">
        <ns0:v>64</ns0:v>
      </ns0:c>
      <ns0:c r="E95" s="71">
        <ns0:v>1</ns0:v>
      </ns0:c>
      <ns0:c r="F95" s="72">
        <ns0:v>126</ns0:v>
      </ns0:c>
      <ns0:c r="G95" s="72">
        <ns0:v>29</ns0:v>
      </ns0:c>
      <ns0:c r="H95" s="72">
        <ns0:v>155</ns0:v>
      </ns0:c>
      <ns0:c r="I95" s="73">
        <ns0:v>488950</ns0:v>
      </ns0:c>
      <ns0:c r="J95" s="71">
        <ns0:v>2024</ns0:v>
      </ns0:c>
      <ns0:c r="K95" s="73">
        <ns0:v>3880.5555555555561</ns0:v>
      </ns0:c>
      <ns0:c r="L95" s="73">
        <ns0:v>3154.516129032258</ns0:v>
      </ns0:c>
      <ns0:c r="M95" s="74" t="str">
        <ns0:f t="shared" si="14"/>
        <ns0:v>Histórico</ns0:v>
      </ns0:c>
      <ns0:c r="N95" s="74"/>
      <ns0:c r="O95" s="74"/>
      <ns0:c r="P95" s="77"/>
      <ns0:c r="Q95" s="74" t="str">
        <ns0:f t="shared" si="8"/>
        <ns0:v>Benchmark local</ns0:v>
      </ns0:c>
      <ns0:c r="R95" s="74" t="s">
        <ns0:v>32</ns0:v>
      </ns0:c>
      <ns0:c r="S95" s="74"/>
      <ns0:c r="T95" s="74"/>
      <ns0:c r="U95" s="74"/>
      <ns0:c r="V95" s="74"/>
      <ns0:c r="W95" s="76" t="n">
        <ns0:f t="shared" si="15"/>
        <ns0:v>0.2</ns0:v>
      </ns0:c>
      <ns0:c r="X95" s="74" t="str">
        <ns0:f t="shared" si="16"/>
        <ns0:v>C · Histórico/secundário</ns0:v>
      </ns0:c>
      <ns0:c r="Y95" s="74" t="str">
        <ns0:f t="shared" si="17"/>
        <ns0:v>Baixa</ns0:v>
      </ns0:c>
      <ns0:c r="Z95" s="74"/>
      <ns0:c r="AA95" s="74" t="str">
        <ns0:f t="shared" si="18"/>
        <ns0:v>Atualizar preço/status</ns0:v>
      </ns0:c>
      <ns0:c r="AB95" s="74" t="str">
        <ns0:f t="shared" si="19"/>
        <ns0:v>Alta</ns0:v>
      </ns0:c>
    </ns0:row>
    <ns0:row r="96">
      <ns0:c r="A96" s="71" t="s">
        <ns0:v>81</ns0:v>
      </ns0:c>
      <ns0:c r="B96" s="71" t="s">
        <ns0:v>86</ns0:v>
      </ns0:c>
      <ns0:c r="C96" s="71">
        <ns0:v>3</ns0:v>
      </ns0:c>
      <ns0:c r="D96" s="71" t="s">
        <ns0:v>64</ns0:v>
      </ns0:c>
      <ns0:c r="E96" s="71">
        <ns0:v>3</ns0:v>
      </ns0:c>
      <ns0:c r="F96" s="72">
        <ns0:v>130</ns0:v>
      </ns0:c>
      <ns0:c r="G96" s="72">
        <ns0:v>28</ns0:v>
      </ns0:c>
      <ns0:c r="H96" s="72">
        <ns0:v>158</ns0:v>
      </ns0:c>
      <ns0:c r="I96" s="73">
        <ns0:v>503800</ns0:v>
      </ns0:c>
      <ns0:c r="J96" s="71">
        <ns0:v>2024</ns0:v>
      </ns0:c>
      <ns0:c r="K96" s="73">
        <ns0:v>3875.3846153846148</ns0:v>
      </ns0:c>
      <ns0:c r="L96" s="73">
        <ns0:v>3188.6075949367091</ns0:v>
      </ns0:c>
      <ns0:c r="M96" s="74" t="str">
        <ns0:f t="shared" si="14"/>
        <ns0:v>Histórico</ns0:v>
      </ns0:c>
      <ns0:c r="N96" s="74"/>
      <ns0:c r="O96" s="74"/>
      <ns0:c r="P96" s="77"/>
      <ns0:c r="Q96" s="74" t="str">
        <ns0:f t="shared" si="8"/>
        <ns0:v>Benchmark local</ns0:v>
      </ns0:c>
      <ns0:c r="R96" s="74" t="s">
        <ns0:v>32</ns0:v>
      </ns0:c>
      <ns0:c r="S96" s="74"/>
      <ns0:c r="T96" s="74"/>
      <ns0:c r="U96" s="74"/>
      <ns0:c r="V96" s="74"/>
      <ns0:c r="W96" s="76" t="n">
        <ns0:f t="shared" si="15"/>
        <ns0:v>0.2</ns0:v>
      </ns0:c>
      <ns0:c r="X96" s="74" t="str">
        <ns0:f t="shared" si="16"/>
        <ns0:v>C · Histórico/secundário</ns0:v>
      </ns0:c>
      <ns0:c r="Y96" s="74" t="str">
        <ns0:f t="shared" si="17"/>
        <ns0:v>Baixa</ns0:v>
      </ns0:c>
      <ns0:c r="Z96" s="74"/>
      <ns0:c r="AA96" s="74" t="str">
        <ns0:f t="shared" si="18"/>
        <ns0:v>Atualizar preço/status</ns0:v>
      </ns0:c>
      <ns0:c r="AB96" s="74" t="str">
        <ns0:f t="shared" si="19"/>
        <ns0:v>Alta</ns0:v>
      </ns0:c>
    </ns0:row>
    <ns0:row r="97">
      <ns0:c r="A97" s="71" t="s">
        <ns0:v>81</ns0:v>
      </ns0:c>
      <ns0:c r="B97" s="71" t="s">
        <ns0:v>87</ns0:v>
      </ns0:c>
      <ns0:c r="C97" s="71">
        <ns0:v>3</ns0:v>
      </ns0:c>
      <ns0:c r="D97" s="71" t="s">
        <ns0:v>42</ns0:v>
      </ns0:c>
      <ns0:c r="E97" s="71">
        <ns0:v>4</ns0:v>
      </ns0:c>
      <ns0:c r="F97" s="72">
        <ns0:v>65</ns0:v>
      </ns0:c>
      <ns0:c r="G97" s="72">
        <ns0:v>15</ns0:v>
      </ns0:c>
      <ns0:c r="H97" s="72">
        <ns0:v>80</ns0:v>
      </ns0:c>
      <ns0:c r="I97" s="73">
        <ns0:v>273900</ns0:v>
      </ns0:c>
      <ns0:c r="J97" s="71">
        <ns0:v>2024</ns0:v>
      </ns0:c>
      <ns0:c r="K97" s="73">
        <ns0:v>4213.8461538461543</ns0:v>
      </ns0:c>
      <ns0:c r="L97" s="73">
        <ns0:v>3423.75</ns0:v>
      </ns0:c>
      <ns0:c r="M97" s="74" t="str">
        <ns0:f t="shared" si="14"/>
        <ns0:v>Histórico</ns0:v>
      </ns0:c>
      <ns0:c r="N97" s="74"/>
      <ns0:c r="O97" s="74"/>
      <ns0:c r="P97" s="77"/>
      <ns0:c r="Q97" s="74" t="str">
        <ns0:f t="shared" si="8"/>
        <ns0:v>Benchmark local</ns0:v>
      </ns0:c>
      <ns0:c r="R97" s="74" t="s">
        <ns0:v>32</ns0:v>
      </ns0:c>
      <ns0:c r="S97" s="74"/>
      <ns0:c r="T97" s="74"/>
      <ns0:c r="U97" s="74"/>
      <ns0:c r="V97" s="74"/>
      <ns0:c r="W97" s="76" t="n">
        <ns0:f t="shared" si="15"/>
        <ns0:v>0.2</ns0:v>
      </ns0:c>
      <ns0:c r="X97" s="74" t="str">
        <ns0:f t="shared" si="16"/>
        <ns0:v>C · Histórico/secundário</ns0:v>
      </ns0:c>
      <ns0:c r="Y97" s="74" t="str">
        <ns0:f t="shared" si="17"/>
        <ns0:v>Baixa</ns0:v>
      </ns0:c>
      <ns0:c r="Z97" s="74"/>
      <ns0:c r="AA97" s="74" t="str">
        <ns0:f t="shared" si="18"/>
        <ns0:v>Atualizar preço/status</ns0:v>
      </ns0:c>
      <ns0:c r="AB97" s="74" t="str">
        <ns0:f t="shared" si="19"/>
        <ns0:v>Alta</ns0:v>
      </ns0:c>
    </ns0:row>
    <ns0:row r="98">
      <ns0:c r="A98" s="71" t="s">
        <ns0:v>81</ns0:v>
      </ns0:c>
      <ns0:c r="B98" s="71" t="s">
        <ns0:v>98</ns0:v>
      </ns0:c>
      <ns0:c r="C98" s="71">
        <ns0:v>3</ns0:v>
      </ns0:c>
      <ns0:c r="D98" s="71" t="s">
        <ns0:v>64</ns0:v>
      </ns0:c>
      <ns0:c r="E98" s="71">
        <ns0:v>1</ns0:v>
      </ns0:c>
      <ns0:c r="F98" s="72">
        <ns0:v>126</ns0:v>
      </ns0:c>
      <ns0:c r="G98" s="72">
        <ns0:v>29</ns0:v>
      </ns0:c>
      <ns0:c r="H98" s="72">
        <ns0:v>155</ns0:v>
      </ns0:c>
      <ns0:c r="I98" s="73">
        <ns0:v>490600</ns0:v>
      </ns0:c>
      <ns0:c r="J98" s="71">
        <ns0:v>2024</ns0:v>
      </ns0:c>
      <ns0:c r="K98" s="73">
        <ns0:v>3893.6507936507942</ns0:v>
      </ns0:c>
      <ns0:c r="L98" s="73">
        <ns0:v>3165.16129032258</ns0:v>
      </ns0:c>
      <ns0:c r="M98" s="74" t="str">
        <ns0:f t="shared" ref="M98:M129" si="20">IF(A98="The View","Projeto",IF(J98&gt;=2026,"Ativo",IF(J98=2025,"Rever","Histórico")))</ns0:f>
        <ns0:v>Histórico</ns0:v>
      </ns0:c>
      <ns0:c r="N98" s="74"/>
      <ns0:c r="O98" s="74"/>
      <ns0:c r="P98" s="77"/>
      <ns0:c r="Q98" s="74" t="str">
        <ns0:f t="shared" ref="Q98:Q161" si="21">IF(A98="The View","Projeto",IF(A98="Le Parc","Benchmark local",IF(OR(A98="Del Mar Waterfront",A98="Aura Living"),"Premium waterfront/marina","A classificar")))</ns0:f>
        <ns0:v>Benchmark local</ns0:v>
      </ns0:c>
      <ns0:c r="R98" s="74" t="s">
        <ns0:v>32</ns0:v>
      </ns0:c>
      <ns0:c r="S98" s="74"/>
      <ns0:c r="T98" s="74"/>
      <ns0:c r="U98" s="74"/>
      <ns0:c r="V98" s="74"/>
      <ns0:c r="W98" s="76" t="n">
        <ns0:f t="shared" ref="W98:W129" si="22">IF(A98="The View",1,MAX(0.25,MIN(1,IF(J98&gt;=2026,1,IF(J98=2025,0.8,IF(J98=2024,0.45,0.3)))*IF(Q98="Premium waterfront/marina",1,IF(Q98="Benchmark local",0.7,0.6))*IF(M98="Vendido",0.65,IF(M98="Reservado",0.8,IF(M98="Histórico",0.55,1))))))</ns0:f>
        <ns0:v>0.2</ns0:v>
      </ns0:c>
      <ns0:c r="X98" s="74" t="str">
        <ns0:f t="shared" ref="X98:X129" si="23">IF(A98="The View","Projeto",IF(W98&gt;=0.85,"A · Premium ativo",IF(W98&gt;=0.55,"B · Benchmark local","C · Histórico/secundário")))</ns0:f>
        <ns0:v>C · Histórico/secundário</ns0:v>
      </ns0:c>
      <ns0:c r="Y98" s="74" t="str">
        <ns0:f t="shared" ref="Y98:Y129" si="24">IF(A98="The View","N/A",IF(AND(N98&lt;&gt;"",O98&lt;&gt;"",P98&lt;&gt;""),"Alta",IF(OR(N98&lt;&gt;"",O98&lt;&gt;"",P98&lt;&gt;""),"Média","Baixa")))</ns0:f>
        <ns0:v>Baixa</ns0:v>
      </ns0:c>
      <ns0:c r="Z98" s="74"/>
      <ns0:c r="AA98" s="74" t="str">
        <ns0:f t="shared" ref="AA98:AA129" si="25">IF(A98="The View","Manter",IF(J98&lt;2026,"Atualizar preço/status",IF(Y98="Baixa","Adicionar fonte/URL/data",IF(W98&lt;0.55,"Rever comparabilidade","OK"))))</ns0:f>
        <ns0:v>Atualizar preço/status</ns0:v>
      </ns0:c>
      <ns0:c r="AB98" s="74" t="str">
        <ns0:f t="shared" ref="AB98:AB129" si="26">IF(A98="The View","",IF(OR(J98&lt;2026,Y98="Baixa"),"Alta",IF(W98&lt;0.55,"Média","Baixa")))</ns0:f>
        <ns0:v>Alta</ns0:v>
      </ns0:c>
    </ns0:row>
    <ns0:row r="99">
      <ns0:c r="A99" s="71" t="s">
        <ns0:v>81</ns0:v>
      </ns0:c>
      <ns0:c r="B99" s="71" t="s">
        <ns0:v>88</ns0:v>
      </ns0:c>
      <ns0:c r="C99" s="71">
        <ns0:v>4</ns0:v>
      </ns0:c>
      <ns0:c r="D99" s="71" t="s">
        <ns0:v>64</ns0:v>
      </ns0:c>
      <ns0:c r="E99" s="71">
        <ns0:v>3</ns0:v>
      </ns0:c>
      <ns0:c r="F99" s="72">
        <ns0:v>130</ns0:v>
      </ns0:c>
      <ns0:c r="G99" s="72">
        <ns0:v>28</ns0:v>
      </ns0:c>
      <ns0:c r="H99" s="72">
        <ns0:v>158</ns0:v>
      </ns0:c>
      <ns0:c r="I99" s="73">
        <ns0:v>508200</ns0:v>
      </ns0:c>
      <ns0:c r="J99" s="71">
        <ns0:v>2024</ns0:v>
      </ns0:c>
      <ns0:c r="K99" s="73">
        <ns0:v>3909.2307692307691</ns0:v>
      </ns0:c>
      <ns0:c r="L99" s="73">
        <ns0:v>3216.4556962025322</ns0:v>
      </ns0:c>
      <ns0:c r="M99" s="74" t="str">
        <ns0:f t="shared" si="20"/>
        <ns0:v>Histórico</ns0:v>
      </ns0:c>
      <ns0:c r="N99" s="74"/>
      <ns0:c r="O99" s="74"/>
      <ns0:c r="P99" s="77"/>
      <ns0:c r="Q99" s="74" t="str">
        <ns0:f t="shared" si="21"/>
        <ns0:v>Benchmark local</ns0:v>
      </ns0:c>
      <ns0:c r="R99" s="74" t="s">
        <ns0:v>32</ns0:v>
      </ns0:c>
      <ns0:c r="S99" s="74"/>
      <ns0:c r="T99" s="74"/>
      <ns0:c r="U99" s="74"/>
      <ns0:c r="V99" s="74"/>
      <ns0:c r="W99" s="76" t="n">
        <ns0:f t="shared" si="22"/>
        <ns0:v>0.2</ns0:v>
      </ns0:c>
      <ns0:c r="X99" s="74" t="str">
        <ns0:f t="shared" si="23"/>
        <ns0:v>C · Histórico/secundário</ns0:v>
      </ns0:c>
      <ns0:c r="Y99" s="74" t="str">
        <ns0:f t="shared" si="24"/>
        <ns0:v>Baixa</ns0:v>
      </ns0:c>
      <ns0:c r="Z99" s="74"/>
      <ns0:c r="AA99" s="74" t="str">
        <ns0:f t="shared" si="25"/>
        <ns0:v>Atualizar preço/status</ns0:v>
      </ns0:c>
      <ns0:c r="AB99" s="74" t="str">
        <ns0:f t="shared" si="26"/>
        <ns0:v>Alta</ns0:v>
      </ns0:c>
    </ns0:row>
    <ns0:row r="100">
      <ns0:c r="A100" s="71" t="s">
        <ns0:v>81</ns0:v>
      </ns0:c>
      <ns0:c r="B100" s="71" t="s">
        <ns0:v>89</ns0:v>
      </ns0:c>
      <ns0:c r="C100" s="71">
        <ns0:v>4</ns0:v>
      </ns0:c>
      <ns0:c r="D100" s="71" t="s">
        <ns0:v>42</ns0:v>
      </ns0:c>
      <ns0:c r="E100" s="71">
        <ns0:v>4</ns0:v>
      </ns0:c>
      <ns0:c r="F100" s="72">
        <ns0:v>65</ns0:v>
      </ns0:c>
      <ns0:c r="G100" s="72">
        <ns0:v>15</ns0:v>
      </ns0:c>
      <ns0:c r="H100" s="72">
        <ns0:v>80</ns0:v>
      </ns0:c>
      <ns0:c r="I100" s="73">
        <ns0:v>275550</ns0:v>
      </ns0:c>
      <ns0:c r="J100" s="71">
        <ns0:v>2024</ns0:v>
      </ns0:c>
      <ns0:c r="K100" s="73">
        <ns0:v>4239.2307692307704</ns0:v>
      </ns0:c>
      <ns0:c r="L100" s="73">
        <ns0:v>3444.375</ns0:v>
      </ns0:c>
      <ns0:c r="M100" s="74" t="str">
        <ns0:f t="shared" si="20"/>
        <ns0:v>Histórico</ns0:v>
      </ns0:c>
      <ns0:c r="N100" s="74"/>
      <ns0:c r="O100" s="74"/>
      <ns0:c r="P100" s="77"/>
      <ns0:c r="Q100" s="74" t="str">
        <ns0:f t="shared" si="21"/>
        <ns0:v>Benchmark local</ns0:v>
      </ns0:c>
      <ns0:c r="R100" s="74" t="s">
        <ns0:v>32</ns0:v>
      </ns0:c>
      <ns0:c r="S100" s="74"/>
      <ns0:c r="T100" s="74"/>
      <ns0:c r="U100" s="74"/>
      <ns0:c r="V100" s="74"/>
      <ns0:c r="W100" s="76" t="n">
        <ns0:f t="shared" si="22"/>
        <ns0:v>0.2</ns0:v>
      </ns0:c>
      <ns0:c r="X100" s="74" t="str">
        <ns0:f t="shared" si="23"/>
        <ns0:v>C · Histórico/secundário</ns0:v>
      </ns0:c>
      <ns0:c r="Y100" s="74" t="str">
        <ns0:f t="shared" si="24"/>
        <ns0:v>Baixa</ns0:v>
      </ns0:c>
      <ns0:c r="Z100" s="74"/>
      <ns0:c r="AA100" s="74" t="str">
        <ns0:f t="shared" si="25"/>
        <ns0:v>Atualizar preço/status</ns0:v>
      </ns0:c>
      <ns0:c r="AB100" s="74" t="str">
        <ns0:f t="shared" si="26"/>
        <ns0:v>Alta</ns0:v>
      </ns0:c>
    </ns0:row>
    <ns0:row r="101">
      <ns0:c r="A101" s="71" t="s">
        <ns0:v>81</ns0:v>
      </ns0:c>
      <ns0:c r="B101" s="71" t="s">
        <ns0:v>102</ns0:v>
      </ns0:c>
      <ns0:c r="C101" s="71">
        <ns0:v>4</ns0:v>
      </ns0:c>
      <ns0:c r="D101" s="71" t="s">
        <ns0:v>64</ns0:v>
      </ns0:c>
      <ns0:c r="E101" s="71">
        <ns0:v>1</ns0:v>
      </ns0:c>
      <ns0:c r="F101" s="72">
        <ns0:v>126</ns0:v>
      </ns0:c>
      <ns0:c r="G101" s="72">
        <ns0:v>29</ns0:v>
      </ns0:c>
      <ns0:c r="H101" s="72">
        <ns0:v>155</ns0:v>
      </ns0:c>
      <ns0:c r="I101" s="73">
        <ns0:v>495000</ns0:v>
      </ns0:c>
      <ns0:c r="J101" s="71">
        <ns0:v>2024</ns0:v>
      </ns0:c>
      <ns0:c r="K101" s="73">
        <ns0:v>3928.571428571428</ns0:v>
      </ns0:c>
      <ns0:c r="L101" s="73">
        <ns0:v>3193.5483870967741</ns0:v>
      </ns0:c>
      <ns0:c r="M101" s="74" t="str">
        <ns0:f t="shared" si="20"/>
        <ns0:v>Histórico</ns0:v>
      </ns0:c>
      <ns0:c r="N101" s="74"/>
      <ns0:c r="O101" s="74"/>
      <ns0:c r="P101" s="77"/>
      <ns0:c r="Q101" s="74" t="str">
        <ns0:f t="shared" si="21"/>
        <ns0:v>Benchmark local</ns0:v>
      </ns0:c>
      <ns0:c r="R101" s="74" t="s">
        <ns0:v>32</ns0:v>
      </ns0:c>
      <ns0:c r="S101" s="74"/>
      <ns0:c r="T101" s="74"/>
      <ns0:c r="U101" s="74"/>
      <ns0:c r="V101" s="74"/>
      <ns0:c r="W101" s="76" t="n">
        <ns0:f t="shared" si="22"/>
        <ns0:v>0.2</ns0:v>
      </ns0:c>
      <ns0:c r="X101" s="74" t="str">
        <ns0:f t="shared" si="23"/>
        <ns0:v>C · Histórico/secundário</ns0:v>
      </ns0:c>
      <ns0:c r="Y101" s="74" t="str">
        <ns0:f t="shared" si="24"/>
        <ns0:v>Baixa</ns0:v>
      </ns0:c>
      <ns0:c r="Z101" s="74"/>
      <ns0:c r="AA101" s="74" t="str">
        <ns0:f t="shared" si="25"/>
        <ns0:v>Atualizar preço/status</ns0:v>
      </ns0:c>
      <ns0:c r="AB101" s="74" t="str">
        <ns0:f t="shared" si="26"/>
        <ns0:v>Alta</ns0:v>
      </ns0:c>
    </ns0:row>
    <ns0:row r="102">
      <ns0:c r="A102" s="71" t="s">
        <ns0:v>81</ns0:v>
      </ns0:c>
      <ns0:c r="B102" s="71" t="s">
        <ns0:v>106</ns0:v>
      </ns0:c>
      <ns0:c r="C102" s="71">
        <ns0:v>5</ns0:v>
      </ns0:c>
      <ns0:c r="D102" s="71" t="s">
        <ns0:v>64</ns0:v>
      </ns0:c>
      <ns0:c r="E102" s="71">
        <ns0:v>3</ns0:v>
      </ns0:c>
      <ns0:c r="F102" s="72">
        <ns0:v>130</ns0:v>
      </ns0:c>
      <ns0:c r="G102" s="72">
        <ns0:v>28</ns0:v>
      </ns0:c>
      <ns0:c r="H102" s="72">
        <ns0:v>158</ns0:v>
      </ns0:c>
      <ns0:c r="I102" s="73">
        <ns0:v>509850</ns0:v>
      </ns0:c>
      <ns0:c r="J102" s="71">
        <ns0:v>2024</ns0:v>
      </ns0:c>
      <ns0:c r="K102" s="73">
        <ns0:v>3921.9230769230771</ns0:v>
      </ns0:c>
      <ns0:c r="L102" s="73">
        <ns0:v>3226.8987341772149</ns0:v>
      </ns0:c>
      <ns0:c r="M102" s="74" t="str">
        <ns0:f t="shared" si="20"/>
        <ns0:v>Histórico</ns0:v>
      </ns0:c>
      <ns0:c r="N102" s="74"/>
      <ns0:c r="O102" s="74"/>
      <ns0:c r="P102" s="77"/>
      <ns0:c r="Q102" s="74" t="str">
        <ns0:f t="shared" si="21"/>
        <ns0:v>Benchmark local</ns0:v>
      </ns0:c>
      <ns0:c r="R102" s="74" t="s">
        <ns0:v>32</ns0:v>
      </ns0:c>
      <ns0:c r="S102" s="74"/>
      <ns0:c r="T102" s="74"/>
      <ns0:c r="U102" s="74"/>
      <ns0:c r="V102" s="74"/>
      <ns0:c r="W102" s="76" t="n">
        <ns0:f t="shared" si="22"/>
        <ns0:v>0.2</ns0:v>
      </ns0:c>
      <ns0:c r="X102" s="74" t="str">
        <ns0:f t="shared" si="23"/>
        <ns0:v>C · Histórico/secundário</ns0:v>
      </ns0:c>
      <ns0:c r="Y102" s="74" t="str">
        <ns0:f t="shared" si="24"/>
        <ns0:v>Baixa</ns0:v>
      </ns0:c>
      <ns0:c r="Z102" s="74"/>
      <ns0:c r="AA102" s="74" t="str">
        <ns0:f t="shared" si="25"/>
        <ns0:v>Atualizar preço/status</ns0:v>
      </ns0:c>
      <ns0:c r="AB102" s="74" t="str">
        <ns0:f t="shared" si="26"/>
        <ns0:v>Alta</ns0:v>
      </ns0:c>
    </ns0:row>
    <ns0:row r="103">
      <ns0:c r="A103" s="71" t="s">
        <ns0:v>81</ns0:v>
      </ns0:c>
      <ns0:c r="B103" s="71" t="s">
        <ns0:v>107</ns0:v>
      </ns0:c>
      <ns0:c r="C103" s="71">
        <ns0:v>5</ns0:v>
      </ns0:c>
      <ns0:c r="D103" s="71" t="s">
        <ns0:v>42</ns0:v>
      </ns0:c>
      <ns0:c r="E103" s="71">
        <ns0:v>4</ns0:v>
      </ns0:c>
      <ns0:c r="F103" s="72">
        <ns0:v>65</ns0:v>
      </ns0:c>
      <ns0:c r="G103" s="72">
        <ns0:v>15</ns0:v>
      </ns0:c>
      <ns0:c r="H103" s="72">
        <ns0:v>80</ns0:v>
      </ns0:c>
      <ns0:c r="I103" s="73">
        <ns0:v>277200</ns0:v>
      </ns0:c>
      <ns0:c r="J103" s="71">
        <ns0:v>2024</ns0:v>
      </ns0:c>
      <ns0:c r="K103" s="73">
        <ns0:v>4264.6153846153848</ns0:v>
      </ns0:c>
      <ns0:c r="L103" s="73">
        <ns0:v>3465</ns0:v>
      </ns0:c>
      <ns0:c r="M103" s="74" t="str">
        <ns0:f t="shared" si="20"/>
        <ns0:v>Histórico</ns0:v>
      </ns0:c>
      <ns0:c r="N103" s="74"/>
      <ns0:c r="O103" s="74"/>
      <ns0:c r="P103" s="77"/>
      <ns0:c r="Q103" s="74" t="str">
        <ns0:f t="shared" si="21"/>
        <ns0:v>Benchmark local</ns0:v>
      </ns0:c>
      <ns0:c r="R103" s="74" t="s">
        <ns0:v>32</ns0:v>
      </ns0:c>
      <ns0:c r="S103" s="74"/>
      <ns0:c r="T103" s="74"/>
      <ns0:c r="U103" s="74"/>
      <ns0:c r="V103" s="74"/>
      <ns0:c r="W103" s="76" t="n">
        <ns0:f t="shared" si="22"/>
        <ns0:v>0.2</ns0:v>
      </ns0:c>
      <ns0:c r="X103" s="74" t="str">
        <ns0:f t="shared" si="23"/>
        <ns0:v>C · Histórico/secundário</ns0:v>
      </ns0:c>
      <ns0:c r="Y103" s="74" t="str">
        <ns0:f t="shared" si="24"/>
        <ns0:v>Baixa</ns0:v>
      </ns0:c>
      <ns0:c r="Z103" s="74"/>
      <ns0:c r="AA103" s="74" t="str">
        <ns0:f t="shared" si="25"/>
        <ns0:v>Atualizar preço/status</ns0:v>
      </ns0:c>
      <ns0:c r="AB103" s="74" t="str">
        <ns0:f t="shared" si="26"/>
        <ns0:v>Alta</ns0:v>
      </ns0:c>
    </ns0:row>
    <ns0:row r="104">
      <ns0:c r="A104" s="71" t="s">
        <ns0:v>81</ns0:v>
      </ns0:c>
      <ns0:c r="B104" s="71" t="s">
        <ns0:v>108</ns0:v>
      </ns0:c>
      <ns0:c r="C104" s="71">
        <ns0:v>5</ns0:v>
      </ns0:c>
      <ns0:c r="D104" s="71" t="s">
        <ns0:v>64</ns0:v>
      </ns0:c>
      <ns0:c r="E104" s="71">
        <ns0:v>1</ns0:v>
      </ns0:c>
      <ns0:c r="F104" s="72">
        <ns0:v>126</ns0:v>
      </ns0:c>
      <ns0:c r="G104" s="72">
        <ns0:v>29</ns0:v>
      </ns0:c>
      <ns0:c r="H104" s="72">
        <ns0:v>155</ns0:v>
      </ns0:c>
      <ns0:c r="I104" s="73">
        <ns0:v>496650</ns0:v>
      </ns0:c>
      <ns0:c r="J104" s="71">
        <ns0:v>2024</ns0:v>
      </ns0:c>
      <ns0:c r="K104" s="73">
        <ns0:v>3941.666666666667</ns0:v>
      </ns0:c>
      <ns0:c r="L104" s="73">
        <ns0:v>3204.1935483870971</ns0:v>
      </ns0:c>
      <ns0:c r="M104" s="74" t="str">
        <ns0:f t="shared" si="20"/>
        <ns0:v>Histórico</ns0:v>
      </ns0:c>
      <ns0:c r="N104" s="74"/>
      <ns0:c r="O104" s="74"/>
      <ns0:c r="P104" s="77"/>
      <ns0:c r="Q104" s="74" t="str">
        <ns0:f t="shared" si="21"/>
        <ns0:v>Benchmark local</ns0:v>
      </ns0:c>
      <ns0:c r="R104" s="74" t="s">
        <ns0:v>32</ns0:v>
      </ns0:c>
      <ns0:c r="S104" s="74"/>
      <ns0:c r="T104" s="74"/>
      <ns0:c r="U104" s="74"/>
      <ns0:c r="V104" s="74"/>
      <ns0:c r="W104" s="76" t="n">
        <ns0:f t="shared" si="22"/>
        <ns0:v>0.2</ns0:v>
      </ns0:c>
      <ns0:c r="X104" s="74" t="str">
        <ns0:f t="shared" si="23"/>
        <ns0:v>C · Histórico/secundário</ns0:v>
      </ns0:c>
      <ns0:c r="Y104" s="74" t="str">
        <ns0:f t="shared" si="24"/>
        <ns0:v>Baixa</ns0:v>
      </ns0:c>
      <ns0:c r="Z104" s="74"/>
      <ns0:c r="AA104" s="74" t="str">
        <ns0:f t="shared" si="25"/>
        <ns0:v>Atualizar preço/status</ns0:v>
      </ns0:c>
      <ns0:c r="AB104" s="74" t="str">
        <ns0:f t="shared" si="26"/>
        <ns0:v>Alta</ns0:v>
      </ns0:c>
    </ns0:row>
    <ns0:row r="105">
      <ns0:c r="A105" s="71" t="s">
        <ns0:v>81</ns0:v>
      </ns0:c>
      <ns0:c r="B105" s="71" t="s">
        <ns0:v>111</ns0:v>
      </ns0:c>
      <ns0:c r="C105" s="71">
        <ns0:v>6</ns0:v>
      </ns0:c>
      <ns0:c r="D105" s="71" t="s">
        <ns0:v>64</ns0:v>
      </ns0:c>
      <ns0:c r="E105" s="71">
        <ns0:v>3</ns0:v>
      </ns0:c>
      <ns0:c r="F105" s="72">
        <ns0:v>130</ns0:v>
      </ns0:c>
      <ns0:c r="G105" s="72">
        <ns0:v>28</ns0:v>
      </ns0:c>
      <ns0:c r="H105" s="72">
        <ns0:v>158</ns0:v>
      </ns0:c>
      <ns0:c r="I105" s="73">
        <ns0:v>520850</ns0:v>
      </ns0:c>
      <ns0:c r="J105" s="71">
        <ns0:v>2024</ns0:v>
      </ns0:c>
      <ns0:c r="K105" s="73">
        <ns0:v>4006.538461538461</ns0:v>
      </ns0:c>
      <ns0:c r="L105" s="73">
        <ns0:v>3296.5189873417721</ns0:v>
      </ns0:c>
      <ns0:c r="M105" s="74" t="str">
        <ns0:f t="shared" si="20"/>
        <ns0:v>Histórico</ns0:v>
      </ns0:c>
      <ns0:c r="N105" s="74"/>
      <ns0:c r="O105" s="74"/>
      <ns0:c r="P105" s="77"/>
      <ns0:c r="Q105" s="74" t="str">
        <ns0:f t="shared" si="21"/>
        <ns0:v>Benchmark local</ns0:v>
      </ns0:c>
      <ns0:c r="R105" s="74" t="s">
        <ns0:v>32</ns0:v>
      </ns0:c>
      <ns0:c r="S105" s="74"/>
      <ns0:c r="T105" s="74"/>
      <ns0:c r="U105" s="74"/>
      <ns0:c r="V105" s="74"/>
      <ns0:c r="W105" s="76" t="n">
        <ns0:f t="shared" si="22"/>
        <ns0:v>0.2</ns0:v>
      </ns0:c>
      <ns0:c r="X105" s="74" t="str">
        <ns0:f t="shared" si="23"/>
        <ns0:v>C · Histórico/secundário</ns0:v>
      </ns0:c>
      <ns0:c r="Y105" s="74" t="str">
        <ns0:f t="shared" si="24"/>
        <ns0:v>Baixa</ns0:v>
      </ns0:c>
      <ns0:c r="Z105" s="74"/>
      <ns0:c r="AA105" s="74" t="str">
        <ns0:f t="shared" si="25"/>
        <ns0:v>Atualizar preço/status</ns0:v>
      </ns0:c>
      <ns0:c r="AB105" s="74" t="str">
        <ns0:f t="shared" si="26"/>
        <ns0:v>Alta</ns0:v>
      </ns0:c>
    </ns0:row>
    <ns0:row r="106">
      <ns0:c r="A106" s="71" t="s">
        <ns0:v>81</ns0:v>
      </ns0:c>
      <ns0:c r="B106" s="71" t="s">
        <ns0:v>112</ns0:v>
      </ns0:c>
      <ns0:c r="C106" s="71">
        <ns0:v>6</ns0:v>
      </ns0:c>
      <ns0:c r="D106" s="71" t="s">
        <ns0:v>42</ns0:v>
      </ns0:c>
      <ns0:c r="E106" s="71">
        <ns0:v>4</ns0:v>
      </ns0:c>
      <ns0:c r="F106" s="72">
        <ns0:v>65</ns0:v>
      </ns0:c>
      <ns0:c r="G106" s="72">
        <ns0:v>15</ns0:v>
      </ns0:c>
      <ns0:c r="H106" s="72">
        <ns0:v>80</ns0:v>
      </ns0:c>
      <ns0:c r="I106" s="73">
        <ns0:v>288200</ns0:v>
      </ns0:c>
      <ns0:c r="J106" s="71">
        <ns0:v>2024</ns0:v>
      </ns0:c>
      <ns0:c r="K106" s="73">
        <ns0:v>4433.8461538461543</ns0:v>
      </ns0:c>
      <ns0:c r="L106" s="73">
        <ns0:v>3602.5</ns0:v>
      </ns0:c>
      <ns0:c r="M106" s="74" t="str">
        <ns0:f t="shared" si="20"/>
        <ns0:v>Histórico</ns0:v>
      </ns0:c>
      <ns0:c r="N106" s="74"/>
      <ns0:c r="O106" s="74"/>
      <ns0:c r="P106" s="77"/>
      <ns0:c r="Q106" s="74" t="str">
        <ns0:f t="shared" si="21"/>
        <ns0:v>Benchmark local</ns0:v>
      </ns0:c>
      <ns0:c r="R106" s="74" t="s">
        <ns0:v>32</ns0:v>
      </ns0:c>
      <ns0:c r="S106" s="74"/>
      <ns0:c r="T106" s="74"/>
      <ns0:c r="U106" s="74"/>
      <ns0:c r="V106" s="74"/>
      <ns0:c r="W106" s="76" t="n">
        <ns0:f t="shared" si="22"/>
        <ns0:v>0.2</ns0:v>
      </ns0:c>
      <ns0:c r="X106" s="74" t="str">
        <ns0:f t="shared" si="23"/>
        <ns0:v>C · Histórico/secundário</ns0:v>
      </ns0:c>
      <ns0:c r="Y106" s="74" t="str">
        <ns0:f t="shared" si="24"/>
        <ns0:v>Baixa</ns0:v>
      </ns0:c>
      <ns0:c r="Z106" s="74"/>
      <ns0:c r="AA106" s="74" t="str">
        <ns0:f t="shared" si="25"/>
        <ns0:v>Atualizar preço/status</ns0:v>
      </ns0:c>
      <ns0:c r="AB106" s="74" t="str">
        <ns0:f t="shared" si="26"/>
        <ns0:v>Alta</ns0:v>
      </ns0:c>
    </ns0:row>
    <ns0:row r="107">
      <ns0:c r="A107" s="71" t="s">
        <ns0:v>81</ns0:v>
      </ns0:c>
      <ns0:c r="B107" s="71" t="s">
        <ns0:v>113</ns0:v>
      </ns0:c>
      <ns0:c r="C107" s="71">
        <ns0:v>6</ns0:v>
      </ns0:c>
      <ns0:c r="D107" s="71" t="s">
        <ns0:v>64</ns0:v>
      </ns0:c>
      <ns0:c r="E107" s="71">
        <ns0:v>1</ns0:v>
      </ns0:c>
      <ns0:c r="F107" s="72">
        <ns0:v>126</ns0:v>
      </ns0:c>
      <ns0:c r="G107" s="72">
        <ns0:v>29</ns0:v>
      </ns0:c>
      <ns0:c r="H107" s="72">
        <ns0:v>155</ns0:v>
      </ns0:c>
      <ns0:c r="I107" s="73">
        <ns0:v>507650</ns0:v>
      </ns0:c>
      <ns0:c r="J107" s="71">
        <ns0:v>2024</ns0:v>
      </ns0:c>
      <ns0:c r="K107" s="73">
        <ns0:v>4028.968253968254</ns0:v>
      </ns0:c>
      <ns0:c r="L107" s="73">
        <ns0:v>3275.16129032258</ns0:v>
      </ns0:c>
      <ns0:c r="M107" s="74" t="str">
        <ns0:f t="shared" si="20"/>
        <ns0:v>Histórico</ns0:v>
      </ns0:c>
      <ns0:c r="N107" s="74"/>
      <ns0:c r="O107" s="74"/>
      <ns0:c r="P107" s="77"/>
      <ns0:c r="Q107" s="74" t="str">
        <ns0:f t="shared" si="21"/>
        <ns0:v>Benchmark local</ns0:v>
      </ns0:c>
      <ns0:c r="R107" s="74" t="s">
        <ns0:v>32</ns0:v>
      </ns0:c>
      <ns0:c r="S107" s="74"/>
      <ns0:c r="T107" s="74"/>
      <ns0:c r="U107" s="74"/>
      <ns0:c r="V107" s="74"/>
      <ns0:c r="W107" s="76" t="n">
        <ns0:f t="shared" si="22"/>
        <ns0:v>0.2</ns0:v>
      </ns0:c>
      <ns0:c r="X107" s="74" t="str">
        <ns0:f t="shared" si="23"/>
        <ns0:v>C · Histórico/secundário</ns0:v>
      </ns0:c>
      <ns0:c r="Y107" s="74" t="str">
        <ns0:f t="shared" si="24"/>
        <ns0:v>Baixa</ns0:v>
      </ns0:c>
      <ns0:c r="Z107" s="74"/>
      <ns0:c r="AA107" s="74" t="str">
        <ns0:f t="shared" si="25"/>
        <ns0:v>Atualizar preço/status</ns0:v>
      </ns0:c>
      <ns0:c r="AB107" s="74" t="str">
        <ns0:f t="shared" si="26"/>
        <ns0:v>Alta</ns0:v>
      </ns0:c>
    </ns0:row>
    <ns0:row r="108">
      <ns0:c r="A108" s="71" t="s">
        <ns0:v>116</ns0:v>
      </ns0:c>
      <ns0:c r="B108" s="71" t="s">
        <ns0:v>117</ns0:v>
      </ns0:c>
      <ns0:c r="C108" s="71">
        <ns0:v>1</ns0:v>
      </ns0:c>
      <ns0:c r="D108" s="71" t="s">
        <ns0:v>42</ns0:v>
      </ns0:c>
      <ns0:c r="E108" s="71">
        <ns0:v>1</ns0:v>
      </ns0:c>
      <ns0:c r="F108" s="72">
        <ns0:v>99.74</ns0:v>
      </ns0:c>
      <ns0:c r="G108" s="72">
        <ns0:v>43.37</ns0:v>
      </ns0:c>
      <ns0:c r="H108" s="72">
        <ns0:v>143.11000000000001</ns0:v>
      </ns0:c>
      <ns0:c r="I108" s="73" t="n">
        <ns0:v>545000</ns0:v>
      </ns0:c>
      <ns0:c r="J108" s="71">
        <ns0:v>2026</ns0:v>
      </ns0:c>
      <ns0:c r="K108" s="73" t="n">
        <ns0:v>5464.206938038901</ns0:v>
      </ns0:c>
      <ns0:c r="L108" s="73" t="n">
        <ns0:v>3808.259380895814</ns0:v>
      </ns0:c>
      <ns0:c r="M108" s="74" t="str">
        <ns0:f t="shared" si="20"/>
        <ns0:v>Projeto</ns0:v>
      </ns0:c>
      <ns0:c r="N108" s="74"/>
      <ns0:c r="O108" s="74"/>
      <ns0:c r="P108" s="77"/>
      <ns0:c r="Q108" s="74" t="str">
        <ns0:f t="shared" si="21"/>
        <ns0:v>Projeto</ns0:v>
      </ns0:c>
      <ns0:c r="R108" s="74" t="s">
        <ns0:v>32</ns0:v>
      </ns0:c>
      <ns0:c r="S108" s="74"/>
      <ns0:c r="T108" s="74" t="inlineStr">
        <ns0:is>
          <ns0:t>P-1 — Lugar 29</ns0:t>
        </ns0:is>
      </ns0:c>
      <ns0:c r="U108" s="74"/>
      <ns0:c r="V108" s="74"/>
      <ns0:c r="W108" s="76">
        <ns0:f t="shared" si="22"/>
        <ns0:v>1</ns0:v>
      </ns0:c>
      <ns0:c r="X108" s="74" t="str">
        <ns0:f t="shared" si="23"/>
        <ns0:v>Projeto</ns0:v>
      </ns0:c>
      <ns0:c r="Y108" s="74" t="str">
        <ns0:f t="shared" si="24"/>
        <ns0:v>N/A</ns0:v>
      </ns0:c>
      <ns0:c r="Z108" s="74"/>
      <ns0:c r="AA108" s="74" t="str">
        <ns0:f t="shared" si="25"/>
        <ns0:v>Manter</ns0:v>
      </ns0:c>
      <ns0:c r="AB108" s="74" t="str">
        <ns0:f t="shared" si="26"/>
      </ns0:c>
      <ns0:c r="AC108" s="73" t="n">
        <ns0:v>675000</ns0:v>
      </ns0:c>
      <ns0:c r="AD108" s="74" t="inlineStr">
        <ns0:is>
          <ns0:t>2026-10</ns0:t>
        </ns0:is>
      </ns0:c>
      <ns0:c r="AE108" s="74" t="inlineStr">
        <ns0:is>
          <ns0:t>Média</ns0:t>
        </ns0:is>
      </ns0:c>
      <ns0:c r="AF108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08" s="74" t="inlineStr">
        <ns0:is>
          <ns0:t>Premium</ns0:t>
        </ns0:is>
      </ns0:c>
      <ns0:c r="AQ108" s="74" t="inlineStr">
        <ns0:is>
          <ns0:t>Olhão</ns0:t>
        </ns0:is>
      </ns0:c>
      <ns0:c r="AR108" s="74" t="inlineStr">
        <ns0:is>
          <ns0:t>Empreendimento The View Olhão</ns0:t>
        </ns0:is>
      </ns0:c>
    </ns0:row>
    <ns0:row r="109">
      <ns0:c r="A109" s="71" t="s">
        <ns0:v>116</ns0:v>
      </ns0:c>
      <ns0:c r="B109" s="71" t="s">
        <ns0:v>118</ns0:v>
      </ns0:c>
      <ns0:c r="C109" s="71">
        <ns0:v>1</ns0:v>
      </ns0:c>
      <ns0:c r="D109" s="71" t="s">
        <ns0:v>31</ns0:v>
      </ns0:c>
      <ns0:c r="E109" s="71">
        <ns0:v>2</ns0:v>
      </ns0:c>
      <ns0:c r="F109" s="72">
        <ns0:v>123.72</ns0:v>
      </ns0:c>
      <ns0:c r="G109" s="72">
        <ns0:v>41.1</ns0:v>
      </ns0:c>
      <ns0:c r="H109" s="72">
        <ns0:v>164.82</ns0:v>
      </ns0:c>
      <ns0:c r="I109" s="73" t="n">
        <ns0:v>600000</ns0:v>
      </ns0:c>
      <ns0:c r="J109" s="71">
        <ns0:v>2026</ns0:v>
      </ns0:c>
      <ns0:c r="K109" s="73" t="n">
        <ns0:v>4849.660523763337</ns0:v>
      </ns0:c>
      <ns0:c r="L109" s="73" t="n">
        <ns0:v>3640.334910811795</ns0:v>
      </ns0:c>
      <ns0:c r="M109" s="74" t="str">
        <ns0:f t="shared" si="20"/>
        <ns0:v>Projeto</ns0:v>
      </ns0:c>
      <ns0:c r="N109" s="74"/>
      <ns0:c r="O109" s="74"/>
      <ns0:c r="P109" s="77"/>
      <ns0:c r="Q109" s="74" t="str">
        <ns0:f t="shared" si="21"/>
        <ns0:v>Projeto</ns0:v>
      </ns0:c>
      <ns0:c r="R109" s="74" t="s">
        <ns0:v>32</ns0:v>
      </ns0:c>
      <ns0:c r="S109" s="74"/>
      <ns0:c r="T109" s="74" t="inlineStr">
        <ns0:is>
          <ns0:t>P-1 — Lugar 28</ns0:t>
        </ns0:is>
      </ns0:c>
      <ns0:c r="U109" s="74"/>
      <ns0:c r="V109" s="74"/>
      <ns0:c r="W109" s="76">
        <ns0:f t="shared" si="22"/>
        <ns0:v>1</ns0:v>
      </ns0:c>
      <ns0:c r="X109" s="74" t="str">
        <ns0:f t="shared" si="23"/>
        <ns0:v>Projeto</ns0:v>
      </ns0:c>
      <ns0:c r="Y109" s="74" t="str">
        <ns0:f t="shared" si="24"/>
        <ns0:v>N/A</ns0:v>
      </ns0:c>
      <ns0:c r="Z109" s="74"/>
      <ns0:c r="AA109" s="74" t="str">
        <ns0:f t="shared" si="25"/>
        <ns0:v>Manter</ns0:v>
      </ns0:c>
      <ns0:c r="AB109" s="74" t="str">
        <ns0:f t="shared" si="26"/>
      </ns0:c>
      <ns0:c r="AC109" s="73" t="n">
        <ns0:v>785000</ns0:v>
      </ns0:c>
      <ns0:c r="AD109" s="74" t="inlineStr">
        <ns0:is>
          <ns0:t>2026-10</ns0:t>
        </ns0:is>
      </ns0:c>
      <ns0:c r="AE109" s="74" t="inlineStr">
        <ns0:is>
          <ns0:t>Alta</ns0:t>
        </ns0:is>
      </ns0:c>
      <ns0:c r="AF109" s="74" t="inlineStr">
        <ns0:is>
          <ns0:t>Preço recomendado da análise independente de outubro de 2026, conforme tabela técnica validada. Não substitui o preço comercial atual. Enquadramento anterior (setembro de 2026): Correção moderada para reforçar a progressão da coluna T2 Sul/Oeste entre pisos.</ns0:t>
        </ns0:is>
      </ns0:c>
      <ns0:c r="AG109" s="74" t="inlineStr">
        <ns0:is>
          <ns0:t>Standard</ns0:t>
        </ns0:is>
      </ns0:c>
      <ns0:c r="AQ109" s="74" t="inlineStr">
        <ns0:is>
          <ns0:t>Olhão</ns0:t>
        </ns0:is>
      </ns0:c>
      <ns0:c r="AR109" s="74" t="inlineStr">
        <ns0:is>
          <ns0:t>Empreendimento The View Olhão</ns0:t>
        </ns0:is>
      </ns0:c>
    </ns0:row>
    <ns0:row r="110">
      <ns0:c r="A110" s="71" t="s">
        <ns0:v>116</ns0:v>
      </ns0:c>
      <ns0:c r="B110" s="71" t="s">
        <ns0:v>119</ns0:v>
      </ns0:c>
      <ns0:c r="C110" s="71">
        <ns0:v>1</ns0:v>
      </ns0:c>
      <ns0:c r="D110" s="71" t="s">
        <ns0:v>42</ns0:v>
      </ns0:c>
      <ns0:c r="E110" s="71">
        <ns0:v>4</ns0:v>
      </ns0:c>
      <ns0:c r="F110" s="72">
        <ns0:v>77.56</ns0:v>
      </ns0:c>
      <ns0:c r="G110" s="72">
        <ns0:v>16</ns0:v>
      </ns0:c>
      <ns0:c r="H110" s="72">
        <ns0:v>93.56</ns0:v>
      </ns0:c>
      <ns0:c r="I110" s="73" t="n">
        <ns0:v>390000</ns0:v>
      </ns0:c>
      <ns0:c r="J110" s="71">
        <ns0:v>2026</ns0:v>
      </ns0:c>
      <ns0:c r="K110" s="73" t="n">
        <ns0:v>5028.365136668385</ns0:v>
      </ns0:c>
      <ns0:c r="L110" s="73" t="n">
        <ns0:v>4168.448054724241</ns0:v>
      </ns0:c>
      <ns0:c r="M110" s="74" t="str">
        <ns0:f t="shared" si="20"/>
        <ns0:v>Projeto</ns0:v>
      </ns0:c>
      <ns0:c r="N110" s="74"/>
      <ns0:c r="O110" s="74"/>
      <ns0:c r="P110" s="77"/>
      <ns0:c r="Q110" s="74" t="str">
        <ns0:f t="shared" si="21"/>
        <ns0:v>Projeto</ns0:v>
      </ns0:c>
      <ns0:c r="R110" s="74" t="s">
        <ns0:v>32</ns0:v>
      </ns0:c>
      <ns0:c r="S110" s="74"/>
      <ns0:c r="T110" s="74" t="inlineStr">
        <ns0:is>
          <ns0:t>Sem estacionamento</ns0:t>
        </ns0:is>
      </ns0:c>
      <ns0:c r="U110" s="74"/>
      <ns0:c r="V110" s="74"/>
      <ns0:c r="W110" s="76">
        <ns0:f t="shared" si="22"/>
        <ns0:v>1</ns0:v>
      </ns0:c>
      <ns0:c r="X110" s="74" t="str">
        <ns0:f t="shared" si="23"/>
        <ns0:v>Projeto</ns0:v>
      </ns0:c>
      <ns0:c r="Y110" s="74" t="str">
        <ns0:f t="shared" si="24"/>
        <ns0:v>N/A</ns0:v>
      </ns0:c>
      <ns0:c r="Z110" s="74"/>
      <ns0:c r="AA110" s="74" t="str">
        <ns0:f t="shared" si="25"/>
        <ns0:v>Manter</ns0:v>
      </ns0:c>
      <ns0:c r="AB110" s="74" t="str">
        <ns0:f t="shared" si="26"/>
      </ns0:c>
      <ns0:c r="AC110" s="73" t="n">
        <ns0:v>420000</ns0:v>
      </ns0:c>
      <ns0:c r="AD110" s="74" t="inlineStr">
        <ns0:is>
          <ns0:t>2026-10</ns0:t>
        </ns0:is>
      </ns0:c>
      <ns0:c r="AE110" s="74" t="inlineStr">
        <ns0:is>
          <ns0:t>Alta</ns0:t>
        </ns0:is>
      </ns0:c>
      <ns0:c r="AF110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10" s="74" t="inlineStr">
        <ns0:is>
          <ns0:t>Standard</ns0:t>
        </ns0:is>
      </ns0:c>
      <ns0:c r="AQ110" s="74" t="inlineStr">
        <ns0:is>
          <ns0:t>Olhão</ns0:t>
        </ns0:is>
      </ns0:c>
      <ns0:c r="AR110" s="74" t="inlineStr">
        <ns0:is>
          <ns0:t>Empreendimento The View Olhão</ns0:t>
        </ns0:is>
      </ns0:c>
    </ns0:row>
    <ns0:row r="111">
      <ns0:c r="A111" s="71" t="s">
        <ns0:v>116</ns0:v>
      </ns0:c>
      <ns0:c r="B111" s="71" t="s">
        <ns0:v>120</ns0:v>
      </ns0:c>
      <ns0:c r="C111" s="71">
        <ns0:v>1</ns0:v>
      </ns0:c>
      <ns0:c r="D111" s="71" t="s">
        <ns0:v>121</ns0:v>
      </ns0:c>
      <ns0:c r="E111" s="71">
        <ns0:v>4</ns0:v>
      </ns0:c>
      <ns0:c r="F111" s="72">
        <ns0:v>102.52</ns0:v>
      </ns0:c>
      <ns0:c r="G111" s="72">
        <ns0:v>15.48</ns0:v>
      </ns0:c>
      <ns0:c r="H111" s="72">
        <ns0:v>118</ns0:v>
      </ns0:c>
      <ns0:c r="I111" s="73" t="n">
        <ns0:v>475000</ns0:v>
      </ns0:c>
      <ns0:c r="J111" s="71">
        <ns0:v>2026</ns0:v>
      </ns0:c>
      <ns0:c r="K111" s="73" t="n">
        <ns0:v>4633.242294186501</ns0:v>
      </ns0:c>
      <ns0:c r="L111" s="73" t="n">
        <ns0:v>4025.423728813559</ns0:v>
      </ns0:c>
      <ns0:c r="M111" s="74" t="str">
        <ns0:f t="shared" si="20"/>
        <ns0:v>Projeto</ns0:v>
      </ns0:c>
      <ns0:c r="N111" s="74"/>
      <ns0:c r="O111" s="74"/>
      <ns0:c r="P111" s="77"/>
      <ns0:c r="Q111" s="74" t="str">
        <ns0:f t="shared" si="21"/>
        <ns0:v>Projeto</ns0:v>
      </ns0:c>
      <ns0:c r="R111" s="74" t="s">
        <ns0:v>32</ns0:v>
      </ns0:c>
      <ns0:c r="S111" s="74"/>
      <ns0:c r="T111" s="74" t="inlineStr">
        <ns0:is>
          <ns0:t>P0Inf — Lugar 01</ns0:t>
        </ns0:is>
      </ns0:c>
      <ns0:c r="U111" s="74"/>
      <ns0:c r="V111" s="74"/>
      <ns0:c r="W111" s="76">
        <ns0:f t="shared" si="22"/>
        <ns0:v>1</ns0:v>
      </ns0:c>
      <ns0:c r="X111" s="74" t="str">
        <ns0:f t="shared" si="23"/>
        <ns0:v>Projeto</ns0:v>
      </ns0:c>
      <ns0:c r="Y111" s="74" t="str">
        <ns0:f t="shared" si="24"/>
        <ns0:v>N/A</ns0:v>
      </ns0:c>
      <ns0:c r="Z111" s="74"/>
      <ns0:c r="AA111" s="74" t="str">
        <ns0:f t="shared" si="25"/>
        <ns0:v>Manter</ns0:v>
      </ns0:c>
      <ns0:c r="AB111" s="74" t="str">
        <ns0:f t="shared" si="26"/>
      </ns0:c>
      <ns0:c r="AC111" s="73" t="n">
        <ns0:v>535000</ns0:v>
      </ns0:c>
      <ns0:c r="AD111" s="74" t="inlineStr">
        <ns0:is>
          <ns0:t>2026-10</ns0:t>
        </ns0:is>
      </ns0:c>
      <ns0:c r="AE111" s="74" t="inlineStr">
        <ns0:is>
          <ns0:t>Alta</ns0:t>
        </ns0:is>
      </ns0:c>
      <ns0:c r="AF111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11" s="74" t="inlineStr">
        <ns0:is>
          <ns0:t>Standard</ns0:t>
        </ns0:is>
      </ns0:c>
      <ns0:c r="AQ111" s="74" t="inlineStr">
        <ns0:is>
          <ns0:t>Olhão</ns0:t>
        </ns0:is>
      </ns0:c>
      <ns0:c r="AR111" s="74" t="inlineStr">
        <ns0:is>
          <ns0:t>Empreendimento The View Olhão</ns0:t>
        </ns0:is>
      </ns0:c>
    </ns0:row>
    <ns0:row r="112">
      <ns0:c r="A112" s="71" t="s">
        <ns0:v>116</ns0:v>
      </ns0:c>
      <ns0:c r="B112" s="71" t="s">
        <ns0:v>122</ns0:v>
      </ns0:c>
      <ns0:c r="C112" s="71">
        <ns0:v>1</ns0:v>
      </ns0:c>
      <ns0:c r="D112" s="71" t="s">
        <ns0:v>121</ns0:v>
      </ns0:c>
      <ns0:c r="E112" s="71">
        <ns0:v>4</ns0:v>
      </ns0:c>
      <ns0:c r="F112" s="72">
        <ns0:v>97.5</ns0:v>
      </ns0:c>
      <ns0:c r="G112" s="72">
        <ns0:v>15.7</ns0:v>
      </ns0:c>
      <ns0:c r="H112" s="72">
        <ns0:v>113.2</ns0:v>
      </ns0:c>
      <ns0:c r="I112" s="73" t="n">
        <ns0:v>450000</ns0:v>
      </ns0:c>
      <ns0:c r="J112" s="71">
        <ns0:v>2026</ns0:v>
      </ns0:c>
      <ns0:c r="K112" s="73" t="n">
        <ns0:v>4615.384615384615</ns0:v>
      </ns0:c>
      <ns0:c r="L112" s="73" t="n">
        <ns0:v>3975.2650176678444</ns0:v>
      </ns0:c>
      <ns0:c r="M112" s="74" t="str">
        <ns0:f t="shared" si="20"/>
        <ns0:v>Projeto</ns0:v>
      </ns0:c>
      <ns0:c r="N112" s="74"/>
      <ns0:c r="O112" s="74"/>
      <ns0:c r="P112" s="77"/>
      <ns0:c r="Q112" s="74" t="str">
        <ns0:f t="shared" si="21"/>
        <ns0:v>Projeto</ns0:v>
      </ns0:c>
      <ns0:c r="R112" s="74" t="s">
        <ns0:v>32</ns0:v>
      </ns0:c>
      <ns0:c r="S112" s="74"/>
      <ns0:c r="T112" s="74" t="inlineStr">
        <ns0:is>
          <ns0:t>P0Inf — Lugar 12</ns0:t>
        </ns0:is>
      </ns0:c>
      <ns0:c r="U112" s="74"/>
      <ns0:c r="V112" s="74"/>
      <ns0:c r="W112" s="76">
        <ns0:f t="shared" si="22"/>
        <ns0:v>1</ns0:v>
      </ns0:c>
      <ns0:c r="X112" s="74" t="str">
        <ns0:f t="shared" si="23"/>
        <ns0:v>Projeto</ns0:v>
      </ns0:c>
      <ns0:c r="Y112" s="74" t="str">
        <ns0:f t="shared" si="24"/>
        <ns0:v>N/A</ns0:v>
      </ns0:c>
      <ns0:c r="Z112" s="74"/>
      <ns0:c r="AA112" s="74" t="str">
        <ns0:f t="shared" si="25"/>
        <ns0:v>Manter</ns0:v>
      </ns0:c>
      <ns0:c r="AB112" s="74" t="str">
        <ns0:f t="shared" si="26"/>
      </ns0:c>
      <ns0:c r="AC112" s="73" t="n">
        <ns0:v>510000</ns0:v>
      </ns0:c>
      <ns0:c r="AD112" s="74" t="inlineStr">
        <ns0:is>
          <ns0:t>2026-10</ns0:t>
        </ns0:is>
      </ns0:c>
      <ns0:c r="AE112" s="74" t="inlineStr">
        <ns0:is>
          <ns0:t>Alta</ns0:t>
        </ns0:is>
      </ns0:c>
      <ns0:c r="AF112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12" s="74" t="inlineStr">
        <ns0:is>
          <ns0:t>Standard</ns0:t>
        </ns0:is>
      </ns0:c>
      <ns0:c r="AQ112" s="74" t="inlineStr">
        <ns0:is>
          <ns0:t>Olhão</ns0:t>
        </ns0:is>
      </ns0:c>
      <ns0:c r="AR112" s="74" t="inlineStr">
        <ns0:is>
          <ns0:t>Empreendimento The View Olhão</ns0:t>
        </ns0:is>
      </ns0:c>
    </ns0:row>
    <ns0:row r="113">
      <ns0:c r="A113" s="71" t="s">
        <ns0:v>116</ns0:v>
      </ns0:c>
      <ns0:c r="B113" s="71" t="s">
        <ns0:v>123</ns0:v>
      </ns0:c>
      <ns0:c r="C113" s="71">
        <ns0:v>1</ns0:v>
      </ns0:c>
      <ns0:c r="D113" s="71" t="s">
        <ns0:v>124</ns0:v>
      </ns0:c>
      <ns0:c r="E113" s="71">
        <ns0:v>3</ns0:v>
      </ns0:c>
      <ns0:c r="F113" s="72">
        <ns0:v>131.19999999999999</ns0:v>
      </ns0:c>
      <ns0:c r="G113" s="72">
        <ns0:v>31.68</ns0:v>
      </ns0:c>
      <ns0:c r="H113" s="72">
        <ns0:v>162.88</ns0:v>
      </ns0:c>
      <ns0:c r="I113" s="73" t="n">
        <ns0:v>615000</ns0:v>
      </ns0:c>
      <ns0:c r="J113" s="71">
        <ns0:v>2026</ns0:v>
      </ns0:c>
      <ns0:c r="K113" s="73" t="n">
        <ns0:v>4687.5</ns0:v>
      </ns0:c>
      <ns0:c r="L113" s="73" t="n">
        <ns0:v>3775.785854616896</ns0:v>
      </ns0:c>
      <ns0:c r="M113" s="74" t="str">
        <ns0:f t="shared" si="20"/>
        <ns0:v>Projeto</ns0:v>
      </ns0:c>
      <ns0:c r="N113" s="74"/>
      <ns0:c r="O113" s="74"/>
      <ns0:c r="P113" s="77"/>
      <ns0:c r="Q113" s="74" t="str">
        <ns0:f t="shared" si="21"/>
        <ns0:v>Projeto</ns0:v>
      </ns0:c>
      <ns0:c r="R113" s="74" t="s">
        <ns0:v>32</ns0:v>
      </ns0:c>
      <ns0:c r="S113" s="74"/>
      <ns0:c r="T113" s="74" t="inlineStr">
        <ns0:is>
          <ns0:t>P-1 — Lugar 22</ns0:t>
        </ns0:is>
      </ns0:c>
      <ns0:c r="U113" s="74"/>
      <ns0:c r="V113" s="74"/>
      <ns0:c r="W113" s="76">
        <ns0:f t="shared" si="22"/>
        <ns0:v>1</ns0:v>
      </ns0:c>
      <ns0:c r="X113" s="74" t="str">
        <ns0:f t="shared" si="23"/>
        <ns0:v>Projeto</ns0:v>
      </ns0:c>
      <ns0:c r="Y113" s="74" t="str">
        <ns0:f t="shared" si="24"/>
        <ns0:v>N/A</ns0:v>
      </ns0:c>
      <ns0:c r="Z113" s="74"/>
      <ns0:c r="AA113" s="74" t="str">
        <ns0:f t="shared" si="25"/>
        <ns0:v>Manter</ns0:v>
      </ns0:c>
      <ns0:c r="AB113" s="74" t="str">
        <ns0:f t="shared" si="26"/>
      </ns0:c>
      <ns0:c r="AC113" s="73" t="n">
        <ns0:v>795000</ns0:v>
      </ns0:c>
      <ns0:c r="AD113" s="74" t="inlineStr">
        <ns0:is>
          <ns0:t>2026-10</ns0:t>
        </ns0:is>
      </ns0:c>
      <ns0:c r="AE113" s="74" t="inlineStr">
        <ns0:is>
          <ns0:t>Alta</ns0:t>
        </ns0:is>
      </ns0:c>
      <ns0:c r="AF113" s="74" t="inlineStr">
        <ns0:is>
          <ns0:t>Preço recomendado da análise independente de outubro de 2026, conforme tabela técnica validada. Não substitui o preço comercial atual. Enquadramento anterior (setembro de 2026): T2+1 de área ampla; ajuste contido face aos T2 próximos.</ns0:t>
        </ns0:is>
      </ns0:c>
      <ns0:c r="AG113" s="74" t="inlineStr">
        <ns0:is>
          <ns0:t>Standard</ns0:t>
        </ns0:is>
      </ns0:c>
      <ns0:c r="AQ113" s="74" t="inlineStr">
        <ns0:is>
          <ns0:t>Olhão</ns0:t>
        </ns0:is>
      </ns0:c>
      <ns0:c r="AR113" s="74" t="inlineStr">
        <ns0:is>
          <ns0:t>Empreendimento The View Olhão</ns0:t>
        </ns0:is>
      </ns0:c>
    </ns0:row>
    <ns0:row r="114">
      <ns0:c r="A114" s="71" t="s">
        <ns0:v>116</ns0:v>
      </ns0:c>
      <ns0:c r="B114" s="71" t="s">
        <ns0:v>125</ns0:v>
      </ns0:c>
      <ns0:c r="C114" s="71">
        <ns0:v>1</ns0:v>
      </ns0:c>
      <ns0:c r="D114" s="71" t="s">
        <ns0:v>31</ns0:v>
      </ns0:c>
      <ns0:c r="E114" s="71">
        <ns0:v>3</ns0:v>
      </ns0:c>
      <ns0:c r="F114" s="72">
        <ns0:v>105.04</ns0:v>
      </ns0:c>
      <ns0:c r="G114" s="72">
        <ns0:v>39.29</ns0:v>
      </ns0:c>
      <ns0:c r="H114" s="72">
        <ns0:v>144.33000000000001</ns0:v>
      </ns0:c>
      <ns0:c r="I114" s="73" t="n">
        <ns0:v>535000</ns0:v>
      </ns0:c>
      <ns0:c r="J114" s="71">
        <ns0:v>2026</ns0:v>
      </ns0:c>
      <ns0:c r="K114" s="73" t="n">
        <ns0:v>5093.297791317593</ns0:v>
      </ns0:c>
      <ns0:c r="L114" s="73" t="n">
        <ns0:v>3706.7830665835236</ns0:v>
      </ns0:c>
      <ns0:c r="M114" s="74" t="str">
        <ns0:f t="shared" si="20"/>
        <ns0:v>Projeto</ns0:v>
      </ns0:c>
      <ns0:c r="N114" s="74"/>
      <ns0:c r="O114" s="74"/>
      <ns0:c r="P114" s="77"/>
      <ns0:c r="Q114" s="74" t="str">
        <ns0:f t="shared" si="21"/>
        <ns0:v>Projeto</ns0:v>
      </ns0:c>
      <ns0:c r="R114" s="74" t="s">
        <ns0:v>32</ns0:v>
      </ns0:c>
      <ns0:c r="S114" s="74"/>
      <ns0:c r="T114" s="74" t="inlineStr">
        <ns0:is>
          <ns0:t>P-1 — Lugar 21</ns0:t>
        </ns0:is>
      </ns0:c>
      <ns0:c r="U114" s="74"/>
      <ns0:c r="V114" s="74"/>
      <ns0:c r="W114" s="76">
        <ns0:f t="shared" si="22"/>
        <ns0:v>1</ns0:v>
      </ns0:c>
      <ns0:c r="X114" s="74" t="str">
        <ns0:f t="shared" si="23"/>
        <ns0:v>Projeto</ns0:v>
      </ns0:c>
      <ns0:c r="Y114" s="74" t="str">
        <ns0:f t="shared" si="24"/>
        <ns0:v>N/A</ns0:v>
      </ns0:c>
      <ns0:c r="Z114" s="74"/>
      <ns0:c r="AA114" s="74" t="str">
        <ns0:f t="shared" si="25"/>
        <ns0:v>Manter</ns0:v>
      </ns0:c>
      <ns0:c r="AB114" s="74" t="str">
        <ns0:f t="shared" si="26"/>
      </ns0:c>
      <ns0:c r="AC114" s="73" t="n">
        <ns0:v>675000</ns0:v>
      </ns0:c>
      <ns0:c r="AD114" s="74" t="inlineStr">
        <ns0:is>
          <ns0:t>2026-10</ns0:t>
        </ns0:is>
      </ns0:c>
      <ns0:c r="AE114" s="74" t="inlineStr">
        <ns0:is>
          <ns0:t>Alta</ns0:t>
        </ns0:is>
      </ns0:c>
      <ns0:c r="AF114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14" s="74" t="inlineStr">
        <ns0:is>
          <ns0:t>Standard</ns0:t>
        </ns0:is>
      </ns0:c>
      <ns0:c r="AQ114" s="74" t="inlineStr">
        <ns0:is>
          <ns0:t>Olhão</ns0:t>
        </ns0:is>
      </ns0:c>
      <ns0:c r="AR114" s="74" t="inlineStr">
        <ns0:is>
          <ns0:t>Empreendimento The View Olhão</ns0:t>
        </ns0:is>
      </ns0:c>
    </ns0:row>
    <ns0:row r="115">
      <ns0:c r="A115" s="71" t="s">
        <ns0:v>116</ns0:v>
      </ns0:c>
      <ns0:c r="B115" s="71" t="s">
        <ns0:v>126</ns0:v>
      </ns0:c>
      <ns0:c r="C115" s="71">
        <ns0:v>1</ns0:v>
      </ns0:c>
      <ns0:c r="D115" s="71" t="s">
        <ns0:v>42</ns0:v>
      </ns0:c>
      <ns0:c r="E115" s="71">
        <ns0:v>3</ns0:v>
      </ns0:c>
      <ns0:c r="F115" s="72">
        <ns0:v>53.33</ns0:v>
      </ns0:c>
      <ns0:c r="G115" s="72">
        <ns0:v>20.67</ns0:v>
      </ns0:c>
      <ns0:c r="H115" s="72">
        <ns0:v>74</ns0:v>
      </ns0:c>
      <ns0:c r="I115" s="73" t="n">
        <ns0:v>390000</ns0:v>
      </ns0:c>
      <ns0:c r="J115" s="71">
        <ns0:v>2026</ns0:v>
      </ns0:c>
      <ns0:c r="K115" s="73" t="n">
        <ns0:v>7312.957059816239</ns0:v>
      </ns0:c>
      <ns0:c r="L115" s="73" t="n">
        <ns0:v>5270.27027027027</ns0:v>
      </ns0:c>
      <ns0:c r="M115" s="74" t="str">
        <ns0:f t="shared" si="20"/>
        <ns0:v>Projeto</ns0:v>
      </ns0:c>
      <ns0:c r="N115" s="74"/>
      <ns0:c r="O115" s="74"/>
      <ns0:c r="P115" s="77"/>
      <ns0:c r="Q115" s="74" t="str">
        <ns0:f t="shared" si="21"/>
        <ns0:v>Projeto</ns0:v>
      </ns0:c>
      <ns0:c r="R115" s="74" t="s">
        <ns0:v>32</ns0:v>
      </ns0:c>
      <ns0:c r="S115" s="74"/>
      <ns0:c r="T115" s="74" t="inlineStr">
        <ns0:is>
          <ns0:t>Sem estacionamento</ns0:t>
        </ns0:is>
      </ns0:c>
      <ns0:c r="U115" s="74"/>
      <ns0:c r="V115" s="74"/>
      <ns0:c r="W115" s="76">
        <ns0:f t="shared" si="22"/>
        <ns0:v>1</ns0:v>
      </ns0:c>
      <ns0:c r="X115" s="74" t="str">
        <ns0:f t="shared" si="23"/>
        <ns0:v>Projeto</ns0:v>
      </ns0:c>
      <ns0:c r="Y115" s="74" t="str">
        <ns0:f t="shared" si="24"/>
        <ns0:v>N/A</ns0:v>
      </ns0:c>
      <ns0:c r="Z115" s="74"/>
      <ns0:c r="AA115" s="74" t="str">
        <ns0:f t="shared" si="25"/>
        <ns0:v>Manter</ns0:v>
      </ns0:c>
      <ns0:c r="AB115" s="74" t="str">
        <ns0:f t="shared" si="26"/>
      </ns0:c>
      <ns0:c r="AC115" s="73" t="n">
        <ns0:v>425000</ns0:v>
      </ns0:c>
      <ns0:c r="AD115" s="74" t="inlineStr">
        <ns0:is>
          <ns0:t>2026-10</ns0:t>
        </ns0:is>
      </ns0:c>
      <ns0:c r="AE115" s="74" t="inlineStr">
        <ns0:is>
          <ns0:t>Alta</ns0:t>
        </ns0:is>
      </ns0:c>
      <ns0:c r="AF115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15" s="74" t="inlineStr">
        <ns0:is>
          <ns0:t>Standard</ns0:t>
        </ns0:is>
      </ns0:c>
      <ns0:c r="AQ115" s="74" t="inlineStr">
        <ns0:is>
          <ns0:t>Olhão</ns0:t>
        </ns0:is>
      </ns0:c>
      <ns0:c r="AR115" s="74" t="inlineStr">
        <ns0:is>
          <ns0:t>Empreendimento The View Olhão</ns0:t>
        </ns0:is>
      </ns0:c>
    </ns0:row>
    <ns0:row r="116">
      <ns0:c r="A116" s="71" t="s">
        <ns0:v>116</ns0:v>
      </ns0:c>
      <ns0:c r="B116" s="71" t="s">
        <ns0:v>127</ns0:v>
      </ns0:c>
      <ns0:c r="C116" s="71">
        <ns0:v>2</ns0:v>
      </ns0:c>
      <ns0:c r="D116" s="71" t="s">
        <ns0:v>64</ns0:v>
      </ns0:c>
      <ns0:c r="E116" s="71">
        <ns0:v>1</ns0:v>
      </ns0:c>
      <ns0:c r="F116" s="72">
        <ns0:v>157.13999999999999</ns0:v>
      </ns0:c>
      <ns0:c r="G116" s="72">
        <ns0:v>64.62</ns0:v>
      </ns0:c>
      <ns0:c r="H116" s="72">
        <ns0:v>221.76</ns0:v>
      </ns0:c>
      <ns0:c r="I116" s="73" t="n">
        <ns0:v>800000</ns0:v>
      </ns0:c>
      <ns0:c r="J116" s="71">
        <ns0:v>2026</ns0:v>
      </ns0:c>
      <ns0:c r="K116" s="73" t="n">
        <ns0:v>5091.001654575538</ns0:v>
      </ns0:c>
      <ns0:c r="L116" s="73" t="n">
        <ns0:v>3607.503607503608</ns0:v>
      </ns0:c>
      <ns0:c r="M116" s="74" t="str">
        <ns0:f t="shared" si="20"/>
        <ns0:v>Projeto</ns0:v>
      </ns0:c>
      <ns0:c r="N116" s="74"/>
      <ns0:c r="O116" s="74"/>
      <ns0:c r="P116" s="77"/>
      <ns0:c r="Q116" s="74" t="str">
        <ns0:f t="shared" si="21"/>
        <ns0:v>Projeto</ns0:v>
      </ns0:c>
      <ns0:c r="R116" s="74" t="s">
        <ns0:v>32</ns0:v>
      </ns0:c>
      <ns0:c r="S116" s="74"/>
      <ns0:c r="T116" s="74" t="inlineStr">
        <ns0:is>
          <ns0:t>P-1 — Lugar 26</ns0:t>
        </ns0:is>
      </ns0:c>
      <ns0:c r="U116" s="74"/>
      <ns0:c r="V116" s="74"/>
      <ns0:c r="W116" s="76">
        <ns0:f t="shared" si="22"/>
        <ns0:v>1</ns0:v>
      </ns0:c>
      <ns0:c r="X116" s="74" t="str">
        <ns0:f t="shared" si="23"/>
        <ns0:v>Projeto</ns0:v>
      </ns0:c>
      <ns0:c r="Y116" s="74" t="str">
        <ns0:f t="shared" si="24"/>
        <ns0:v>N/A</ns0:v>
      </ns0:c>
      <ns0:c r="Z116" s="74"/>
      <ns0:c r="AA116" s="74" t="str">
        <ns0:f t="shared" si="25"/>
        <ns0:v>Manter</ns0:v>
      </ns0:c>
      <ns0:c r="AB116" s="74" t="str">
        <ns0:f t="shared" si="26"/>
      </ns0:c>
      <ns0:c r="AC116" s="73" t="n">
        <ns0:v>1200000</ns0:v>
      </ns0:c>
      <ns0:c r="AD116" s="74" t="inlineStr">
        <ns0:is>
          <ns0:t>2026-10</ns0:t>
        </ns0:is>
      </ns0:c>
      <ns0:c r="AE116" s="74" t="inlineStr">
        <ns0:is>
          <ns0:t>Média</ns0:t>
        </ns0:is>
      </ns0:c>
      <ns0:c r="AF116" s="74" t="inlineStr">
        <ns0:is>
          <ns0:t>Preço recomendado da análise independente de outubro de 2026, conforme tabela técnica validada. Não substitui o preço comercial atual. Enquadramento anterior (setembro de 2026): T3 Sul/Este de grande área e exterior relevante; posicionamento abaixo do Apt. 16 preservado.</ns0:t>
        </ns0:is>
      </ns0:c>
      <ns0:c r="AG116" s="74" t="inlineStr">
        <ns0:is>
          <ns0:t>Premium</ns0:t>
        </ns0:is>
      </ns0:c>
      <ns0:c r="AQ116" s="74" t="inlineStr">
        <ns0:is>
          <ns0:t>Olhão</ns0:t>
        </ns0:is>
      </ns0:c>
      <ns0:c r="AR116" s="74" t="inlineStr">
        <ns0:is>
          <ns0:t>Empreendimento The View Olhão</ns0:t>
        </ns0:is>
      </ns0:c>
    </ns0:row>
    <ns0:row r="117">
      <ns0:c r="A117" s="71" t="s">
        <ns0:v>116</ns0:v>
      </ns0:c>
      <ns0:c r="B117" s="71" t="s">
        <ns0:v>128</ns0:v>
      </ns0:c>
      <ns0:c r="C117" s="71">
        <ns0:v>2</ns0:v>
      </ns0:c>
      <ns0:c r="D117" s="71" t="s">
        <ns0:v>31</ns0:v>
      </ns0:c>
      <ns0:c r="E117" s="71">
        <ns0:v>2</ns0:v>
      </ns0:c>
      <ns0:c r="F117" s="72">
        <ns0:v>124.52</ns0:v>
      </ns0:c>
      <ns0:c r="G117" s="72">
        <ns0:v>40.97</ns0:v>
      </ns0:c>
      <ns0:c r="H117" s="72">
        <ns0:v>165.49</ns0:v>
      </ns0:c>
      <ns0:c r="I117" s="73" t="n">
        <ns0:v>620000</ns0:v>
      </ns0:c>
      <ns0:c r="J117" s="71">
        <ns0:v>2026</ns0:v>
      </ns0:c>
      <ns0:c r="K117" s="73" t="n">
        <ns0:v>4979.119820109219</ns0:v>
      </ns0:c>
      <ns0:c r="L117" s="73" t="n">
        <ns0:v>3746.4499365520574</ns0:v>
      </ns0:c>
      <ns0:c r="M117" s="74" t="str">
        <ns0:f t="shared" si="20"/>
        <ns0:v>Projeto</ns0:v>
      </ns0:c>
      <ns0:c r="N117" s="74"/>
      <ns0:c r="O117" s="74"/>
      <ns0:c r="P117" s="77"/>
      <ns0:c r="Q117" s="74" t="str">
        <ns0:f t="shared" si="21"/>
        <ns0:v>Projeto</ns0:v>
      </ns0:c>
      <ns0:c r="R117" s="74" t="s">
        <ns0:v>32</ns0:v>
      </ns0:c>
      <ns0:c r="S117" s="74"/>
      <ns0:c r="T117" s="74" t="inlineStr">
        <ns0:is>
          <ns0:t>P-1 — Lugar 27</ns0:t>
        </ns0:is>
      </ns0:c>
      <ns0:c r="U117" s="74"/>
      <ns0:c r="V117" s="74"/>
      <ns0:c r="W117" s="76">
        <ns0:f t="shared" si="22"/>
        <ns0:v>1</ns0:v>
      </ns0:c>
      <ns0:c r="X117" s="74" t="str">
        <ns0:f t="shared" si="23"/>
        <ns0:v>Projeto</ns0:v>
      </ns0:c>
      <ns0:c r="Y117" s="74" t="str">
        <ns0:f t="shared" si="24"/>
        <ns0:v>N/A</ns0:v>
      </ns0:c>
      <ns0:c r="Z117" s="74"/>
      <ns0:c r="AA117" s="74" t="str">
        <ns0:f t="shared" si="25"/>
        <ns0:v>Manter</ns0:v>
      </ns0:c>
      <ns0:c r="AB117" s="74" t="str">
        <ns0:f t="shared" si="26"/>
      </ns0:c>
      <ns0:c r="AC117" s="73" t="n">
        <ns0:v>830000</ns0:v>
      </ns0:c>
      <ns0:c r="AD117" s="74" t="inlineStr">
        <ns0:is>
          <ns0:t>2026-10</ns0:t>
        </ns0:is>
      </ns0:c>
      <ns0:c r="AE117" s="74" t="inlineStr">
        <ns0:is>
          <ns0:t>Alta</ns0:t>
        </ns0:is>
      </ns0:c>
      <ns0:c r="AF117" s="74" t="inlineStr">
        <ns0:is>
          <ns0:t>Preço recomendado da análise independente de outubro de 2026, conforme tabela técnica validada. Não substitui o preço comercial atual. Enquadramento anterior (setembro de 2026): Progressão moderada da coluna T2 Sul/Oeste face ao Apt. 2.</ns0:t>
        </ns0:is>
      </ns0:c>
      <ns0:c r="AG117" s="74" t="inlineStr">
        <ns0:is>
          <ns0:t>Standard</ns0:t>
        </ns0:is>
      </ns0:c>
      <ns0:c r="AQ117" s="74" t="inlineStr">
        <ns0:is>
          <ns0:t>Olhão</ns0:t>
        </ns0:is>
      </ns0:c>
      <ns0:c r="AR117" s="74" t="inlineStr">
        <ns0:is>
          <ns0:t>Empreendimento The View Olhão</ns0:t>
        </ns0:is>
      </ns0:c>
    </ns0:row>
    <ns0:row r="118">
      <ns0:c r="A118" s="71" t="s">
        <ns0:v>116</ns0:v>
      </ns0:c>
      <ns0:c r="B118" s="71" t="s">
        <ns0:v>129</ns0:v>
      </ns0:c>
      <ns0:c r="C118" s="71">
        <ns0:v>2</ns0:v>
      </ns0:c>
      <ns0:c r="D118" s="71" t="s">
        <ns0:v>42</ns0:v>
      </ns0:c>
      <ns0:c r="E118" s="71">
        <ns0:v>4</ns0:v>
      </ns0:c>
      <ns0:c r="F118" s="72">
        <ns0:v>76.7</ns0:v>
      </ns0:c>
      <ns0:c r="G118" s="72">
        <ns0:v>16.96</ns0:v>
      </ns0:c>
      <ns0:c r="H118" s="72">
        <ns0:v>93.66</ns0:v>
      </ns0:c>
      <ns0:c r="I118" s="73" t="n">
        <ns0:v>400000</ns0:v>
      </ns0:c>
      <ns0:c r="J118" s="71">
        <ns0:v>2026</ns0:v>
      </ns0:c>
      <ns0:c r="K118" s="73" t="n">
        <ns0:v>5215.123859191655</ns0:v>
      </ns0:c>
      <ns0:c r="L118" s="73" t="n">
        <ns0:v>4270.7666026051675</ns0:v>
      </ns0:c>
      <ns0:c r="M118" s="74" t="str">
        <ns0:f t="shared" si="20"/>
        <ns0:v>Projeto</ns0:v>
      </ns0:c>
      <ns0:c r="N118" s="74"/>
      <ns0:c r="O118" s="74"/>
      <ns0:c r="P118" s="77"/>
      <ns0:c r="Q118" s="74" t="str">
        <ns0:f t="shared" si="21"/>
        <ns0:v>Projeto</ns0:v>
      </ns0:c>
      <ns0:c r="R118" s="74" t="s">
        <ns0:v>32</ns0:v>
      </ns0:c>
      <ns0:c r="S118" s="74"/>
      <ns0:c r="T118" s="74" t="inlineStr">
        <ns0:is>
          <ns0:t>Sem estacionamento</ns0:t>
        </ns0:is>
      </ns0:c>
      <ns0:c r="U118" s="74"/>
      <ns0:c r="V118" s="74"/>
      <ns0:c r="W118" s="76">
        <ns0:f t="shared" si="22"/>
        <ns0:v>1</ns0:v>
      </ns0:c>
      <ns0:c r="X118" s="74" t="str">
        <ns0:f t="shared" si="23"/>
        <ns0:v>Projeto</ns0:v>
      </ns0:c>
      <ns0:c r="Y118" s="74" t="str">
        <ns0:f t="shared" si="24"/>
        <ns0:v>N/A</ns0:v>
      </ns0:c>
      <ns0:c r="Z118" s="74"/>
      <ns0:c r="AA118" s="74" t="str">
        <ns0:f t="shared" si="25"/>
        <ns0:v>Manter</ns0:v>
      </ns0:c>
      <ns0:c r="AB118" s="74" t="str">
        <ns0:f t="shared" si="26"/>
      </ns0:c>
      <ns0:c r="AC118" s="73" t="n">
        <ns0:v>440000</ns0:v>
      </ns0:c>
      <ns0:c r="AD118" s="74" t="inlineStr">
        <ns0:is>
          <ns0:t>2026-10</ns0:t>
        </ns0:is>
      </ns0:c>
      <ns0:c r="AE118" s="74" t="inlineStr">
        <ns0:is>
          <ns0:t>Alta</ns0:t>
        </ns0:is>
      </ns0:c>
      <ns0:c r="AF118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18" s="74" t="inlineStr">
        <ns0:is>
          <ns0:t>Standard</ns0:t>
        </ns0:is>
      </ns0:c>
      <ns0:c r="AQ118" s="74" t="inlineStr">
        <ns0:is>
          <ns0:t>Olhão</ns0:t>
        </ns0:is>
      </ns0:c>
      <ns0:c r="AR118" s="74" t="inlineStr">
        <ns0:is>
          <ns0:t>Empreendimento The View Olhão</ns0:t>
        </ns0:is>
      </ns0:c>
    </ns0:row>
    <ns0:row r="119">
      <ns0:c r="A119" s="71" t="s">
        <ns0:v>116</ns0:v>
      </ns0:c>
      <ns0:c r="B119" s="71" t="s">
        <ns0:v>130</ns0:v>
      </ns0:c>
      <ns0:c r="C119" s="71">
        <ns0:v>2</ns0:v>
      </ns0:c>
      <ns0:c r="D119" s="71" t="s">
        <ns0:v>121</ns0:v>
      </ns0:c>
      <ns0:c r="E119" s="71">
        <ns0:v>4</ns0:v>
      </ns0:c>
      <ns0:c r="F119" s="72">
        <ns0:v>90.43</ns0:v>
      </ns0:c>
      <ns0:c r="G119" s="72">
        <ns0:v>27.07</ns0:v>
      </ns0:c>
      <ns0:c r="H119" s="72">
        <ns0:v>117.5</ns0:v>
      </ns0:c>
      <ns0:c r="I119" s="73" t="n">
        <ns0:v>440000</ns0:v>
      </ns0:c>
      <ns0:c r="J119" s="71">
        <ns0:v>2026</ns0:v>
      </ns0:c>
      <ns0:c r="K119" s="73" t="n">
        <ns0:v>4865.64193298684</ns0:v>
      </ns0:c>
      <ns0:c r="L119" s="73" t="n">
        <ns0:v>3744.68085106383</ns0:v>
      </ns0:c>
      <ns0:c r="M119" s="74" t="str">
        <ns0:f t="shared" si="20"/>
        <ns0:v>Projeto</ns0:v>
      </ns0:c>
      <ns0:c r="N119" s="74"/>
      <ns0:c r="O119" s="74"/>
      <ns0:c r="P119" s="77"/>
      <ns0:c r="Q119" s="74" t="str">
        <ns0:f t="shared" si="21"/>
        <ns0:v>Projeto</ns0:v>
      </ns0:c>
      <ns0:c r="R119" s="74" t="s">
        <ns0:v>32</ns0:v>
      </ns0:c>
      <ns0:c r="S119" s="74"/>
      <ns0:c r="T119" s="74" t="inlineStr">
        <ns0:is>
          <ns0:t>P0Inf — Lugar 03</ns0:t>
        </ns0:is>
      </ns0:c>
      <ns0:c r="U119" s="74"/>
      <ns0:c r="V119" s="74"/>
      <ns0:c r="W119" s="76">
        <ns0:f t="shared" si="22"/>
        <ns0:v>1</ns0:v>
      </ns0:c>
      <ns0:c r="X119" s="74" t="str">
        <ns0:f t="shared" si="23"/>
        <ns0:v>Projeto</ns0:v>
      </ns0:c>
      <ns0:c r="Y119" s="74" t="str">
        <ns0:f t="shared" si="24"/>
        <ns0:v>N/A</ns0:v>
      </ns0:c>
      <ns0:c r="Z119" s="74"/>
      <ns0:c r="AA119" s="74" t="str">
        <ns0:f t="shared" si="25"/>
        <ns0:v>Manter</ns0:v>
      </ns0:c>
      <ns0:c r="AB119" s="74" t="str">
        <ns0:f t="shared" si="26"/>
      </ns0:c>
      <ns0:c r="AC119" s="73" t="n">
        <ns0:v>515000</ns0:v>
      </ns0:c>
      <ns0:c r="AD119" s="74" t="inlineStr">
        <ns0:is>
          <ns0:t>2026-10</ns0:t>
        </ns0:is>
      </ns0:c>
      <ns0:c r="AE119" s="74" t="inlineStr">
        <ns0:is>
          <ns0:t>Alta</ns0:t>
        </ns0:is>
      </ns0:c>
      <ns0:c r="AF119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19" s="74" t="inlineStr">
        <ns0:is>
          <ns0:t>Standard</ns0:t>
        </ns0:is>
      </ns0:c>
      <ns0:c r="AQ119" s="74" t="inlineStr">
        <ns0:is>
          <ns0:t>Olhão</ns0:t>
        </ns0:is>
      </ns0:c>
      <ns0:c r="AR119" s="74" t="inlineStr">
        <ns0:is>
          <ns0:t>Empreendimento The View Olhão</ns0:t>
        </ns0:is>
      </ns0:c>
    </ns0:row>
    <ns0:row r="120">
      <ns0:c r="A120" s="71" t="s">
        <ns0:v>116</ns0:v>
      </ns0:c>
      <ns0:c r="B120" s="71" t="s">
        <ns0:v>131</ns0:v>
      </ns0:c>
      <ns0:c r="C120" s="71">
        <ns0:v>2</ns0:v>
      </ns0:c>
      <ns0:c r="D120" s="71" t="s">
        <ns0:v>121</ns0:v>
      </ns0:c>
      <ns0:c r="E120" s="71">
        <ns0:v>4</ns0:v>
      </ns0:c>
      <ns0:c r="F120" s="72">
        <ns0:v>87</ns0:v>
      </ns0:c>
      <ns0:c r="G120" s="72">
        <ns0:v>22.5</ns0:v>
      </ns0:c>
      <ns0:c r="H120" s="72">
        <ns0:v>109.5</ns0:v>
      </ns0:c>
      <ns0:c r="I120" s="73" t="n">
        <ns0:v>420000</ns0:v>
      </ns0:c>
      <ns0:c r="J120" s="71">
        <ns0:v>2026</ns0:v>
      </ns0:c>
      <ns0:c r="K120" s="73" t="n">
        <ns0:v>4827.586206896552</ns0:v>
      </ns0:c>
      <ns0:c r="L120" s="73" t="n">
        <ns0:v>3835.6164383561645</ns0:v>
      </ns0:c>
      <ns0:c r="M120" s="74" t="str">
        <ns0:f t="shared" si="20"/>
        <ns0:v>Projeto</ns0:v>
      </ns0:c>
      <ns0:c r="N120" s="74"/>
      <ns0:c r="O120" s="74"/>
      <ns0:c r="P120" s="77"/>
      <ns0:c r="Q120" s="74" t="str">
        <ns0:f t="shared" si="21"/>
        <ns0:v>Projeto</ns0:v>
      </ns0:c>
      <ns0:c r="R120" s="74" t="s">
        <ns0:v>32</ns0:v>
      </ns0:c>
      <ns0:c r="S120" s="74"/>
      <ns0:c r="T120" s="74" t="inlineStr">
        <ns0:is>
          <ns0:t>P0Inf — Lugar 14</ns0:t>
        </ns0:is>
      </ns0:c>
      <ns0:c r="U120" s="74"/>
      <ns0:c r="V120" s="74"/>
      <ns0:c r="W120" s="76">
        <ns0:f t="shared" si="22"/>
        <ns0:v>1</ns0:v>
      </ns0:c>
      <ns0:c r="X120" s="74" t="str">
        <ns0:f t="shared" si="23"/>
        <ns0:v>Projeto</ns0:v>
      </ns0:c>
      <ns0:c r="Y120" s="74" t="str">
        <ns0:f t="shared" si="24"/>
        <ns0:v>N/A</ns0:v>
      </ns0:c>
      <ns0:c r="Z120" s="74"/>
      <ns0:c r="AA120" s="74" t="str">
        <ns0:f t="shared" si="25"/>
        <ns0:v>Manter</ns0:v>
      </ns0:c>
      <ns0:c r="AB120" s="74" t="str">
        <ns0:f t="shared" si="26"/>
      </ns0:c>
      <ns0:c r="AC120" s="73" t="n">
        <ns0:v>500000</ns0:v>
      </ns0:c>
      <ns0:c r="AD120" s="74" t="inlineStr">
        <ns0:is>
          <ns0:t>2026-10</ns0:t>
        </ns0:is>
      </ns0:c>
      <ns0:c r="AE120" s="74" t="inlineStr">
        <ns0:is>
          <ns0:t>Média</ns0:t>
        </ns0:is>
      </ns0:c>
      <ns0:c r="AF120" s="74" t="inlineStr">
        <ns0:is>
          <ns0:t>Preço recomendado da análise independente de outubro de 2026, conforme tabela técnica validada. Não substitui o preço comercial atual. Enquadramento anterior (setembro de 2026): Recomendação condicionada à validação das áreas/características da fração face ao Apt. 12.</ns0:t>
        </ns0:is>
      </ns0:c>
      <ns0:c r="AG120" s="74" t="inlineStr">
        <ns0:is>
          <ns0:t>Standard</ns0:t>
        </ns0:is>
      </ns0:c>
      <ns0:c r="AQ120" s="74" t="inlineStr">
        <ns0:is>
          <ns0:t>Olhão</ns0:t>
        </ns0:is>
      </ns0:c>
      <ns0:c r="AR120" s="74" t="inlineStr">
        <ns0:is>
          <ns0:t>Empreendimento The View Olhão</ns0:t>
        </ns0:is>
      </ns0:c>
    </ns0:row>
    <ns0:row r="121">
      <ns0:c r="A121" s="71" t="s">
        <ns0:v>116</ns0:v>
      </ns0:c>
      <ns0:c r="B121" s="71" t="s">
        <ns0:v>132</ns0:v>
      </ns0:c>
      <ns0:c r="C121" s="71">
        <ns0:v>2</ns0:v>
      </ns0:c>
      <ns0:c r="D121" s="71" t="s">
        <ns0:v>31</ns0:v>
      </ns0:c>
      <ns0:c r="E121" s="71">
        <ns0:v>3</ns0:v>
      </ns0:c>
      <ns0:c r="F121" s="72">
        <ns0:v>119.59</ns0:v>
      </ns0:c>
      <ns0:c r="G121" s="72">
        <ns0:v>43.18</ns0:v>
      </ns0:c>
      <ns0:c r="H121" s="72">
        <ns0:v>162.77000000000001</ns0:v>
      </ns0:c>
      <ns0:c r="I121" s="73" t="n">
        <ns0:v>600000</ns0:v>
      </ns0:c>
      <ns0:c r="J121" s="71">
        <ns0:v>2026</ns0:v>
      </ns0:c>
      <ns0:c r="K121" s="73" t="n">
        <ns0:v>5017.1419014967805</ns0:v>
      </ns0:c>
      <ns0:c r="L121" s="73" t="n">
        <ns0:v>3686.1829575474594</ns0:v>
      </ns0:c>
      <ns0:c r="M121" s="74" t="str">
        <ns0:f t="shared" si="20"/>
        <ns0:v>Projeto</ns0:v>
      </ns0:c>
      <ns0:c r="N121" s="74"/>
      <ns0:c r="O121" s="74"/>
      <ns0:c r="P121" s="77"/>
      <ns0:c r="Q121" s="74" t="str">
        <ns0:f t="shared" si="21"/>
        <ns0:v>Projeto</ns0:v>
      </ns0:c>
      <ns0:c r="R121" s="74" t="s">
        <ns0:v>32</ns0:v>
      </ns0:c>
      <ns0:c r="S121" s="74"/>
      <ns0:c r="T121" s="74" t="inlineStr">
        <ns0:is>
          <ns0:t>P-1 — Lugar 20</ns0:t>
        </ns0:is>
      </ns0:c>
      <ns0:c r="U121" s="74"/>
      <ns0:c r="V121" s="74"/>
      <ns0:c r="W121" s="76">
        <ns0:f t="shared" si="22"/>
        <ns0:v>1</ns0:v>
      </ns0:c>
      <ns0:c r="X121" s="74" t="str">
        <ns0:f t="shared" si="23"/>
        <ns0:v>Projeto</ns0:v>
      </ns0:c>
      <ns0:c r="Y121" s="74" t="str">
        <ns0:f t="shared" si="24"/>
        <ns0:v>N/A</ns0:v>
      </ns0:c>
      <ns0:c r="Z121" s="74"/>
      <ns0:c r="AA121" s="74" t="str">
        <ns0:f t="shared" si="25"/>
        <ns0:v>Manter</ns0:v>
      </ns0:c>
      <ns0:c r="AB121" s="74" t="str">
        <ns0:f t="shared" si="26"/>
      </ns0:c>
      <ns0:c r="AC121" s="73" t="n">
        <ns0:v>735000</ns0:v>
      </ns0:c>
      <ns0:c r="AD121" s="74" t="inlineStr">
        <ns0:is>
          <ns0:t>2026-10</ns0:t>
        </ns0:is>
      </ns0:c>
      <ns0:c r="AE121" s="74" t="inlineStr">
        <ns0:is>
          <ns0:t>Alta</ns0:t>
        </ns0:is>
      </ns0:c>
      <ns0:c r="AF121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21" s="74" t="inlineStr">
        <ns0:is>
          <ns0:t>Standard</ns0:t>
        </ns0:is>
      </ns0:c>
      <ns0:c r="AQ121" s="74" t="inlineStr">
        <ns0:is>
          <ns0:t>Olhão</ns0:t>
        </ns0:is>
      </ns0:c>
      <ns0:c r="AR121" s="74" t="inlineStr">
        <ns0:is>
          <ns0:t>Empreendimento The View Olhão</ns0:t>
        </ns0:is>
      </ns0:c>
    </ns0:row>
    <ns0:row r="122">
      <ns0:c r="A122" s="71" t="s">
        <ns0:v>116</ns0:v>
      </ns0:c>
      <ns0:c r="B122" s="71" t="s">
        <ns0:v>133</ns0:v>
      </ns0:c>
      <ns0:c r="C122" s="71">
        <ns0:v>2</ns0:v>
      </ns0:c>
      <ns0:c r="D122" s="71" t="s">
        <ns0:v>31</ns0:v>
      </ns0:c>
      <ns0:c r="E122" s="71">
        <ns0:v>3</ns0:v>
      </ns0:c>
      <ns0:c r="F122" s="72">
        <ns0:v>104.88</ns0:v>
      </ns0:c>
      <ns0:c r="G122" s="72">
        <ns0:v>39.35</ns0:v>
      </ns0:c>
      <ns0:c r="H122" s="72">
        <ns0:v>144.22999999999999</ns0:v>
      </ns0:c>
      <ns0:c r="I122" s="73" t="n">
        <ns0:v>580000</ns0:v>
      </ns0:c>
      <ns0:c r="J122" s="71">
        <ns0:v>2026</ns0:v>
      </ns0:c>
      <ns0:c r="K122" s="73" t="n">
        <ns0:v>5530.129672006103</ns0:v>
      </ns0:c>
      <ns0:c r="L122" s="73" t="n">
        <ns0:v>4021.35478055883</ns0:v>
      </ns0:c>
      <ns0:c r="M122" s="74" t="str">
        <ns0:f t="shared" si="20"/>
        <ns0:v>Projeto</ns0:v>
      </ns0:c>
      <ns0:c r="N122" s="74"/>
      <ns0:c r="O122" s="74"/>
      <ns0:c r="P122" s="77"/>
      <ns0:c r="Q122" s="74" t="str">
        <ns0:f t="shared" si="21"/>
        <ns0:v>Projeto</ns0:v>
      </ns0:c>
      <ns0:c r="R122" s="74" t="s">
        <ns0:v>32</ns0:v>
      </ns0:c>
      <ns0:c r="S122" s="74"/>
      <ns0:c r="T122" s="74" t="inlineStr">
        <ns0:is>
          <ns0:t>P-1 — Lugar 19</ns0:t>
        </ns0:is>
      </ns0:c>
      <ns0:c r="U122" s="74"/>
      <ns0:c r="V122" s="74"/>
      <ns0:c r="W122" s="76">
        <ns0:f t="shared" si="22"/>
        <ns0:v>1</ns0:v>
      </ns0:c>
      <ns0:c r="X122" s="74" t="str">
        <ns0:f t="shared" si="23"/>
        <ns0:v>Projeto</ns0:v>
      </ns0:c>
      <ns0:c r="Y122" s="74" t="str">
        <ns0:f t="shared" si="24"/>
        <ns0:v>N/A</ns0:v>
      </ns0:c>
      <ns0:c r="Z122" s="74"/>
      <ns0:c r="AA122" s="74" t="str">
        <ns0:f t="shared" si="25"/>
        <ns0:v>Manter</ns0:v>
      </ns0:c>
      <ns0:c r="AB122" s="74" t="str">
        <ns0:f t="shared" si="26"/>
      </ns0:c>
      <ns0:c r="AC122" s="73" t="n">
        <ns0:v>705000</ns0:v>
      </ns0:c>
      <ns0:c r="AD122" s="74" t="inlineStr">
        <ns0:is>
          <ns0:t>2026-10</ns0:t>
        </ns0:is>
      </ns0:c>
      <ns0:c r="AE122" s="74" t="inlineStr">
        <ns0:is>
          <ns0:t>Alta</ns0:t>
        </ns0:is>
      </ns0:c>
      <ns0:c r="AF122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22" s="74" t="inlineStr">
        <ns0:is>
          <ns0:t>Standard</ns0:t>
        </ns0:is>
      </ns0:c>
      <ns0:c r="AQ122" s="74" t="inlineStr">
        <ns0:is>
          <ns0:t>Olhão</ns0:t>
        </ns0:is>
      </ns0:c>
      <ns0:c r="AR122" s="74" t="inlineStr">
        <ns0:is>
          <ns0:t>Empreendimento The View Olhão</ns0:t>
        </ns0:is>
      </ns0:c>
    </ns0:row>
    <ns0:row r="123">
      <ns0:c r="A123" s="71" t="s">
        <ns0:v>116</ns0:v>
      </ns0:c>
      <ns0:c r="B123" s="71" t="s">
        <ns0:v>134</ns0:v>
      </ns0:c>
      <ns0:c r="C123" s="71">
        <ns0:v>3</ns0:v>
      </ns0:c>
      <ns0:c r="D123" s="71" t="s">
        <ns0:v>64</ns0:v>
      </ns0:c>
      <ns0:c r="E123" s="71">
        <ns0:v>1</ns0:v>
      </ns0:c>
      <ns0:c r="F123" s="72">
        <ns0:v>158</ns0:v>
      </ns0:c>
      <ns0:c r="G123" s="72">
        <ns0:v>65.349999999999994</ns0:v>
      </ns0:c>
      <ns0:c r="H123" s="72">
        <ns0:v>223.35</ns0:v>
      </ns0:c>
      <ns0:c r="I123" s="73" t="n">
        <ns0:v>900000</ns0:v>
      </ns0:c>
      <ns0:c r="J123" s="71">
        <ns0:v>2026</ns0:v>
      </ns0:c>
      <ns0:c r="K123" s="73" t="n">
        <ns0:v>5696.202531645569</ns0:v>
      </ns0:c>
      <ns0:c r="L123" s="73" t="n">
        <ns0:v>4029.5500335795837</ns0:v>
      </ns0:c>
      <ns0:c r="M123" s="74" t="str">
        <ns0:f t="shared" si="20"/>
        <ns0:v>Projeto</ns0:v>
      </ns0:c>
      <ns0:c r="N123" s="74"/>
      <ns0:c r="O123" s="74"/>
      <ns0:c r="P123" s="77"/>
      <ns0:c r="Q123" s="74" t="str">
        <ns0:f t="shared" si="21"/>
        <ns0:v>Projeto</ns0:v>
      </ns0:c>
      <ns0:c r="R123" s="74" t="s">
        <ns0:v>32</ns0:v>
      </ns0:c>
      <ns0:c r="S123" s="74"/>
      <ns0:c r="T123" s="74" t="inlineStr">
        <ns0:is>
          <ns0:t>P-1 — Lugar 23</ns0:t>
        </ns0:is>
      </ns0:c>
      <ns0:c r="U123" s="74"/>
      <ns0:c r="V123" s="74"/>
      <ns0:c r="W123" s="76">
        <ns0:f t="shared" si="22"/>
        <ns0:v>1</ns0:v>
      </ns0:c>
      <ns0:c r="X123" s="74" t="str">
        <ns0:f t="shared" si="23"/>
        <ns0:v>Projeto</ns0:v>
      </ns0:c>
      <ns0:c r="Y123" s="74" t="str">
        <ns0:f t="shared" si="24"/>
        <ns0:v>N/A</ns0:v>
      </ns0:c>
      <ns0:c r="Z123" s="74"/>
      <ns0:c r="AA123" s="74" t="str">
        <ns0:f t="shared" si="25"/>
        <ns0:v>Manter</ns0:v>
      </ns0:c>
      <ns0:c r="AB123" s="74" t="str">
        <ns0:f t="shared" si="26"/>
      </ns0:c>
      <ns0:c r="AC123" s="73" t="n">
        <ns0:v>1300000</ns0:v>
      </ns0:c>
      <ns0:c r="AD123" s="74" t="inlineStr">
        <ns0:is>
          <ns0:t>2026-10</ns0:t>
        </ns0:is>
      </ns0:c>
      <ns0:c r="AE123" s="74" t="inlineStr">
        <ns0:is>
          <ns0:t>Alta</ns0:t>
        </ns0:is>
      </ns0:c>
      <ns0:c r="AF123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23" s="74" t="inlineStr">
        <ns0:is>
          <ns0:t>Premium</ns0:t>
        </ns0:is>
      </ns0:c>
      <ns0:c r="AQ123" s="74" t="inlineStr">
        <ns0:is>
          <ns0:t>Olhão</ns0:t>
        </ns0:is>
      </ns0:c>
      <ns0:c r="AR123" s="74" t="inlineStr">
        <ns0:is>
          <ns0:t>Empreendimento The View Olhão</ns0:t>
        </ns0:is>
      </ns0:c>
    </ns0:row>
    <ns0:row r="124">
      <ns0:c r="A124" s="71" t="s">
        <ns0:v>116</ns0:v>
      </ns0:c>
      <ns0:c r="B124" s="71" t="s">
        <ns0:v>135</ns0:v>
      </ns0:c>
      <ns0:c r="C124" s="71">
        <ns0:v>3</ns0:v>
      </ns0:c>
      <ns0:c r="D124" s="71" t="s">
        <ns0:v>31</ns0:v>
      </ns0:c>
      <ns0:c r="E124" s="71">
        <ns0:v>2</ns0:v>
      </ns0:c>
      <ns0:c r="F124" s="72">
        <ns0:v>126.7</ns0:v>
      </ns0:c>
      <ns0:c r="G124" s="72">
        <ns0:v>41.5</ns0:v>
      </ns0:c>
      <ns0:c r="H124" s="72">
        <ns0:v>168.2</ns0:v>
      </ns0:c>
      <ns0:c r="I124" s="73" t="n">
        <ns0:v>640000</ns0:v>
      </ns0:c>
      <ns0:c r="J124" s="71">
        <ns0:v>2026</ns0:v>
      </ns0:c>
      <ns0:c r="K124" s="73" t="n">
        <ns0:v>5051.302288871349</ns0:v>
      </ns0:c>
      <ns0:c r="L124" s="73" t="n">
        <ns0:v>3804.9940546967896</ns0:v>
      </ns0:c>
      <ns0:c r="M124" s="74" t="str">
        <ns0:f t="shared" si="20"/>
        <ns0:v>Projeto</ns0:v>
      </ns0:c>
      <ns0:c r="N124" s="74"/>
      <ns0:c r="O124" s="74"/>
      <ns0:c r="P124" s="77"/>
      <ns0:c r="Q124" s="74" t="str">
        <ns0:f t="shared" si="21"/>
        <ns0:v>Projeto</ns0:v>
      </ns0:c>
      <ns0:c r="R124" s="74" t="s">
        <ns0:v>32</ns0:v>
      </ns0:c>
      <ns0:c r="S124" s="74"/>
      <ns0:c r="T124" s="74" t="inlineStr">
        <ns0:is>
          <ns0:t>P-1 — Lugar 24</ns0:t>
        </ns0:is>
      </ns0:c>
      <ns0:c r="U124" s="74"/>
      <ns0:c r="V124" s="74"/>
      <ns0:c r="W124" s="76">
        <ns0:f t="shared" si="22"/>
        <ns0:v>1</ns0:v>
      </ns0:c>
      <ns0:c r="X124" s="74" t="str">
        <ns0:f t="shared" si="23"/>
        <ns0:v>Projeto</ns0:v>
      </ns0:c>
      <ns0:c r="Y124" s="74" t="str">
        <ns0:f t="shared" si="24"/>
        <ns0:v>N/A</ns0:v>
      </ns0:c>
      <ns0:c r="Z124" s="74"/>
      <ns0:c r="AA124" s="74" t="str">
        <ns0:f t="shared" si="25"/>
        <ns0:v>Manter</ns0:v>
      </ns0:c>
      <ns0:c r="AB124" s="74" t="str">
        <ns0:f t="shared" si="26"/>
      </ns0:c>
      <ns0:c r="AC124" s="73" t="n">
        <ns0:v>880000</ns0:v>
      </ns0:c>
      <ns0:c r="AD124" s="74" t="inlineStr">
        <ns0:is>
          <ns0:t>2026-10</ns0:t>
        </ns0:is>
      </ns0:c>
      <ns0:c r="AE124" s="74" t="inlineStr">
        <ns0:is>
          <ns0:t>Alta</ns0:t>
        </ns0:is>
      </ns0:c>
      <ns0:c r="AF124" s="74" t="inlineStr">
        <ns0:is>
          <ns0:t>Preço recomendado da análise independente de outubro de 2026, conforme tabela técnica validada. Não substitui o preço comercial atual. Enquadramento anterior (setembro de 2026): Reforço da progressão interna da coluna T2 Sul/Oeste entre os pisos 2, 3 e 4.</ns0:t>
        </ns0:is>
      </ns0:c>
      <ns0:c r="AG124" s="74" t="inlineStr">
        <ns0:is>
          <ns0:t>Standard</ns0:t>
        </ns0:is>
      </ns0:c>
      <ns0:c r="AQ124" s="74" t="inlineStr">
        <ns0:is>
          <ns0:t>Olhão</ns0:t>
        </ns0:is>
      </ns0:c>
      <ns0:c r="AR124" s="74" t="inlineStr">
        <ns0:is>
          <ns0:t>Empreendimento The View Olhão</ns0:t>
        </ns0:is>
      </ns0:c>
    </ns0:row>
    <ns0:row r="125">
      <ns0:c r="A125" s="71" t="s">
        <ns0:v>116</ns0:v>
      </ns0:c>
      <ns0:c r="B125" s="71" t="s">
        <ns0:v>136</ns0:v>
      </ns0:c>
      <ns0:c r="C125" s="71">
        <ns0:v>3</ns0:v>
      </ns0:c>
      <ns0:c r="D125" s="71" t="s">
        <ns0:v>42</ns0:v>
      </ns0:c>
      <ns0:c r="E125" s="71">
        <ns0:v>4</ns0:v>
      </ns0:c>
      <ns0:c r="F125" s="72">
        <ns0:v>77.81</ns0:v>
      </ns0:c>
      <ns0:c r="G125" s="72">
        <ns0:v>16.41</ns0:v>
      </ns0:c>
      <ns0:c r="H125" s="72">
        <ns0:v>94.22</ns0:v>
      </ns0:c>
      <ns0:c r="I125" s="73" t="n">
        <ns0:v>425000</ns0:v>
      </ns0:c>
      <ns0:c r="J125" s="71">
        <ns0:v>2026</ns0:v>
      </ns0:c>
      <ns0:c r="K125" s="73" t="n">
        <ns0:v>5462.022876236987</ns0:v>
      </ns0:c>
      <ns0:c r="L125" s="73" t="n">
        <ns0:v>4510.719592443218</ns0:v>
      </ns0:c>
      <ns0:c r="M125" s="74" t="str">
        <ns0:f t="shared" si="20"/>
        <ns0:v>Projeto</ns0:v>
      </ns0:c>
      <ns0:c r="N125" s="74"/>
      <ns0:c r="O125" s="74"/>
      <ns0:c r="P125" s="77"/>
      <ns0:c r="Q125" s="74" t="str">
        <ns0:f t="shared" si="21"/>
        <ns0:v>Projeto</ns0:v>
      </ns0:c>
      <ns0:c r="R125" s="74" t="s">
        <ns0:v>32</ns0:v>
      </ns0:c>
      <ns0:c r="S125" s="74"/>
      <ns0:c r="T125" s="74" t="inlineStr">
        <ns0:is>
          <ns0:t>P0Inf — Lugar 05</ns0:t>
        </ns0:is>
      </ns0:c>
      <ns0:c r="U125" s="74"/>
      <ns0:c r="V125" s="74"/>
      <ns0:c r="W125" s="76">
        <ns0:f t="shared" si="22"/>
        <ns0:v>1</ns0:v>
      </ns0:c>
      <ns0:c r="X125" s="74" t="str">
        <ns0:f t="shared" si="23"/>
        <ns0:v>Projeto</ns0:v>
      </ns0:c>
      <ns0:c r="Y125" s="74" t="str">
        <ns0:f t="shared" si="24"/>
        <ns0:v>N/A</ns0:v>
      </ns0:c>
      <ns0:c r="Z125" s="74"/>
      <ns0:c r="AA125" s="74" t="str">
        <ns0:f t="shared" si="25"/>
        <ns0:v>Manter</ns0:v>
      </ns0:c>
      <ns0:c r="AB125" s="74" t="str">
        <ns0:f t="shared" si="26"/>
      </ns0:c>
      <ns0:c r="AC125" s="73" t="n">
        <ns0:v>465000</ns0:v>
      </ns0:c>
      <ns0:c r="AD125" s="74" t="inlineStr">
        <ns0:is>
          <ns0:t>2026-10</ns0:t>
        </ns0:is>
      </ns0:c>
      <ns0:c r="AE125" s="74" t="inlineStr">
        <ns0:is>
          <ns0:t>Alta</ns0:t>
        </ns0:is>
      </ns0:c>
      <ns0:c r="AF125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25" s="74" t="inlineStr">
        <ns0:is>
          <ns0:t>Standard</ns0:t>
        </ns0:is>
      </ns0:c>
      <ns0:c r="AQ125" s="74" t="inlineStr">
        <ns0:is>
          <ns0:t>Olhão</ns0:t>
        </ns0:is>
      </ns0:c>
      <ns0:c r="AR125" s="74" t="inlineStr">
        <ns0:is>
          <ns0:t>Empreendimento The View Olhão</ns0:t>
        </ns0:is>
      </ns0:c>
    </ns0:row>
    <ns0:row r="126">
      <ns0:c r="A126" s="71" t="s">
        <ns0:v>116</ns0:v>
      </ns0:c>
      <ns0:c r="B126" s="71" t="s">
        <ns0:v>137</ns0:v>
      </ns0:c>
      <ns0:c r="C126" s="71">
        <ns0:v>3</ns0:v>
      </ns0:c>
      <ns0:c r="D126" s="71" t="s">
        <ns0:v>42</ns0:v>
      </ns0:c>
      <ns0:c r="E126" s="71">
        <ns0:v>4</ns0:v>
      </ns0:c>
      <ns0:c r="F126" s="72">
        <ns0:v>70.180000000000007</ns0:v>
      </ns0:c>
      <ns0:c r="G126" s="72">
        <ns0:v>24.21</ns0:v>
      </ns0:c>
      <ns0:c r="H126" s="72">
        <ns0:v>94.390000000000015</ns0:v>
      </ns0:c>
      <ns0:c r="I126" s="73" t="n">
        <ns0:v>360000</ns0:v>
      </ns0:c>
      <ns0:c r="J126" s="71">
        <ns0:v>2026</ns0:v>
      </ns0:c>
      <ns0:c r="K126" s="73" t="n">
        <ns0:v>5129.666571672841</ns0:v>
      </ns0:c>
      <ns0:c r="L126" s="73" t="n">
        <ns0:v>3813.9633435745304</ns0:v>
      </ns0:c>
      <ns0:c r="M126" s="74" t="str">
        <ns0:f t="shared" si="20"/>
        <ns0:v>Projeto</ns0:v>
      </ns0:c>
      <ns0:c r="N126" s="74"/>
      <ns0:c r="O126" s="74"/>
      <ns0:c r="P126" s="77"/>
      <ns0:c r="Q126" s="74" t="str">
        <ns0:f t="shared" si="21"/>
        <ns0:v>Projeto</ns0:v>
      </ns0:c>
      <ns0:c r="R126" s="74" t="s">
        <ns0:v>32</ns0:v>
      </ns0:c>
      <ns0:c r="S126" s="74"/>
      <ns0:c r="T126" s="74" t="inlineStr">
        <ns0:is>
          <ns0:t>Sem estacionamento</ns0:t>
        </ns0:is>
      </ns0:c>
      <ns0:c r="U126" s="74"/>
      <ns0:c r="V126" s="74"/>
      <ns0:c r="W126" s="76">
        <ns0:f t="shared" si="22"/>
        <ns0:v>1</ns0:v>
      </ns0:c>
      <ns0:c r="X126" s="74" t="str">
        <ns0:f t="shared" si="23"/>
        <ns0:v>Projeto</ns0:v>
      </ns0:c>
      <ns0:c r="Y126" s="74" t="str">
        <ns0:f t="shared" si="24"/>
        <ns0:v>N/A</ns0:v>
      </ns0:c>
      <ns0:c r="Z126" s="74"/>
      <ns0:c r="AA126" s="74" t="str">
        <ns0:f t="shared" si="25"/>
        <ns0:v>Manter</ns0:v>
      </ns0:c>
      <ns0:c r="AB126" s="74" t="str">
        <ns0:f t="shared" si="26"/>
      </ns0:c>
      <ns0:c r="AC126" s="73" t="n">
        <ns0:v>395000</ns0:v>
      </ns0:c>
      <ns0:c r="AD126" s="74" t="inlineStr">
        <ns0:is>
          <ns0:t>2026-10</ns0:t>
        </ns0:is>
      </ns0:c>
      <ns0:c r="AE126" s="74" t="inlineStr">
        <ns0:is>
          <ns0:t>Alta</ns0:t>
        </ns0:is>
      </ns0:c>
      <ns0:c r="AF126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26" s="74" t="inlineStr">
        <ns0:is>
          <ns0:t>Standard</ns0:t>
        </ns0:is>
      </ns0:c>
      <ns0:c r="AQ126" s="74" t="inlineStr">
        <ns0:is>
          <ns0:t>Olhão</ns0:t>
        </ns0:is>
      </ns0:c>
      <ns0:c r="AR126" s="74" t="inlineStr">
        <ns0:is>
          <ns0:t>Empreendimento The View Olhão</ns0:t>
        </ns0:is>
      </ns0:c>
    </ns0:row>
    <ns0:row r="127">
      <ns0:c r="A127" s="71" t="s">
        <ns0:v>116</ns0:v>
      </ns0:c>
      <ns0:c r="B127" s="71" t="s">
        <ns0:v>138</ns0:v>
      </ns0:c>
      <ns0:c r="C127" s="71">
        <ns0:v>3</ns0:v>
      </ns0:c>
      <ns0:c r="D127" s="71" t="s">
        <ns0:v>42</ns0:v>
      </ns0:c>
      <ns0:c r="E127" s="71">
        <ns0:v>4</ns0:v>
      </ns0:c>
      <ns0:c r="F127" s="72">
        <ns0:v>66.5</ns0:v>
      </ns0:c>
      <ns0:c r="G127" s="72">
        <ns0:v>24.04</ns0:v>
      </ns0:c>
      <ns0:c r="H127" s="72">
        <ns0:v>90.539999999999992</ns0:v>
      </ns0:c>
      <ns0:c r="I127" s="73" t="n">
        <ns0:v>410000</ns0:v>
      </ns0:c>
      <ns0:c r="J127" s="71">
        <ns0:v>2026</ns0:v>
      </ns0:c>
      <ns0:c r="K127" s="73" t="n">
        <ns0:v>6165.413533834587</ns0:v>
      </ns0:c>
      <ns0:c r="L127" s="73" t="n">
        <ns0:v>4528.38524409101</ns0:v>
      </ns0:c>
      <ns0:c r="M127" s="74" t="str">
        <ns0:f t="shared" si="20"/>
        <ns0:v>Projeto</ns0:v>
      </ns0:c>
      <ns0:c r="N127" s="74"/>
      <ns0:c r="O127" s="74"/>
      <ns0:c r="P127" s="77"/>
      <ns0:c r="Q127" s="74" t="str">
        <ns0:f t="shared" si="21"/>
        <ns0:v>Projeto</ns0:v>
      </ns0:c>
      <ns0:c r="R127" s="74" t="s">
        <ns0:v>32</ns0:v>
      </ns0:c>
      <ns0:c r="S127" s="74"/>
      <ns0:c r="T127" s="74" t="inlineStr">
        <ns0:is>
          <ns0:t>P0Inf — Lugar 15</ns0:t>
        </ns0:is>
      </ns0:c>
      <ns0:c r="U127" s="74"/>
      <ns0:c r="V127" s="74"/>
      <ns0:c r="W127" s="76">
        <ns0:f t="shared" si="22"/>
        <ns0:v>1</ns0:v>
      </ns0:c>
      <ns0:c r="X127" s="74" t="str">
        <ns0:f t="shared" si="23"/>
        <ns0:v>Projeto</ns0:v>
      </ns0:c>
      <ns0:c r="Y127" s="74" t="str">
        <ns0:f t="shared" si="24"/>
        <ns0:v>N/A</ns0:v>
      </ns0:c>
      <ns0:c r="Z127" s="74"/>
      <ns0:c r="AA127" s="74" t="str">
        <ns0:f t="shared" si="25"/>
        <ns0:v>Manter</ns0:v>
      </ns0:c>
      <ns0:c r="AB127" s="74" t="str">
        <ns0:f t="shared" si="26"/>
      </ns0:c>
      <ns0:c r="AC127" s="73" t="n">
        <ns0:v>440000</ns0:v>
      </ns0:c>
      <ns0:c r="AD127" s="74" t="inlineStr">
        <ns0:is>
          <ns0:t>2026-10</ns0:t>
        </ns0:is>
      </ns0:c>
      <ns0:c r="AE127" s="74" t="inlineStr">
        <ns0:is>
          <ns0:t>Alta</ns0:t>
        </ns0:is>
      </ns0:c>
      <ns0:c r="AF127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27" s="74" t="inlineStr">
        <ns0:is>
          <ns0:t>Standard</ns0:t>
        </ns0:is>
      </ns0:c>
      <ns0:c r="AQ127" s="74" t="inlineStr">
        <ns0:is>
          <ns0:t>Olhão</ns0:t>
        </ns0:is>
      </ns0:c>
      <ns0:c r="AR127" s="74" t="inlineStr">
        <ns0:is>
          <ns0:t>Empreendimento The View Olhão</ns0:t>
        </ns0:is>
      </ns0:c>
    </ns0:row>
    <ns0:row r="128">
      <ns0:c r="A128" s="71" t="s">
        <ns0:v>116</ns0:v>
      </ns0:c>
      <ns0:c r="B128" s="71" t="s">
        <ns0:v>139</ns0:v>
      </ns0:c>
      <ns0:c r="C128" s="71">
        <ns0:v>3</ns0:v>
      </ns0:c>
      <ns0:c r="D128" s="71" t="s">
        <ns0:v>31</ns0:v>
      </ns0:c>
      <ns0:c r="E128" s="71">
        <ns0:v>3</ns0:v>
      </ns0:c>
      <ns0:c r="F128" s="72">
        <ns0:v>99.63</ns0:v>
      </ns0:c>
      <ns0:c r="G128" s="72">
        <ns0:v>39.96</ns0:v>
      </ns0:c>
      <ns0:c r="H128" s="72">
        <ns0:v>139.59</ns0:v>
      </ns0:c>
      <ns0:c r="I128" s="73" t="n">
        <ns0:v>560000</ns0:v>
      </ns0:c>
      <ns0:c r="J128" s="71">
        <ns0:v>2026</ns0:v>
      </ns0:c>
      <ns0:c r="K128" s="73" t="n">
        <ns0:v>5620.796948710228</ns0:v>
      </ns0:c>
      <ns0:c r="L128" s="73" t="n">
        <ns0:v>4011.7486925997564</ns0:v>
      </ns0:c>
      <ns0:c r="M128" s="74" t="str">
        <ns0:f t="shared" si="20"/>
        <ns0:v>Projeto</ns0:v>
      </ns0:c>
      <ns0:c r="N128" s="74"/>
      <ns0:c r="O128" s="74"/>
      <ns0:c r="P128" s="77"/>
      <ns0:c r="Q128" s="74" t="str">
        <ns0:f t="shared" si="21"/>
        <ns0:v>Projeto</ns0:v>
      </ns0:c>
      <ns0:c r="R128" s="74" t="s">
        <ns0:v>32</ns0:v>
      </ns0:c>
      <ns0:c r="S128" s="74"/>
      <ns0:c r="T128" s="74" t="inlineStr">
        <ns0:is>
          <ns0:t>P-1 — Lugar 18</ns0:t>
        </ns0:is>
      </ns0:c>
      <ns0:c r="U128" s="74"/>
      <ns0:c r="V128" s="74"/>
      <ns0:c r="W128" s="76">
        <ns0:f t="shared" si="22"/>
        <ns0:v>1</ns0:v>
      </ns0:c>
      <ns0:c r="X128" s="74" t="str">
        <ns0:f t="shared" si="23"/>
        <ns0:v>Projeto</ns0:v>
      </ns0:c>
      <ns0:c r="Y128" s="74" t="str">
        <ns0:f t="shared" si="24"/>
        <ns0:v>N/A</ns0:v>
      </ns0:c>
      <ns0:c r="Z128" s="74"/>
      <ns0:c r="AA128" s="74" t="str">
        <ns0:f t="shared" si="25"/>
        <ns0:v>Manter</ns0:v>
      </ns0:c>
      <ns0:c r="AB128" s="74" t="str">
        <ns0:f t="shared" si="26"/>
      </ns0:c>
      <ns0:c r="AC128" s="73" t="n">
        <ns0:v>745000</ns0:v>
      </ns0:c>
      <ns0:c r="AD128" s="74" t="inlineStr">
        <ns0:is>
          <ns0:t>2026-10</ns0:t>
        </ns0:is>
      </ns0:c>
      <ns0:c r="AE128" s="74" t="inlineStr">
        <ns0:is>
          <ns0:t>Alta</ns0:t>
        </ns0:is>
      </ns0:c>
      <ns0:c r="AF128" s="74" t="inlineStr">
        <ns0:is>
          <ns0:t>Preço recomendado da análise independente de outubro de 2026, conforme tabela técnica validada. Não substitui o preço comercial atual. Enquadramento anterior (setembro de 2026): T2 Este/Oeste no piso 3; ajuste moderado face aos Apt. 14 e 26.</ns0:t>
        </ns0:is>
      </ns0:c>
      <ns0:c r="AG128" s="74" t="inlineStr">
        <ns0:is>
          <ns0:t>Standard</ns0:t>
        </ns0:is>
      </ns0:c>
      <ns0:c r="AQ128" s="74" t="inlineStr">
        <ns0:is>
          <ns0:t>Olhão</ns0:t>
        </ns0:is>
      </ns0:c>
      <ns0:c r="AR128" s="74" t="inlineStr">
        <ns0:is>
          <ns0:t>Empreendimento The View Olhão</ns0:t>
        </ns0:is>
      </ns0:c>
    </ns0:row>
    <ns0:row r="129">
      <ns0:c r="A129" s="71" t="s">
        <ns0:v>116</ns0:v>
      </ns0:c>
      <ns0:c r="B129" s="71" t="s">
        <ns0:v>140</ns0:v>
      </ns0:c>
      <ns0:c r="C129" s="71">
        <ns0:v>3</ns0:v>
      </ns0:c>
      <ns0:c r="D129" s="71" t="s">
        <ns0:v>31</ns0:v>
      </ns0:c>
      <ns0:c r="E129" s="71">
        <ns0:v>3</ns0:v>
      </ns0:c>
      <ns0:c r="F129" s="72">
        <ns0:v>106.74</ns0:v>
      </ns0:c>
      <ns0:c r="G129" s="72">
        <ns0:v>40</ns0:v>
      </ns0:c>
      <ns0:c r="H129" s="72">
        <ns0:v>146.74</ns0:v>
      </ns0:c>
      <ns0:c r="I129" s="73" t="n">
        <ns0:v>600000</ns0:v>
      </ns0:c>
      <ns0:c r="J129" s="71">
        <ns0:v>2026</ns0:v>
      </ns0:c>
      <ns0:c r="K129" s="73" t="n">
        <ns0:v>5621.135469364812</ns0:v>
      </ns0:c>
      <ns0:c r="L129" s="73" t="n">
        <ns0:v>4088.8646585798006</ns0:v>
      </ns0:c>
      <ns0:c r="M129" s="74" t="str">
        <ns0:f t="shared" si="20"/>
        <ns0:v>Projeto</ns0:v>
      </ns0:c>
      <ns0:c r="N129" s="74"/>
      <ns0:c r="O129" s="74"/>
      <ns0:c r="P129" s="77"/>
      <ns0:c r="Q129" s="74" t="str">
        <ns0:f t="shared" si="21"/>
        <ns0:v>Projeto</ns0:v>
      </ns0:c>
      <ns0:c r="R129" s="74" t="s">
        <ns0:v>32</ns0:v>
      </ns0:c>
      <ns0:c r="S129" s="74"/>
      <ns0:c r="T129" s="74" t="inlineStr">
        <ns0:is>
          <ns0:t>P-1 — Lugar 37</ns0:t>
        </ns0:is>
      </ns0:c>
      <ns0:c r="U129" s="74"/>
      <ns0:c r="V129" s="74"/>
      <ns0:c r="W129" s="76">
        <ns0:f t="shared" si="22"/>
        <ns0:v>1</ns0:v>
      </ns0:c>
      <ns0:c r="X129" s="74" t="str">
        <ns0:f t="shared" si="23"/>
        <ns0:v>Projeto</ns0:v>
      </ns0:c>
      <ns0:c r="Y129" s="74" t="str">
        <ns0:f t="shared" si="24"/>
        <ns0:v>N/A</ns0:v>
      </ns0:c>
      <ns0:c r="Z129" s="74"/>
      <ns0:c r="AA129" s="74" t="str">
        <ns0:f t="shared" si="25"/>
        <ns0:v>Manter</ns0:v>
      </ns0:c>
      <ns0:c r="AB129" s="74" t="str">
        <ns0:f t="shared" si="26"/>
      </ns0:c>
      <ns0:c r="AC129" s="73" t="n">
        <ns0:v>775000</ns0:v>
      </ns0:c>
      <ns0:c r="AD129" s="74" t="inlineStr">
        <ns0:is>
          <ns0:t>2026-10</ns0:t>
        </ns0:is>
      </ns0:c>
      <ns0:c r="AE129" s="74" t="inlineStr">
        <ns0:is>
          <ns0:t>Alta</ns0:t>
        </ns0:is>
      </ns0:c>
      <ns0:c r="AF129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29" s="74" t="inlineStr">
        <ns0:is>
          <ns0:t>Standard</ns0:t>
        </ns0:is>
      </ns0:c>
      <ns0:c r="AQ129" s="74" t="inlineStr">
        <ns0:is>
          <ns0:t>Olhão</ns0:t>
        </ns0:is>
      </ns0:c>
      <ns0:c r="AR129" s="74" t="inlineStr">
        <ns0:is>
          <ns0:t>Empreendimento The View Olhão</ns0:t>
        </ns0:is>
      </ns0:c>
    </ns0:row>
    <ns0:row r="130">
      <ns0:c r="A130" s="71" t="s">
        <ns0:v>116</ns0:v>
      </ns0:c>
      <ns0:c r="B130" s="71" t="s">
        <ns0:v>141</ns0:v>
      </ns0:c>
      <ns0:c r="C130" s="71">
        <ns0:v>4</ns0:v>
      </ns0:c>
      <ns0:c r="D130" s="71" t="s">
        <ns0:v>31</ns0:v>
      </ns0:c>
      <ns0:c r="E130" s="71">
        <ns0:v>1</ns0:v>
      </ns0:c>
      <ns0:c r="F130" s="72">
        <ns0:v>108.2</ns0:v>
      </ns0:c>
      <ns0:c r="G130" s="72">
        <ns0:v>46.71</ns0:v>
      </ns0:c>
      <ns0:c r="H130" s="72">
        <ns0:v>154.91</ns0:v>
      </ns0:c>
      <ns0:c r="I130" s="73" t="n">
        <ns0:v>850000</ns0:v>
      </ns0:c>
      <ns0:c r="J130" s="71">
        <ns0:v>2026</ns0:v>
      </ns0:c>
      <ns0:c r="K130" s="73" t="n">
        <ns0:v>7855.822550831793</ns0:v>
      </ns0:c>
      <ns0:c r="L130" s="73" t="n">
        <ns0:v>5487.057000839197</ns0:v>
      </ns0:c>
      <ns0:c r="M130" s="74" t="str">
        <ns0:f t="shared" ref="M130:M161" si="27">IF(A130="The View","Projeto",IF(J130&gt;=2026,"Ativo",IF(J130=2025,"Rever","Histórico")))</ns0:f>
        <ns0:v>Projeto</ns0:v>
      </ns0:c>
      <ns0:c r="N130" s="74"/>
      <ns0:c r="O130" s="74"/>
      <ns0:c r="P130" s="77"/>
      <ns0:c r="Q130" s="74" t="str">
        <ns0:f t="shared" si="21"/>
        <ns0:v>Projeto</ns0:v>
      </ns0:c>
      <ns0:c r="R130" s="74" t="s">
        <ns0:v>32</ns0:v>
      </ns0:c>
      <ns0:c r="S130" s="74"/>
      <ns0:c r="T130" s="74" t="inlineStr">
        <ns0:is>
          <ns0:t>P-1 — Lugar 25</ns0:t>
        </ns0:is>
      </ns0:c>
      <ns0:c r="U130" s="74"/>
      <ns0:c r="V130" s="74"/>
      <ns0:c r="W130" s="76" t="n">
        <ns0:f t="shared" ref="W130:W161" si="28">IF(A130="The View",1,MAX(0.25,MIN(1,IF(J130&gt;=2026,1,IF(J130=2025,0.8,IF(J130=2024,0.45,0.3)))*IF(Q130="Premium waterfront/marina",1,IF(Q130="Benchmark local",0.7,0.6))*IF(M130="Vendido",0.65,IF(M130="Reservado",0.8,IF(M130="Histórico",0.55,1))))))</ns0:f>
        <ns0:v>1</ns0:v>
      </ns0:c>
      <ns0:c r="X130" s="74" t="str">
        <ns0:f t="shared" ref="X130:X161" si="29">IF(A130="The View","Projeto",IF(W130&gt;=0.85,"A · Premium ativo",IF(W130&gt;=0.55,"B · Benchmark local","C · Histórico/secundário")))</ns0:f>
        <ns0:v>Projeto</ns0:v>
      </ns0:c>
      <ns0:c r="Y130" s="74" t="str">
        <ns0:f t="shared" ref="Y130:Y161" si="30">IF(A130="The View","N/A",IF(AND(N130&lt;&gt;"",O130&lt;&gt;"",P130&lt;&gt;""),"Alta",IF(OR(N130&lt;&gt;"",O130&lt;&gt;"",P130&lt;&gt;""),"Média","Baixa")))</ns0:f>
        <ns0:v>N/A</ns0:v>
      </ns0:c>
      <ns0:c r="Z130" s="74"/>
      <ns0:c r="AA130" s="74" t="str">
        <ns0:f t="shared" ref="AA130:AA161" si="31">IF(A130="The View","Manter",IF(J130&lt;2026,"Atualizar preço/status",IF(Y130="Baixa","Adicionar fonte/URL/data",IF(W130&lt;0.55,"Rever comparabilidade","OK"))))</ns0:f>
        <ns0:v>Manter</ns0:v>
      </ns0:c>
      <ns0:c r="AB130" s="74" t="str">
        <ns0:f t="shared" ref="AB130:AB161" si="32">IF(A130="The View","",IF(OR(J130&lt;2026,Y130="Baixa"),"Alta",IF(W130&lt;0.55,"Média","Baixa")))</ns0:f>
      </ns0:c>
      <ns0:c r="AC130" s="73" t="n">
        <ns0:v>1075000</ns0:v>
      </ns0:c>
      <ns0:c r="AD130" s="74" t="inlineStr">
        <ns0:is>
          <ns0:t>2026-10</ns0:t>
        </ns0:is>
      </ns0:c>
      <ns0:c r="AE130" s="74" t="inlineStr">
        <ns0:is>
          <ns0:t>Alta</ns0:t>
        </ns0:is>
      </ns0:c>
      <ns0:c r="AF130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30" s="74" t="inlineStr">
        <ns0:is>
          <ns0:t>Premium</ns0:t>
        </ns0:is>
      </ns0:c>
      <ns0:c r="AQ130" s="74" t="inlineStr">
        <ns0:is>
          <ns0:t>Olhão</ns0:t>
        </ns0:is>
      </ns0:c>
      <ns0:c r="AR130" s="74" t="inlineStr">
        <ns0:is>
          <ns0:t>Empreendimento The View Olhão</ns0:t>
        </ns0:is>
      </ns0:c>
    </ns0:row>
    <ns0:row r="131">
      <ns0:c r="A131" s="71" t="s">
        <ns0:v>116</ns0:v>
      </ns0:c>
      <ns0:c r="B131" s="71" t="s">
        <ns0:v>142</ns0:v>
      </ns0:c>
      <ns0:c r="C131" s="71">
        <ns0:v>4</ns0:v>
      </ns0:c>
      <ns0:c r="D131" s="71" t="s">
        <ns0:v>31</ns0:v>
      </ns0:c>
      <ns0:c r="E131" s="71">
        <ns0:v>2</ns0:v>
      </ns0:c>
      <ns0:c r="F131" s="72">
        <ns0:v>122.1</ns0:v>
      </ns0:c>
      <ns0:c r="G131" s="72">
        <ns0:v>40.82</ns0:v>
      </ns0:c>
      <ns0:c r="H131" s="72">
        <ns0:v>162.91999999999999</ns0:v>
      </ns0:c>
      <ns0:c r="I131" s="73" t="n">
        <ns0:v>700000</ns0:v>
      </ns0:c>
      <ns0:c r="J131" s="71">
        <ns0:v>2026</ns0:v>
      </ns0:c>
      <ns0:c r="K131" s="73" t="n">
        <ns0:v>5733.005733005733</ns0:v>
      </ns0:c>
      <ns0:c r="L131" s="73" t="n">
        <ns0:v>4296.5872821016455</ns0:v>
      </ns0:c>
      <ns0:c r="M131" s="74" t="str">
        <ns0:f t="shared" si="27"/>
        <ns0:v>Projeto</ns0:v>
      </ns0:c>
      <ns0:c r="N131" s="74"/>
      <ns0:c r="O131" s="74"/>
      <ns0:c r="P131" s="77"/>
      <ns0:c r="Q131" s="74" t="str">
        <ns0:f t="shared" si="21"/>
        <ns0:v>Projeto</ns0:v>
      </ns0:c>
      <ns0:c r="R131" s="74" t="s">
        <ns0:v>32</ns0:v>
      </ns0:c>
      <ns0:c r="S131" s="74"/>
      <ns0:c r="T131" s="74" t="inlineStr">
        <ns0:is>
          <ns0:t>P-1 — Lugar 30</ns0:t>
        </ns0:is>
      </ns0:c>
      <ns0:c r="U131" s="74"/>
      <ns0:c r="V131" s="74"/>
      <ns0:c r="W131" s="76">
        <ns0:f t="shared" si="28"/>
        <ns0:v>1</ns0:v>
      </ns0:c>
      <ns0:c r="X131" s="74" t="str">
        <ns0:f t="shared" si="29"/>
        <ns0:v>Projeto</ns0:v>
      </ns0:c>
      <ns0:c r="Y131" s="74" t="str">
        <ns0:f t="shared" si="30"/>
        <ns0:v>N/A</ns0:v>
      </ns0:c>
      <ns0:c r="Z131" s="74"/>
      <ns0:c r="AA131" s="74" t="str">
        <ns0:f t="shared" si="31"/>
        <ns0:v>Manter</ns0:v>
      </ns0:c>
      <ns0:c r="AB131" s="74" t="str">
        <ns0:f t="shared" si="32"/>
      </ns0:c>
      <ns0:c r="AC131" s="73" t="n">
        <ns0:v>940000</ns0:v>
      </ns0:c>
      <ns0:c r="AD131" s="74" t="inlineStr">
        <ns0:is>
          <ns0:t>2026-10</ns0:t>
        </ns0:is>
      </ns0:c>
      <ns0:c r="AE131" s="74" t="inlineStr">
        <ns0:is>
          <ns0:t>Média</ns0:t>
        </ns0:is>
      </ns0:c>
      <ns0:c r="AF131" s="74" t="inlineStr">
        <ns0:is>
          <ns0:t>Preço recomendado da análise independente de outubro de 2026, conforme tabela técnica validada. Não substitui o preço comercial atual. Enquadramento anterior (setembro de 2026): Piso 4, orientação Sul/Oeste e posição premium; reduz diferença excessiva face ao Apt. 23 mantendo Sul/Este valorizado.</ns0:t>
        </ns0:is>
      </ns0:c>
      <ns0:c r="AG131" s="74" t="inlineStr">
        <ns0:is>
          <ns0:t>Premium</ns0:t>
        </ns0:is>
      </ns0:c>
      <ns0:c r="AQ131" s="74" t="inlineStr">
        <ns0:is>
          <ns0:t>Olhão</ns0:t>
        </ns0:is>
      </ns0:c>
      <ns0:c r="AR131" s="74" t="inlineStr">
        <ns0:is>
          <ns0:t>Empreendimento The View Olhão</ns0:t>
        </ns0:is>
      </ns0:c>
    </ns0:row>
    <ns0:row r="132">
      <ns0:c r="A132" s="71" t="s">
        <ns0:v>116</ns0:v>
      </ns0:c>
      <ns0:c r="B132" s="71" t="s">
        <ns0:v>143</ns0:v>
      </ns0:c>
      <ns0:c r="C132" s="71">
        <ns0:v>4</ns0:v>
      </ns0:c>
      <ns0:c r="D132" s="71" t="s">
        <ns0:v>42</ns0:v>
      </ns0:c>
      <ns0:c r="E132" s="71">
        <ns0:v>4</ns0:v>
      </ns0:c>
      <ns0:c r="F132" s="72">
        <ns0:v>76.48</ns0:v>
      </ns0:c>
      <ns0:c r="G132" s="72">
        <ns0:v>16.22</ns0:v>
      </ns0:c>
      <ns0:c r="H132" s="72">
        <ns0:v>92.7</ns0:v>
      </ns0:c>
      <ns0:c r="I132" s="73" t="n">
        <ns0:v>440000</ns0:v>
      </ns0:c>
      <ns0:c r="J132" s="71">
        <ns0:v>2026</ns0:v>
      </ns0:c>
      <ns0:c r="K132" s="73" t="n">
        <ns0:v>5753.138075313807</ns0:v>
      </ns0:c>
      <ns0:c r="L132" s="73" t="n">
        <ns0:v>4746.4940668824165</ns0:v>
      </ns0:c>
      <ns0:c r="M132" s="74" t="str">
        <ns0:f t="shared" si="27"/>
        <ns0:v>Projeto</ns0:v>
      </ns0:c>
      <ns0:c r="N132" s="74"/>
      <ns0:c r="O132" s="74"/>
      <ns0:c r="P132" s="77"/>
      <ns0:c r="Q132" s="74" t="str">
        <ns0:f t="shared" si="21"/>
        <ns0:v>Projeto</ns0:v>
      </ns0:c>
      <ns0:c r="R132" s="74" t="s">
        <ns0:v>32</ns0:v>
      </ns0:c>
      <ns0:c r="S132" s="74"/>
      <ns0:c r="T132" s="74" t="inlineStr">
        <ns0:is>
          <ns0:t>P0Inf — Lugar 08</ns0:t>
        </ns0:is>
      </ns0:c>
      <ns0:c r="U132" s="74"/>
      <ns0:c r="V132" s="74"/>
      <ns0:c r="W132" s="76">
        <ns0:f t="shared" si="28"/>
        <ns0:v>1</ns0:v>
      </ns0:c>
      <ns0:c r="X132" s="74" t="str">
        <ns0:f t="shared" si="29"/>
        <ns0:v>Projeto</ns0:v>
      </ns0:c>
      <ns0:c r="Y132" s="74" t="str">
        <ns0:f t="shared" si="30"/>
        <ns0:v>N/A</ns0:v>
      </ns0:c>
      <ns0:c r="Z132" s="74"/>
      <ns0:c r="AA132" s="74" t="str">
        <ns0:f t="shared" si="31"/>
        <ns0:v>Manter</ns0:v>
      </ns0:c>
      <ns0:c r="AB132" s="74" t="str">
        <ns0:f t="shared" si="32"/>
      </ns0:c>
      <ns0:c r="AC132" s="73" t="n">
        <ns0:v>490000</ns0:v>
      </ns0:c>
      <ns0:c r="AD132" s="74" t="inlineStr">
        <ns0:is>
          <ns0:t>2026-10</ns0:t>
        </ns0:is>
      </ns0:c>
      <ns0:c r="AE132" s="74" t="inlineStr">
        <ns0:is>
          <ns0:t>Alta</ns0:t>
        </ns0:is>
      </ns0:c>
      <ns0:c r="AF132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32" s="74" t="inlineStr">
        <ns0:is>
          <ns0:t>Standard</ns0:t>
        </ns0:is>
      </ns0:c>
      <ns0:c r="AQ132" s="74" t="inlineStr">
        <ns0:is>
          <ns0:t>Olhão</ns0:t>
        </ns0:is>
      </ns0:c>
      <ns0:c r="AR132" s="74" t="inlineStr">
        <ns0:is>
          <ns0:t>Empreendimento The View Olhão</ns0:t>
        </ns0:is>
      </ns0:c>
    </ns0:row>
    <ns0:row r="133">
      <ns0:c r="A133" s="71" t="s">
        <ns0:v>116</ns0:v>
      </ns0:c>
      <ns0:c r="B133" s="71" t="s">
        <ns0:v>144</ns0:v>
      </ns0:c>
      <ns0:c r="C133" s="71">
        <ns0:v>4</ns0:v>
      </ns0:c>
      <ns0:c r="D133" s="71" t="s">
        <ns0:v>31</ns0:v>
      </ns0:c>
      <ns0:c r="E133" s="71">
        <ns0:v>3</ns0:v>
      </ns0:c>
      <ns0:c r="F133" s="72">
        <ns0:v>96.66</ns0:v>
      </ns0:c>
      <ns0:c r="G133" s="72">
        <ns0:v>40.67</ns0:v>
      </ns0:c>
      <ns0:c r="H133" s="72">
        <ns0:v>137.33000000000001</ns0:v>
      </ns0:c>
      <ns0:c r="I133" s="73" t="n">
        <ns0:v>630000</ns0:v>
      </ns0:c>
      <ns0:c r="J133" s="71">
        <ns0:v>2026</ns0:v>
      </ns0:c>
      <ns0:c r="K133" s="73" t="n">
        <ns0:v>6517.6908752327745</ns0:v>
      </ns0:c>
      <ns0:c r="L133" s="73" t="n">
        <ns0:v>4587.489987621058</ns0:v>
      </ns0:c>
      <ns0:c r="M133" s="74" t="str">
        <ns0:f t="shared" si="27"/>
        <ns0:v>Projeto</ns0:v>
      </ns0:c>
      <ns0:c r="N133" s="74"/>
      <ns0:c r="O133" s="74"/>
      <ns0:c r="P133" s="77"/>
      <ns0:c r="Q133" s="74" t="str">
        <ns0:f t="shared" si="21"/>
        <ns0:v>Projeto</ns0:v>
      </ns0:c>
      <ns0:c r="R133" s="74" t="s">
        <ns0:v>32</ns0:v>
      </ns0:c>
      <ns0:c r="S133" s="74"/>
      <ns0:c r="T133" s="74" t="inlineStr">
        <ns0:is>
          <ns0:t>P-1 — Lugar 17</ns0:t>
        </ns0:is>
      </ns0:c>
      <ns0:c r="U133" s="74"/>
      <ns0:c r="V133" s="74"/>
      <ns0:c r="W133" s="76">
        <ns0:f t="shared" si="28"/>
        <ns0:v>1</ns0:v>
      </ns0:c>
      <ns0:c r="X133" s="74" t="str">
        <ns0:f t="shared" si="29"/>
        <ns0:v>Projeto</ns0:v>
      </ns0:c>
      <ns0:c r="Y133" s="74" t="str">
        <ns0:f t="shared" si="30"/>
        <ns0:v>N/A</ns0:v>
      </ns0:c>
      <ns0:c r="Z133" s="74"/>
      <ns0:c r="AA133" s="74" t="str">
        <ns0:f t="shared" si="31"/>
        <ns0:v>Manter</ns0:v>
      </ns0:c>
      <ns0:c r="AB133" s="74" t="str">
        <ns0:f t="shared" si="32"/>
      </ns0:c>
      <ns0:c r="AC133" s="73" t="n">
        <ns0:v>815000</ns0:v>
      </ns0:c>
      <ns0:c r="AD133" s="74" t="inlineStr">
        <ns0:is>
          <ns0:t>2026-10</ns0:t>
        </ns0:is>
      </ns0:c>
      <ns0:c r="AE133" s="74" t="inlineStr">
        <ns0:is>
          <ns0:t>Alta</ns0:t>
        </ns0:is>
      </ns0:c>
      <ns0:c r="AF133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33" s="74" t="inlineStr">
        <ns0:is>
          <ns0:t>Standard</ns0:t>
        </ns0:is>
      </ns0:c>
      <ns0:c r="AQ133" s="74" t="inlineStr">
        <ns0:is>
          <ns0:t>Olhão</ns0:t>
        </ns0:is>
      </ns0:c>
      <ns0:c r="AR133" s="74" t="inlineStr">
        <ns0:is>
          <ns0:t>Empreendimento The View Olhão</ns0:t>
        </ns0:is>
      </ns0:c>
    </ns0:row>
    <ns0:row r="134">
      <ns0:c r="A134" s="71" t="s">
        <ns0:v>116</ns0:v>
      </ns0:c>
      <ns0:c r="B134" s="71" t="s">
        <ns0:v>145</ns0:v>
      </ns0:c>
      <ns0:c r="C134" s="71">
        <ns0:v>4</ns0:v>
      </ns0:c>
      <ns0:c r="D134" s="71" t="s">
        <ns0:v>42</ns0:v>
      </ns0:c>
      <ns0:c r="E134" s="71">
        <ns0:v>4</ns0:v>
      </ns0:c>
      <ns0:c r="F134" s="72">
        <ns0:v>69.790000000000006</ns0:v>
      </ns0:c>
      <ns0:c r="G134" s="72">
        <ns0:v>39.35</ns0:v>
      </ns0:c>
      <ns0:c r="H134" s="72">
        <ns0:v>109.14</ns0:v>
      </ns0:c>
      <ns0:c r="I134" s="73" t="n">
        <ns0:v>440000</ns0:v>
      </ns0:c>
      <ns0:c r="J134" s="71">
        <ns0:v>2026</ns0:v>
      </ns0:c>
      <ns0:c r="K134" s="73" t="n">
        <ns0:v>6304.62817022496</ns0:v>
      </ns0:c>
      <ns0:c r="L134" s="73" t="n">
        <ns0:v>4031.5191497159612</ns0:v>
      </ns0:c>
      <ns0:c r="M134" s="74" t="str">
        <ns0:f t="shared" si="27"/>
        <ns0:v>Projeto</ns0:v>
      </ns0:c>
      <ns0:c r="N134" s="74"/>
      <ns0:c r="O134" s="74"/>
      <ns0:c r="P134" s="77"/>
      <ns0:c r="Q134" s="74" t="str">
        <ns0:f t="shared" si="21"/>
        <ns0:v>Projeto</ns0:v>
      </ns0:c>
      <ns0:c r="R134" s="74" t="s">
        <ns0:v>32</ns0:v>
      </ns0:c>
      <ns0:c r="S134" s="74"/>
      <ns0:c r="T134" s="74" t="inlineStr">
        <ns0:is>
          <ns0:t>P0Inf — Lugar 13</ns0:t>
        </ns0:is>
      </ns0:c>
      <ns0:c r="U134" s="74"/>
      <ns0:c r="V134" s="74"/>
      <ns0:c r="W134" s="76">
        <ns0:f t="shared" si="28"/>
        <ns0:v>1</ns0:v>
      </ns0:c>
      <ns0:c r="X134" s="74" t="str">
        <ns0:f t="shared" si="29"/>
        <ns0:v>Projeto</ns0:v>
      </ns0:c>
      <ns0:c r="Y134" s="74" t="str">
        <ns0:f t="shared" si="30"/>
        <ns0:v>N/A</ns0:v>
      </ns0:c>
      <ns0:c r="Z134" s="74"/>
      <ns0:c r="AA134" s="74" t="str">
        <ns0:f t="shared" si="31"/>
        <ns0:v>Manter</ns0:v>
      </ns0:c>
      <ns0:c r="AB134" s="74" t="str">
        <ns0:f t="shared" si="32"/>
      </ns0:c>
      <ns0:c r="AC134" s="73" t="n">
        <ns0:v>510000</ns0:v>
      </ns0:c>
      <ns0:c r="AD134" s="74" t="inlineStr">
        <ns0:is>
          <ns0:t>2026-10</ns0:t>
        </ns0:is>
      </ns0:c>
      <ns0:c r="AE134" s="74" t="inlineStr">
        <ns0:is>
          <ns0:t>Alta</ns0:t>
        </ns0:is>
      </ns0:c>
      <ns0:c r="AF134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34" s="74" t="inlineStr">
        <ns0:is>
          <ns0:t>Standard</ns0:t>
        </ns0:is>
      </ns0:c>
      <ns0:c r="AQ134" s="74" t="inlineStr">
        <ns0:is>
          <ns0:t>Olhão</ns0:t>
        </ns0:is>
      </ns0:c>
      <ns0:c r="AR134" s="74" t="inlineStr">
        <ns0:is>
          <ns0:t>Empreendimento The View Olhão</ns0:t>
        </ns0:is>
      </ns0:c>
    </ns0:row>
    <ns0:row r="135">
      <ns0:c r="A135" s="71" t="s">
        <ns0:v>116</ns0:v>
      </ns0:c>
      <ns0:c r="B135" s="71" t="s">
        <ns0:v>146</ns0:v>
      </ns0:c>
      <ns0:c r="C135" s="71">
        <ns0:v>4</ns0:v>
      </ns0:c>
      <ns0:c r="D135" s="71" t="s">
        <ns0:v>42</ns0:v>
      </ns0:c>
      <ns0:c r="E135" s="71">
        <ns0:v>3</ns0:v>
      </ns0:c>
      <ns0:c r="F135" s="72">
        <ns0:v>70.86</ns0:v>
      </ns0:c>
      <ns0:c r="G135" s="72">
        <ns0:v>41.86</ns0:v>
      </ns0:c>
      <ns0:c r="H135" s="72">
        <ns0:v>112.72</ns0:v>
      </ns0:c>
      <ns0:c r="I135" s="73" t="n">
        <ns0:v>500000</ns0:v>
      </ns0:c>
      <ns0:c r="J135" s="71">
        <ns0:v>2026</ns0:v>
      </ns0:c>
      <ns0:c r="K135" s="73" t="n">
        <ns0:v>7056.167090036693</ns0:v>
      </ns0:c>
      <ns0:c r="L135" s="73" t="n">
        <ns0:v>4435.770049680625</ns0:v>
      </ns0:c>
      <ns0:c r="M135" s="74" t="str">
        <ns0:f t="shared" si="27"/>
        <ns0:v>Projeto</ns0:v>
      </ns0:c>
      <ns0:c r="N135" s="74"/>
      <ns0:c r="O135" s="74"/>
      <ns0:c r="P135" s="77"/>
      <ns0:c r="Q135" s="74" t="str">
        <ns0:f t="shared" si="21"/>
        <ns0:v>Projeto</ns0:v>
      </ns0:c>
      <ns0:c r="R135" s="74" t="s">
        <ns0:v>32</ns0:v>
      </ns0:c>
      <ns0:c r="S135" s="74"/>
      <ns0:c r="T135" s="74" t="inlineStr">
        <ns0:is>
          <ns0:t>P-1 — Lugar 31</ns0:t>
        </ns0:is>
      </ns0:c>
      <ns0:c r="U135" s="74"/>
      <ns0:c r="V135" s="74"/>
      <ns0:c r="W135" s="76">
        <ns0:f t="shared" si="28"/>
        <ns0:v>1</ns0:v>
      </ns0:c>
      <ns0:c r="X135" s="74" t="str">
        <ns0:f t="shared" si="29"/>
        <ns0:v>Projeto</ns0:v>
      </ns0:c>
      <ns0:c r="Y135" s="74" t="str">
        <ns0:f t="shared" si="30"/>
        <ns0:v>N/A</ns0:v>
      </ns0:c>
      <ns0:c r="Z135" s="74"/>
      <ns0:c r="AA135" s="74" t="str">
        <ns0:f t="shared" si="31"/>
        <ns0:v>Manter</ns0:v>
      </ns0:c>
      <ns0:c r="AB135" s="74" t="str">
        <ns0:f t="shared" si="32"/>
      </ns0:c>
      <ns0:c r="AC135" s="73" t="n">
        <ns0:v>565000</ns0:v>
      </ns0:c>
      <ns0:c r="AD135" s="74" t="inlineStr">
        <ns0:is>
          <ns0:t>2026-10</ns0:t>
        </ns0:is>
      </ns0:c>
      <ns0:c r="AE135" s="74" t="inlineStr">
        <ns0:is>
          <ns0:t>Alta</ns0:t>
        </ns0:is>
      </ns0:c>
      <ns0:c r="AF135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35" s="74" t="inlineStr">
        <ns0:is>
          <ns0:t>Standard</ns0:t>
        </ns0:is>
      </ns0:c>
      <ns0:c r="AQ135" s="74" t="inlineStr">
        <ns0:is>
          <ns0:t>Olhão</ns0:t>
        </ns0:is>
      </ns0:c>
      <ns0:c r="AR135" s="74" t="inlineStr">
        <ns0:is>
          <ns0:t>Empreendimento The View Olhão</ns0:t>
        </ns0:is>
      </ns0:c>
    </ns0:row>
    <ns0:row r="136">
      <ns0:c r="A136" s="71" t="s">
        <ns0:v>116</ns0:v>
      </ns0:c>
      <ns0:c r="B136" s="71" t="s">
        <ns0:v>147</ns0:v>
      </ns0:c>
      <ns0:c r="C136" s="71">
        <ns0:v>4</ns0:v>
      </ns0:c>
      <ns0:c r="D136" s="71" t="s">
        <ns0:v>42</ns0:v>
      </ns0:c>
      <ns0:c r="E136" s="71">
        <ns0:v>3</ns0:v>
      </ns0:c>
      <ns0:c r="F136" s="72">
        <ns0:v>72.45</ns0:v>
      </ns0:c>
      <ns0:c r="G136" s="72">
        <ns0:v>29.56</ns0:v>
      </ns0:c>
      <ns0:c r="H136" s="72">
        <ns0:v>102.01</ns0:v>
      </ns0:c>
      <ns0:c r="I136" s="73" t="n">
        <ns0:v>485000</ns0:v>
      </ns0:c>
      <ns0:c r="J136" s="71">
        <ns0:v>2026</ns0:v>
      </ns0:c>
      <ns0:c r="K136" s="73" t="n">
        <ns0:v>6694.271911663216</ns0:v>
      </ns0:c>
      <ns0:c r="L136" s="73" t="n">
        <ns0:v>4754.435839623566</ns0:v>
      </ns0:c>
      <ns0:c r="M136" s="74" t="str">
        <ns0:f t="shared" si="27"/>
        <ns0:v>Projeto</ns0:v>
      </ns0:c>
      <ns0:c r="N136" s="74"/>
      <ns0:c r="O136" s="74"/>
      <ns0:c r="P136" s="77"/>
      <ns0:c r="Q136" s="74" t="str">
        <ns0:f t="shared" si="21"/>
        <ns0:v>Projeto</ns0:v>
      </ns0:c>
      <ns0:c r="R136" s="74" t="s">
        <ns0:v>32</ns0:v>
      </ns0:c>
      <ns0:c r="S136" s="74"/>
      <ns0:c r="T136" s="74" t="inlineStr">
        <ns0:is>
          <ns0:t>P0Inf — Lugar 11</ns0:t>
        </ns0:is>
      </ns0:c>
      <ns0:c r="U136" s="74"/>
      <ns0:c r="V136" s="74"/>
      <ns0:c r="W136" s="76">
        <ns0:f t="shared" si="28"/>
        <ns0:v>1</ns0:v>
      </ns0:c>
      <ns0:c r="X136" s="74" t="str">
        <ns0:f t="shared" si="29"/>
        <ns0:v>Projeto</ns0:v>
      </ns0:c>
      <ns0:c r="Y136" s="74" t="str">
        <ns0:f t="shared" si="30"/>
        <ns0:v>N/A</ns0:v>
      </ns0:c>
      <ns0:c r="Z136" s="74"/>
      <ns0:c r="AA136" s="74" t="str">
        <ns0:f t="shared" si="31"/>
        <ns0:v>Manter</ns0:v>
      </ns0:c>
      <ns0:c r="AB136" s="74" t="str">
        <ns0:f t="shared" si="32"/>
      </ns0:c>
      <ns0:c r="AC136" s="73" t="n">
        <ns0:v>545000</ns0:v>
      </ns0:c>
      <ns0:c r="AD136" s="74" t="inlineStr">
        <ns0:is>
          <ns0:t>2026-10</ns0:t>
        </ns0:is>
      </ns0:c>
      <ns0:c r="AE136" s="74" t="inlineStr">
        <ns0:is>
          <ns0:t>Alta</ns0:t>
        </ns0:is>
      </ns0:c>
      <ns0:c r="AF136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36" s="74" t="inlineStr">
        <ns0:is>
          <ns0:t>Standard</ns0:t>
        </ns0:is>
      </ns0:c>
      <ns0:c r="AQ136" s="74" t="inlineStr">
        <ns0:is>
          <ns0:t>Olhão</ns0:t>
        </ns0:is>
      </ns0:c>
      <ns0:c r="AR136" s="74" t="inlineStr">
        <ns0:is>
          <ns0:t>Empreendimento The View Olhão</ns0:t>
        </ns0:is>
      </ns0:c>
    </ns0:row>
    <ns0:row r="137">
      <ns0:c r="A137" s="71" t="s">
        <ns0:v>116</ns0:v>
      </ns0:c>
      <ns0:c r="B137" s="71" t="s">
        <ns0:v>148</ns0:v>
      </ns0:c>
      <ns0:c r="C137" s="71">
        <ns0:v>5</ns0:v>
      </ns0:c>
      <ns0:c r="D137" s="71" t="s">
        <ns0:v>31</ns0:v>
      </ns0:c>
      <ns0:c r="E137" s="71">
        <ns0:v>1</ns0:v>
      </ns0:c>
      <ns0:c r="F137" s="72">
        <ns0:v>108.04</ns0:v>
      </ns0:c>
      <ns0:c r="G137" s="72">
        <ns0:v>46.81</ns0:v>
      </ns0:c>
      <ns0:c r="H137" s="72">
        <ns0:v>154.85</ns0:v>
      </ns0:c>
      <ns0:c r="I137" s="73" t="n">
        <ns0:v>950000</ns0:v>
      </ns0:c>
      <ns0:c r="J137" s="71">
        <ns0:v>2026</ns0:v>
      </ns0:c>
      <ns0:c r="K137" s="73" t="n">
        <ns0:v>8793.039614957423</ns0:v>
      </ns0:c>
      <ns0:c r="L137" s="73" t="n">
        <ns0:v>6134.9693251533745</ns0:v>
      </ns0:c>
      <ns0:c r="M137" s="74" t="str">
        <ns0:f t="shared" si="27"/>
        <ns0:v>Projeto</ns0:v>
      </ns0:c>
      <ns0:c r="N137" s="74"/>
      <ns0:c r="O137" s="74"/>
      <ns0:c r="P137" s="77"/>
      <ns0:c r="Q137" s="74" t="str">
        <ns0:f t="shared" si="21"/>
        <ns0:v>Projeto</ns0:v>
      </ns0:c>
      <ns0:c r="R137" s="74" t="s">
        <ns0:v>32</ns0:v>
      </ns0:c>
      <ns0:c r="S137" s="74"/>
      <ns0:c r="T137" s="74" t="inlineStr">
        <ns0:is>
          <ns0:t>P0Inf — Lugares 16+17</ns0:t>
        </ns0:is>
      </ns0:c>
      <ns0:c r="U137" s="74"/>
      <ns0:c r="V137" s="74"/>
      <ns0:c r="W137" s="76">
        <ns0:f t="shared" si="28"/>
        <ns0:v>1</ns0:v>
      </ns0:c>
      <ns0:c r="X137" s="74" t="str">
        <ns0:f t="shared" si="29"/>
        <ns0:v>Projeto</ns0:v>
      </ns0:c>
      <ns0:c r="Y137" s="74" t="str">
        <ns0:f t="shared" si="30"/>
        <ns0:v>N/A</ns0:v>
      </ns0:c>
      <ns0:c r="Z137" s="74"/>
      <ns0:c r="AA137" s="74" t="str">
        <ns0:f t="shared" si="31"/>
        <ns0:v>Manter</ns0:v>
      </ns0:c>
      <ns0:c r="AB137" s="74" t="str">
        <ns0:f t="shared" si="32"/>
      </ns0:c>
      <ns0:c r="AC137" s="73" t="n">
        <ns0:v>1175000</ns0:v>
      </ns0:c>
      <ns0:c r="AD137" s="74" t="inlineStr">
        <ns0:is>
          <ns0:t>2026-10</ns0:t>
        </ns0:is>
      </ns0:c>
      <ns0:c r="AE137" s="74" t="inlineStr">
        <ns0:is>
          <ns0:t>Média</ns0:t>
        </ns0:is>
      </ns0:c>
      <ns0:c r="AF137" s="74" t="inlineStr">
        <ns0:is>
          <ns0:t>Preço recomendado da análise independente de outubro de 2026, conforme tabela técnica validada. Não substitui o preço comercial atual. Enquadramento anterior (setembro de 2026): T2 Sul/Este do piso 5; referência técnica premium fora de comercialização.</ns0:t>
        </ns0:is>
      </ns0:c>
      <ns0:c r="AG137" s="74" t="inlineStr">
        <ns0:is>
          <ns0:t>Premium</ns0:t>
        </ns0:is>
      </ns0:c>
      <ns0:c r="AH137" s="74" t="inlineStr">
        <ns0:is>
          <ns0:t>Fora de comercialização</ns0:t>
        </ns0:is>
      </ns0:c>
      <ns0:c r="AQ137" s="74" t="inlineStr">
        <ns0:is>
          <ns0:t>Olhão</ns0:t>
        </ns0:is>
      </ns0:c>
      <ns0:c r="AR137" s="74" t="inlineStr">
        <ns0:is>
          <ns0:t>Empreendimento The View Olhão</ns0:t>
        </ns0:is>
      </ns0:c>
    </ns0:row>
    <ns0:row r="138">
      <ns0:c r="A138" s="71" t="s">
        <ns0:v>116</ns0:v>
      </ns0:c>
      <ns0:c r="B138" s="71" t="s">
        <ns0:v>149</ns0:v>
      </ns0:c>
      <ns0:c r="C138" s="71">
        <ns0:v>5</ns0:v>
      </ns0:c>
      <ns0:c r="D138" s="71" t="s">
        <ns0:v>31</ns0:v>
      </ns0:c>
      <ns0:c r="E138" s="71">
        <ns0:v>2</ns0:v>
      </ns0:c>
      <ns0:c r="F138" s="72">
        <ns0:v>121.8</ns0:v>
      </ns0:c>
      <ns0:c r="G138" s="72">
        <ns0:v>40.799999999999997</ns0:v>
      </ns0:c>
      <ns0:c r="H138" s="72">
        <ns0:v>162.6</ns0:v>
      </ns0:c>
      <ns0:c r="I138" s="73" t="n">
        <ns0:v>720000</ns0:v>
      </ns0:c>
      <ns0:c r="J138" s="71">
        <ns0:v>2026</ns0:v>
      </ns0:c>
      <ns0:c r="K138" s="73" t="n">
        <ns0:v>5911.330049261084</ns0:v>
      </ns0:c>
      <ns0:c r="L138" s="73" t="n">
        <ns0:v>4428.044280442805</ns0:v>
      </ns0:c>
      <ns0:c r="M138" s="74" t="str">
        <ns0:f t="shared" si="27"/>
        <ns0:v>Projeto</ns0:v>
      </ns0:c>
      <ns0:c r="N138" s="74"/>
      <ns0:c r="O138" s="74"/>
      <ns0:c r="P138" s="77"/>
      <ns0:c r="Q138" s="74" t="str">
        <ns0:f t="shared" si="21"/>
        <ns0:v>Projeto</ns0:v>
      </ns0:c>
      <ns0:c r="R138" s="74" t="s">
        <ns0:v>32</ns0:v>
      </ns0:c>
      <ns0:c r="S138" s="74"/>
      <ns0:c r="T138" s="74" t="inlineStr">
        <ns0:is>
          <ns0:t>P-1 — Lugar 33</ns0:t>
        </ns0:is>
      </ns0:c>
      <ns0:c r="U138" s="74"/>
      <ns0:c r="V138" s="74"/>
      <ns0:c r="W138" s="76">
        <ns0:f t="shared" si="28"/>
        <ns0:v>1</ns0:v>
      </ns0:c>
      <ns0:c r="X138" s="74" t="str">
        <ns0:f t="shared" si="29"/>
        <ns0:v>Projeto</ns0:v>
      </ns0:c>
      <ns0:c r="Y138" s="74" t="str">
        <ns0:f t="shared" si="30"/>
        <ns0:v>N/A</ns0:v>
      </ns0:c>
      <ns0:c r="Z138" s="74"/>
      <ns0:c r="AA138" s="74" t="str">
        <ns0:f t="shared" si="31"/>
        <ns0:v>Manter</ns0:v>
      </ns0:c>
      <ns0:c r="AB138" s="74" t="str">
        <ns0:f t="shared" si="32"/>
      </ns0:c>
      <ns0:c r="AC138" s="73" t="n">
        <ns0:v>1025000</ns0:v>
      </ns0:c>
      <ns0:c r="AD138" s="74" t="inlineStr">
        <ns0:is>
          <ns0:t>2026-10</ns0:t>
        </ns0:is>
      </ns0:c>
      <ns0:c r="AE138" s="74" t="inlineStr">
        <ns0:is>
          <ns0:t>Média</ns0:t>
        </ns0:is>
      </ns0:c>
      <ns0:c r="AF138" s="74" t="inlineStr">
        <ns0:is>
          <ns0:t>Preço recomendado da análise independente de outubro de 2026, conforme tabela técnica validada. Não substitui o preço comercial atual. Enquadramento anterior (setembro de 2026): Preço técnico de referência. Fração atualmente fora de comercialização.</ns0:t>
        </ns0:is>
      </ns0:c>
      <ns0:c r="AG138" s="74" t="inlineStr">
        <ns0:is>
          <ns0:t>Premium</ns0:t>
        </ns0:is>
      </ns0:c>
      <ns0:c r="AH138" s="74" t="inlineStr">
        <ns0:is>
          <ns0:t>Fora de comercialização</ns0:t>
        </ns0:is>
      </ns0:c>
      <ns0:c r="AQ138" s="74" t="inlineStr">
        <ns0:is>
          <ns0:t>Olhão</ns0:t>
        </ns0:is>
      </ns0:c>
      <ns0:c r="AR138" s="74" t="inlineStr">
        <ns0:is>
          <ns0:t>Empreendimento The View Olhão</ns0:t>
        </ns0:is>
      </ns0:c>
    </ns0:row>
    <ns0:row r="139">
      <ns0:c r="A139" s="71" t="s">
        <ns0:v>116</ns0:v>
      </ns0:c>
      <ns0:c r="B139" s="71" t="s">
        <ns0:v>150</ns0:v>
      </ns0:c>
      <ns0:c r="C139" s="71">
        <ns0:v>5</ns0:v>
      </ns0:c>
      <ns0:c r="D139" s="71" t="s">
        <ns0:v>42</ns0:v>
      </ns0:c>
      <ns0:c r="E139" s="71">
        <ns0:v>4</ns0:v>
      </ns0:c>
      <ns0:c r="F139" s="72">
        <ns0:v>76.2</ns0:v>
      </ns0:c>
      <ns0:c r="G139" s="72">
        <ns0:v>16.260000000000002</ns0:v>
      </ns0:c>
      <ns0:c r="H139" s="72">
        <ns0:v>92.460000000000008</ns0:v>
      </ns0:c>
      <ns0:c r="I139" s="73" t="n">
        <ns0:v>455000</ns0:v>
      </ns0:c>
      <ns0:c r="J139" s="71">
        <ns0:v>2026</ns0:v>
      </ns0:c>
      <ns0:c r="K139" s="73" t="n">
        <ns0:v>5971.128608923885</ns0:v>
      </ns0:c>
      <ns0:c r="L139" s="73" t="n">
        <ns0:v>4921.046939216958</ns0:v>
      </ns0:c>
      <ns0:c r="M139" s="74" t="str">
        <ns0:f t="shared" si="27"/>
        <ns0:v>Projeto</ns0:v>
      </ns0:c>
      <ns0:c r="N139" s="74"/>
      <ns0:c r="O139" s="74"/>
      <ns0:c r="P139" s="77"/>
      <ns0:c r="Q139" s="74" t="str">
        <ns0:f t="shared" si="21"/>
        <ns0:v>Projeto</ns0:v>
      </ns0:c>
      <ns0:c r="R139" s="74" t="s">
        <ns0:v>32</ns0:v>
      </ns0:c>
      <ns0:c r="S139" s="74"/>
      <ns0:c r="T139" s="74" t="inlineStr">
        <ns0:is>
          <ns0:t>P0Inf — Lugar 09</ns0:t>
        </ns0:is>
      </ns0:c>
      <ns0:c r="U139" s="74"/>
      <ns0:c r="V139" s="74"/>
      <ns0:c r="W139" s="76">
        <ns0:f t="shared" si="28"/>
        <ns0:v>1</ns0:v>
      </ns0:c>
      <ns0:c r="X139" s="74" t="str">
        <ns0:f t="shared" si="29"/>
        <ns0:v>Projeto</ns0:v>
      </ns0:c>
      <ns0:c r="Y139" s="74" t="str">
        <ns0:f t="shared" si="30"/>
        <ns0:v>N/A</ns0:v>
      </ns0:c>
      <ns0:c r="Z139" s="74"/>
      <ns0:c r="AA139" s="74" t="str">
        <ns0:f t="shared" si="31"/>
        <ns0:v>Manter</ns0:v>
      </ns0:c>
      <ns0:c r="AB139" s="74" t="str">
        <ns0:f t="shared" si="32"/>
      </ns0:c>
      <ns0:c r="AC139" s="73" t="n">
        <ns0:v>515000</ns0:v>
      </ns0:c>
      <ns0:c r="AD139" s="74" t="inlineStr">
        <ns0:is>
          <ns0:t>2026-10</ns0:t>
        </ns0:is>
      </ns0:c>
      <ns0:c r="AE139" s="74" t="inlineStr">
        <ns0:is>
          <ns0:t>Média</ns0:t>
        </ns0:is>
      </ns0:c>
      <ns0:c r="AF139" s="74" t="inlineStr">
        <ns0:is>
          <ns0:t>Preço recomendado da análise independente de outubro de 2026, conforme tabela técnica validada. Não substitui o preço comercial atual. Enquadramento anterior (setembro de 2026): T1 do piso 5; referência técnica fora de comercialização.</ns0:t>
        </ns0:is>
      </ns0:c>
      <ns0:c r="AG139" s="74" t="inlineStr">
        <ns0:is>
          <ns0:t>Standard</ns0:t>
        </ns0:is>
      </ns0:c>
      <ns0:c r="AH139" s="74" t="inlineStr">
        <ns0:is>
          <ns0:t>Fora de comercialização</ns0:t>
        </ns0:is>
      </ns0:c>
      <ns0:c r="AQ139" s="74" t="inlineStr">
        <ns0:is>
          <ns0:t>Olhão</ns0:t>
        </ns0:is>
      </ns0:c>
      <ns0:c r="AR139" s="74" t="inlineStr">
        <ns0:is>
          <ns0:t>Empreendimento The View Olhão</ns0:t>
        </ns0:is>
      </ns0:c>
    </ns0:row>
    <ns0:row r="140">
      <ns0:c r="A140" s="71" t="s">
        <ns0:v>116</ns0:v>
      </ns0:c>
      <ns0:c r="B140" s="71" t="s">
        <ns0:v>151</ns0:v>
      </ns0:c>
      <ns0:c r="C140" s="71">
        <ns0:v>5</ns0:v>
      </ns0:c>
      <ns0:c r="D140" s="71" t="s">
        <ns0:v>31</ns0:v>
      </ns0:c>
      <ns0:c r="E140" s="71">
        <ns0:v>3</ns0:v>
      </ns0:c>
      <ns0:c r="F140" s="72">
        <ns0:v>84.63</ns0:v>
      </ns0:c>
      <ns0:c r="G140" s="72">
        <ns0:v>41.85</ns0:v>
      </ns0:c>
      <ns0:c r="H140" s="72">
        <ns0:v>126.48</ns0:v>
      </ns0:c>
      <ns0:c r="I140" s="73" t="n">
        <ns0:v>570000</ns0:v>
      </ns0:c>
      <ns0:c r="J140" s="71">
        <ns0:v>2026</ns0:v>
      </ns0:c>
      <ns0:c r="K140" s="73" t="n">
        <ns0:v>6735.200283587381</ns0:v>
      </ns0:c>
      <ns0:c r="L140" s="73" t="n">
        <ns0:v>4506.641366223908</ns0:v>
      </ns0:c>
      <ns0:c r="M140" s="74" t="str">
        <ns0:f t="shared" si="27"/>
        <ns0:v>Projeto</ns0:v>
      </ns0:c>
      <ns0:c r="N140" s="74"/>
      <ns0:c r="O140" s="74"/>
      <ns0:c r="P140" s="77"/>
      <ns0:c r="Q140" s="74" t="str">
        <ns0:f t="shared" si="21"/>
        <ns0:v>Projeto</ns0:v>
      </ns0:c>
      <ns0:c r="R140" s="74" t="s">
        <ns0:v>32</ns0:v>
      </ns0:c>
      <ns0:c r="S140" s="74"/>
      <ns0:c r="T140" s="74" t="inlineStr">
        <ns0:is>
          <ns0:t>P-1 — Lugar 34</ns0:t>
        </ns0:is>
      </ns0:c>
      <ns0:c r="U140" s="74"/>
      <ns0:c r="V140" s="74"/>
      <ns0:c r="W140" s="76">
        <ns0:f t="shared" si="28"/>
        <ns0:v>1</ns0:v>
      </ns0:c>
      <ns0:c r="X140" s="74" t="str">
        <ns0:f t="shared" si="29"/>
        <ns0:v>Projeto</ns0:v>
      </ns0:c>
      <ns0:c r="Y140" s="74" t="str">
        <ns0:f t="shared" si="30"/>
        <ns0:v>N/A</ns0:v>
      </ns0:c>
      <ns0:c r="Z140" s="74"/>
      <ns0:c r="AA140" s="74" t="str">
        <ns0:f t="shared" si="31"/>
        <ns0:v>Manter</ns0:v>
      </ns0:c>
      <ns0:c r="AB140" s="74" t="str">
        <ns0:f t="shared" si="32"/>
      </ns0:c>
      <ns0:c r="AC140" s="73" t="n">
        <ns0:v>795000</ns0:v>
      </ns0:c>
      <ns0:c r="AD140" s="74" t="inlineStr">
        <ns0:is>
          <ns0:t>2026-10</ns0:t>
        </ns0:is>
      </ns0:c>
      <ns0:c r="AE140" s="74" t="inlineStr">
        <ns0:is>
          <ns0:t>Média</ns0:t>
        </ns0:is>
      </ns0:c>
      <ns0:c r="AF140" s="74" t="inlineStr">
        <ns0:is>
          <ns0:t>Preço recomendado da análise independente de outubro de 2026, conforme tabela técnica validada. Não substitui o preço comercial atual. Enquadramento anterior (setembro de 2026): T2 Este/Oeste do piso 5; preço técnico para leitura da coluna, fora de comercialização.</ns0:t>
        </ns0:is>
      </ns0:c>
      <ns0:c r="AG140" s="74" t="inlineStr">
        <ns0:is>
          <ns0:t>Standard</ns0:t>
        </ns0:is>
      </ns0:c>
      <ns0:c r="AH140" s="74" t="inlineStr">
        <ns0:is>
          <ns0:t>Fora de comercialização</ns0:t>
        </ns0:is>
      </ns0:c>
      <ns0:c r="AQ140" s="74" t="inlineStr">
        <ns0:is>
          <ns0:t>Olhão</ns0:t>
        </ns0:is>
      </ns0:c>
      <ns0:c r="AR140" s="74" t="inlineStr">
        <ns0:is>
          <ns0:t>Empreendimento The View Olhão</ns0:t>
        </ns0:is>
      </ns0:c>
    </ns0:row>
    <ns0:row r="141">
      <ns0:c r="A141" s="71" t="s">
        <ns0:v>116</ns0:v>
      </ns0:c>
      <ns0:c r="B141" s="71" t="s">
        <ns0:v>152</ns0:v>
      </ns0:c>
      <ns0:c r="C141" s="71">
        <ns0:v>5</ns0:v>
      </ns0:c>
      <ns0:c r="D141" s="71" t="s">
        <ns0:v>31</ns0:v>
      </ns0:c>
      <ns0:c r="E141" s="71">
        <ns0:v>3</ns0:v>
      </ns0:c>
      <ns0:c r="F141" s="72">
        <ns0:v>102.95</ns0:v>
      </ns0:c>
      <ns0:c r="G141" s="72">
        <ns0:v>70.23</ns0:v>
      </ns0:c>
      <ns0:c r="H141" s="72">
        <ns0:v>173.18</ns0:v>
      </ns0:c>
      <ns0:c r="I141" s="73" t="n">
        <ns0:v>645000</ns0:v>
      </ns0:c>
      <ns0:c r="J141" s="71">
        <ns0:v>2026</ns0:v>
      </ns0:c>
      <ns0:c r="K141" s="73" t="n">
        <ns0:v>6265.17727051967</ns0:v>
      </ns0:c>
      <ns0:c r="L141" s="73" t="n">
        <ns0:v>3724.4485506409515</ns0:v>
      </ns0:c>
      <ns0:c r="M141" s="74" t="str">
        <ns0:f t="shared" si="27"/>
        <ns0:v>Projeto</ns0:v>
      </ns0:c>
      <ns0:c r="N141" s="74"/>
      <ns0:c r="O141" s="74"/>
      <ns0:c r="P141" s="77"/>
      <ns0:c r="Q141" s="74" t="str">
        <ns0:f t="shared" si="21"/>
        <ns0:v>Projeto</ns0:v>
      </ns0:c>
      <ns0:c r="R141" s="74" t="s">
        <ns0:v>32</ns0:v>
      </ns0:c>
      <ns0:c r="S141" s="74"/>
      <ns0:c r="T141" s="74" t="inlineStr">
        <ns0:is>
          <ns0:t>P-1 — Lugar 32</ns0:t>
        </ns0:is>
      </ns0:c>
      <ns0:c r="U141" s="74"/>
      <ns0:c r="V141" s="74"/>
      <ns0:c r="W141" s="76">
        <ns0:f t="shared" si="28"/>
        <ns0:v>1</ns0:v>
      </ns0:c>
      <ns0:c r="X141" s="74" t="str">
        <ns0:f t="shared" si="29"/>
        <ns0:v>Projeto</ns0:v>
      </ns0:c>
      <ns0:c r="Y141" s="74" t="str">
        <ns0:f t="shared" si="30"/>
        <ns0:v>N/A</ns0:v>
      </ns0:c>
      <ns0:c r="Z141" s="74"/>
      <ns0:c r="AA141" s="74" t="str">
        <ns0:f t="shared" si="31"/>
        <ns0:v>Manter</ns0:v>
      </ns0:c>
      <ns0:c r="AB141" s="74" t="str">
        <ns0:f t="shared" si="32"/>
      </ns0:c>
      <ns0:c r="AC141" s="73" t="n">
        <ns0:v>935000</ns0:v>
      </ns0:c>
      <ns0:c r="AD141" s="74" t="inlineStr">
        <ns0:is>
          <ns0:t>2026-10</ns0:t>
        </ns0:is>
      </ns0:c>
      <ns0:c r="AE141" s="74" t="inlineStr">
        <ns0:is>
          <ns0:t>Média</ns0:t>
        </ns0:is>
      </ns0:c>
      <ns0:c r="AF141" s="74" t="inlineStr">
        <ns0:is>
          <ns0:t>Preço recomendado da análise independente de outubro de 2026, conforme tabela técnica validada. Não substitui o preço comercial atual. Enquadramento anterior (setembro de 2026): T2 de área ampla no piso 5; referência técnica fora de comercialização.</ns0:t>
        </ns0:is>
      </ns0:c>
      <ns0:c r="AG141" s="74" t="inlineStr">
        <ns0:is>
          <ns0:t>Standard</ns0:t>
        </ns0:is>
      </ns0:c>
      <ns0:c r="AH141" s="74" t="inlineStr">
        <ns0:is>
          <ns0:t>Fora de comercialização</ns0:t>
        </ns0:is>
      </ns0:c>
      <ns0:c r="AQ141" s="74" t="inlineStr">
        <ns0:is>
          <ns0:t>Olhão</ns0:t>
        </ns0:is>
      </ns0:c>
      <ns0:c r="AR141" s="74" t="inlineStr">
        <ns0:is>
          <ns0:t>Empreendimento The View Olhão</ns0:t>
        </ns0:is>
      </ns0:c>
    </ns0:row>
    <ns0:row r="142">
      <ns0:c r="A142" s="71" t="s">
        <ns0:v>116</ns0:v>
      </ns0:c>
      <ns0:c r="B142" s="71" t="s">
        <ns0:v>153</ns0:v>
      </ns0:c>
      <ns0:c r="C142" s="71">
        <ns0:v>5</ns0:v>
      </ns0:c>
      <ns0:c r="D142" s="71" t="s">
        <ns0:v>154</ns0:v>
      </ns0:c>
      <ns0:c r="E142" s="71">
        <ns0:v>3</ns0:v>
      </ns0:c>
      <ns0:c r="F142" s="72">
        <ns0:v>82.42</ns0:v>
      </ns0:c>
      <ns0:c r="G142" s="72">
        <ns0:v>71.8</ns0:v>
      </ns0:c>
      <ns0:c r="H142" s="72">
        <ns0:v>154.22</ns0:v>
      </ns0:c>
      <ns0:c r="I142" s="73" t="n">
        <ns0:v>555000</ns0:v>
      </ns0:c>
      <ns0:c r="J142" s="71">
        <ns0:v>2026</ns0:v>
      </ns0:c>
      <ns0:c r="K142" s="73" t="n">
        <ns0:v>6733.802475127396</ns0:v>
      </ns0:c>
      <ns0:c r="L142" s="73" t="n">
        <ns0:v>3598.755025288549</ns0:v>
      </ns0:c>
      <ns0:c r="M142" s="74" t="str">
        <ns0:f t="shared" si="27"/>
        <ns0:v>Projeto</ns0:v>
      </ns0:c>
      <ns0:c r="N142" s="74"/>
      <ns0:c r="O142" s="74"/>
      <ns0:c r="P142" s="77"/>
      <ns0:c r="Q142" s="74" t="str">
        <ns0:f t="shared" si="21"/>
        <ns0:v>Projeto</ns0:v>
      </ns0:c>
      <ns0:c r="R142" s="74" t="s">
        <ns0:v>32</ns0:v>
      </ns0:c>
      <ns0:c r="S142" s="74"/>
      <ns0:c r="T142" s="74" t="inlineStr">
        <ns0:is>
          <ns0:t>P-1 — Lugar 35</ns0:t>
        </ns0:is>
      </ns0:c>
      <ns0:c r="U142" s="74"/>
      <ns0:c r="V142" s="74"/>
      <ns0:c r="W142" s="76">
        <ns0:f t="shared" si="28"/>
        <ns0:v>1</ns0:v>
      </ns0:c>
      <ns0:c r="X142" s="74" t="str">
        <ns0:f t="shared" si="29"/>
        <ns0:v>Projeto</ns0:v>
      </ns0:c>
      <ns0:c r="Y142" s="74" t="str">
        <ns0:f t="shared" si="30"/>
        <ns0:v>N/A</ns0:v>
      </ns0:c>
      <ns0:c r="Z142" s="74"/>
      <ns0:c r="AA142" s="74" t="str">
        <ns0:f t="shared" si="31"/>
        <ns0:v>Manter</ns0:v>
      </ns0:c>
      <ns0:c r="AB142" s="74" t="str">
        <ns0:f t="shared" si="32"/>
      </ns0:c>
      <ns0:c r="AC142" s="73" t="n">
        <ns0:v>800000</ns0:v>
      </ns0:c>
      <ns0:c r="AD142" s="74" t="inlineStr">
        <ns0:is>
          <ns0:t>2026-10</ns0:t>
        </ns0:is>
      </ns0:c>
      <ns0:c r="AE142" s="74" t="inlineStr">
        <ns0:is>
          <ns0:t>Baixa</ns0:t>
        </ns0:is>
      </ns0:c>
      <ns0:c r="AF142" s="74" t="inlineStr">
        <ns0:is>
          <ns0:t>Preço recomendado da análise independente de outubro de 2026, conforme tabela técnica validada. Não substitui o preço comercial atual. Enquadramento anterior (setembro de 2026): Duplex singular no piso 5; referência técnica fora de comercialização.</ns0:t>
        </ns0:is>
      </ns0:c>
      <ns0:c r="AG142" s="74" t="inlineStr">
        <ns0:is>
          <ns0:t>Premium</ns0:t>
        </ns0:is>
      </ns0:c>
      <ns0:c r="AH142" s="74" t="inlineStr">
        <ns0:is>
          <ns0:t>Fora de comercialização</ns0:t>
        </ns0:is>
      </ns0:c>
      <ns0:c r="AQ142" s="74" t="inlineStr">
        <ns0:is>
          <ns0:t>Olhão</ns0:t>
        </ns0:is>
      </ns0:c>
      <ns0:c r="AR142" s="74" t="inlineStr">
        <ns0:is>
          <ns0:t>Empreendimento The View Olhão</ns0:t>
        </ns0:is>
      </ns0:c>
    </ns0:row>
    <ns0:row r="143">
      <ns0:c r="A143" s="71" t="s">
        <ns0:v>116</ns0:v>
      </ns0:c>
      <ns0:c r="B143" s="71" t="s">
        <ns0:v>155</ns0:v>
      </ns0:c>
      <ns0:c r="C143" s="71">
        <ns0:v>6</ns0:v>
      </ns0:c>
      <ns0:c r="D143" s="71" t="s">
        <ns0:v>64</ns0:v>
      </ns0:c>
      <ns0:c r="E143" s="71">
        <ns0:v>1</ns0:v>
      </ns0:c>
      <ns0:c r="F143" s="72">
        <ns0:v>152.80000000000001</ns0:v>
      </ns0:c>
      <ns0:c r="G143" s="72">
        <ns0:v>64.459999999999994</ns0:v>
      </ns0:c>
      <ns0:c r="H143" s="72">
        <ns0:v>217.26</ns0:v>
      </ns0:c>
      <ns0:c r="I143" s="73" t="n">
        <ns0:v>1450000</ns0:v>
      </ns0:c>
      <ns0:c r="J143" s="71">
        <ns0:v>2026</ns0:v>
      </ns0:c>
      <ns0:c r="K143" s="73" t="n">
        <ns0:v>9489.528795811517</ns0:v>
      </ns0:c>
      <ns0:c r="L143" s="73" t="n">
        <ns0:v>6674.031114793335</ns0:v>
      </ns0:c>
      <ns0:c r="M143" s="74" t="str">
        <ns0:f t="shared" si="27"/>
        <ns0:v>Projeto</ns0:v>
      </ns0:c>
      <ns0:c r="N143" s="74"/>
      <ns0:c r="O143" s="74"/>
      <ns0:c r="P143" s="77"/>
      <ns0:c r="Q143" s="74" t="str">
        <ns0:f t="shared" si="21"/>
        <ns0:v>Projeto</ns0:v>
      </ns0:c>
      <ns0:c r="R143" s="74" t="s">
        <ns0:v>32</ns0:v>
      </ns0:c>
      <ns0:c r="S143" s="74"/>
      <ns0:c r="T143" s="74" t="inlineStr">
        <ns0:is>
          <ns0:t>P-1 — Lugares 36+38</ns0:t>
        </ns0:is>
      </ns0:c>
      <ns0:c r="U143" s="74"/>
      <ns0:c r="V143" s="74"/>
      <ns0:c r="W143" s="76">
        <ns0:f t="shared" si="28"/>
        <ns0:v>1</ns0:v>
      </ns0:c>
      <ns0:c r="X143" s="74" t="str">
        <ns0:f t="shared" si="29"/>
        <ns0:v>Projeto</ns0:v>
      </ns0:c>
      <ns0:c r="Y143" s="74" t="str">
        <ns0:f t="shared" si="30"/>
        <ns0:v>N/A</ns0:v>
      </ns0:c>
      <ns0:c r="Z143" s="74"/>
      <ns0:c r="AA143" s="74" t="str">
        <ns0:f t="shared" si="31"/>
        <ns0:v>Manter</ns0:v>
      </ns0:c>
      <ns0:c r="AB143" s="74" t="str">
        <ns0:f t="shared" si="32"/>
      </ns0:c>
      <ns0:c r="AC143" s="73" t="n">
        <ns0:v>1750000</ns0:v>
      </ns0:c>
      <ns0:c r="AD143" s="74" t="inlineStr">
        <ns0:is>
          <ns0:t>2026-10</ns0:t>
        </ns0:is>
      </ns0:c>
      <ns0:c r="AE143" s="74" t="inlineStr">
        <ns0:is>
          <ns0:t>Média</ns0:t>
        </ns0:is>
      </ns0:c>
      <ns0:c r="AF143" s="74" t="inlineStr">
        <ns0:is>
          <ns0:t>Preço recomendado da análise independente de outubro de 2026, conforme tabela técnica validada. Não substitui o preço comercial atual. Enquadramento anterior (setembro de 2026): Preço elevado mas suportado pelo posicionamento premium, piso 6, orientação Sul/Este e benchmark waterfront.</ns0:t>
        </ns0:is>
      </ns0:c>
      <ns0:c r="AG143" s="74" t="inlineStr">
        <ns0:is>
          <ns0:t>Premium</ns0:t>
        </ns0:is>
      </ns0:c>
      <ns0:c r="AQ143" s="74" t="inlineStr">
        <ns0:is>
          <ns0:t>Olhão</ns0:t>
        </ns0:is>
      </ns0:c>
      <ns0:c r="AR143" s="74" t="inlineStr">
        <ns0:is>
          <ns0:t>Empreendimento The View Olhão</ns0:t>
        </ns0:is>
      </ns0:c>
    </ns0:row>
    <ns0:row r="144">
      <ns0:c r="A144" s="71" t="s">
        <ns0:v>116</ns0:v>
      </ns0:c>
      <ns0:c r="B144" s="71" t="s">
        <ns0:v>156</ns0:v>
      </ns0:c>
      <ns0:c r="C144" s="71">
        <ns0:v>6</ns0:v>
      </ns0:c>
      <ns0:c r="D144" s="71" t="s">
        <ns0:v>31</ns0:v>
      </ns0:c>
      <ns0:c r="E144" s="71">
        <ns0:v>2</ns0:v>
      </ns0:c>
      <ns0:c r="F144" s="72">
        <ns0:v>123.81</ns0:v>
      </ns0:c>
      <ns0:c r="G144" s="72">
        <ns0:v>40.74</ns0:v>
      </ns0:c>
      <ns0:c r="H144" s="72">
        <ns0:v>164.55</ns0:v>
      </ns0:c>
      <ns0:c r="I144" s="73" t="n">
        <ns0:v>1000000</ns0:v>
      </ns0:c>
      <ns0:c r="J144" s="71">
        <ns0:v>2026</ns0:v>
      </ns0:c>
      <ns0:c r="K144" s="73" t="n">
        <ns0:v>8076.8920119538</ns0:v>
      </ns0:c>
      <ns0:c r="L144" s="73" t="n">
        <ns0:v>6077.1801883925855</ns0:v>
      </ns0:c>
      <ns0:c r="M144" s="74" t="str">
        <ns0:f t="shared" si="27"/>
        <ns0:v>Projeto</ns0:v>
      </ns0:c>
      <ns0:c r="N144" s="74"/>
      <ns0:c r="O144" s="74"/>
      <ns0:c r="P144" s="77"/>
      <ns0:c r="Q144" s="74" t="str">
        <ns0:f t="shared" si="21"/>
        <ns0:v>Projeto</ns0:v>
      </ns0:c>
      <ns0:c r="R144" s="74" t="s">
        <ns0:v>32</ns0:v>
      </ns0:c>
      <ns0:c r="S144" s="74"/>
      <ns0:c r="T144" s="74" t="inlineStr">
        <ns0:is>
          <ns0:t>P0Inf — Lugares 06+07</ns0:t>
        </ns0:is>
      </ns0:c>
      <ns0:c r="U144" s="74"/>
      <ns0:c r="V144" s="74"/>
      <ns0:c r="W144" s="76">
        <ns0:f t="shared" si="28"/>
        <ns0:v>1</ns0:v>
      </ns0:c>
      <ns0:c r="X144" s="74" t="str">
        <ns0:f t="shared" si="29"/>
        <ns0:v>Projeto</ns0:v>
      </ns0:c>
      <ns0:c r="Y144" s="74" t="str">
        <ns0:f t="shared" si="30"/>
        <ns0:v>N/A</ns0:v>
      </ns0:c>
      <ns0:c r="Z144" s="74"/>
      <ns0:c r="AA144" s="74" t="str">
        <ns0:f t="shared" si="31"/>
        <ns0:v>Manter</ns0:v>
      </ns0:c>
      <ns0:c r="AB144" s="74" t="str">
        <ns0:f t="shared" si="32"/>
      </ns0:c>
      <ns0:c r="AC144" s="73" t="n">
        <ns0:v>1150000</ns0:v>
      </ns0:c>
      <ns0:c r="AD144" s="74" t="inlineStr">
        <ns0:is>
          <ns0:t>2026-10</ns0:t>
        </ns0:is>
      </ns0:c>
      <ns0:c r="AE144" s="74" t="inlineStr">
        <ns0:is>
          <ns0:t>Alta</ns0:t>
        </ns0:is>
      </ns0:c>
      <ns0:c r="AF144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44" s="74" t="inlineStr">
        <ns0:is>
          <ns0:t>Premium</ns0:t>
        </ns0:is>
      </ns0:c>
      <ns0:c r="AQ144" s="74" t="inlineStr">
        <ns0:is>
          <ns0:t>Olhão</ns0:t>
        </ns0:is>
      </ns0:c>
      <ns0:c r="AR144" s="74" t="inlineStr">
        <ns0:is>
          <ns0:t>Empreendimento The View Olhão</ns0:t>
        </ns0:is>
      </ns0:c>
    </ns0:row>
    <ns0:row r="145">
      <ns0:c r="A145" s="71" t="s">
        <ns0:v>116</ns0:v>
      </ns0:c>
      <ns0:c r="B145" s="71" t="s">
        <ns0:v>157</ns0:v>
      </ns0:c>
      <ns0:c r="C145" s="71">
        <ns0:v>6</ns0:v>
      </ns0:c>
      <ns0:c r="D145" s="71" t="s">
        <ns0:v>42</ns0:v>
      </ns0:c>
      <ns0:c r="E145" s="71">
        <ns0:v>4</ns0:v>
      </ns0:c>
      <ns0:c r="F145" s="72">
        <ns0:v>75.66</ns0:v>
      </ns0:c>
      <ns0:c r="G145" s="72">
        <ns0:v>16.190000000000001</ns0:v>
      </ns0:c>
      <ns0:c r="H145" s="72">
        <ns0:v>91.85</ns0:v>
      </ns0:c>
      <ns0:c r="I145" s="73" t="n">
        <ns0:v>470000</ns0:v>
      </ns0:c>
      <ns0:c r="J145" s="71">
        <ns0:v>2026</ns0:v>
      </ns0:c>
      <ns0:c r="K145" s="73" t="n">
        <ns0:v>6212.001057361882</ns0:v>
      </ns0:c>
      <ns0:c r="L145" s="73" t="n">
        <ns0:v>5117.038649972782</ns0:v>
      </ns0:c>
      <ns0:c r="M145" s="74" t="str">
        <ns0:f t="shared" si="27"/>
        <ns0:v>Projeto</ns0:v>
      </ns0:c>
      <ns0:c r="N145" s="74"/>
      <ns0:c r="O145" s="74"/>
      <ns0:c r="P145" s="77"/>
      <ns0:c r="Q145" s="74" t="str">
        <ns0:f t="shared" si="21"/>
        <ns0:v>Projeto</ns0:v>
      </ns0:c>
      <ns0:c r="R145" s="74" t="s">
        <ns0:v>32</ns0:v>
      </ns0:c>
      <ns0:c r="S145" s="74"/>
      <ns0:c r="T145" s="74" t="inlineStr">
        <ns0:is>
          <ns0:t>P0Inf — Lugar 10</ns0:t>
        </ns0:is>
      </ns0:c>
      <ns0:c r="U145" s="74"/>
      <ns0:c r="V145" s="74"/>
      <ns0:c r="W145" s="76">
        <ns0:f t="shared" si="28"/>
        <ns0:v>1</ns0:v>
      </ns0:c>
      <ns0:c r="X145" s="74" t="str">
        <ns0:f t="shared" si="29"/>
        <ns0:v>Projeto</ns0:v>
      </ns0:c>
      <ns0:c r="Y145" s="74" t="str">
        <ns0:f t="shared" si="30"/>
        <ns0:v>N/A</ns0:v>
      </ns0:c>
      <ns0:c r="Z145" s="74"/>
      <ns0:c r="AA145" s="74" t="str">
        <ns0:f t="shared" si="31"/>
        <ns0:v>Manter</ns0:v>
      </ns0:c>
      <ns0:c r="AB145" s="74" t="str">
        <ns0:f t="shared" si="32"/>
      </ns0:c>
      <ns0:c r="AC145" s="73" t="n">
        <ns0:v>545000</ns0:v>
      </ns0:c>
      <ns0:c r="AD145" s="74" t="inlineStr">
        <ns0:is>
          <ns0:t>2026-10</ns0:t>
        </ns0:is>
      </ns0:c>
      <ns0:c r="AE145" s="74" t="inlineStr">
        <ns0:is>
          <ns0:t>Alta</ns0:t>
        </ns0:is>
      </ns0:c>
      <ns0:c r="AF145" s="74" t="inlineStr">
        <ns0:is>
          <ns0:t>Preço recomendado da análise independente de outubro de 2026, conforme tabela técnica validada. Não substitui o preço comercial atual. Enquadramento anterior (setembro de 2026): Preço base tecnicamente alinhado com a concorrência interna e o posicionamento da fração.</ns0:t>
        </ns0:is>
      </ns0:c>
      <ns0:c r="AG145" s="74" t="inlineStr">
        <ns0:is>
          <ns0:t>Standard</ns0:t>
        </ns0:is>
      </ns0:c>
      <ns0:c r="AQ145" s="74" t="inlineStr">
        <ns0:is>
          <ns0:t>Olhão</ns0:t>
        </ns0:is>
      </ns0:c>
      <ns0:c r="AR145" s="74" t="inlineStr">
        <ns0:is>
          <ns0:t>Empreendimento The View Olhão</ns0:t>
        </ns0:is>
      </ns0:c>
    </ns0:row>
    <ns0:row r="146">
      <ns0:c r="A146" s="71" t="s">
        <ns0:v>116</ns0:v>
      </ns0:c>
      <ns0:c r="B146" s="71" t="s">
        <ns0:v>158</ns0:v>
      </ns0:c>
      <ns0:c r="C146" s="71">
        <ns0:v>6</ns0:v>
      </ns0:c>
      <ns0:c r="D146" s="71" t="s">
        <ns0:v>64</ns0:v>
      </ns0:c>
      <ns0:c r="E146" s="71">
        <ns0:v>3</ns0:v>
      </ns0:c>
      <ns0:c r="F146" s="72">
        <ns0:v>111.99</ns0:v>
      </ns0:c>
      <ns0:c r="G146" s="72">
        <ns0:v>92.22</ns0:v>
      </ns0:c>
      <ns0:c r="H146" s="72">
        <ns0:v>204.21</ns0:v>
      </ns0:c>
      <ns0:c r="I146" s="73" t="n">
        <ns0:v>1000000</ns0:v>
      </ns0:c>
      <ns0:c r="J146" s="71">
        <ns0:v>2026</ns0:v>
      </ns0:c>
      <ns0:c r="K146" s="73" t="n">
        <ns0:v>8929.36869363336</ns0:v>
      </ns0:c>
      <ns0:c r="L146" s="73" t="n">
        <ns0:v>4896.9198374222615</ns0:v>
      </ns0:c>
      <ns0:c r="M146" s="74" t="str">
        <ns0:f t="shared" si="27"/>
        <ns0:v>Projeto</ns0:v>
      </ns0:c>
      <ns0:c r="N146" s="74"/>
      <ns0:c r="O146" s="74"/>
      <ns0:c r="P146" s="77"/>
      <ns0:c r="Q146" s="74" t="str">
        <ns0:f t="shared" si="21"/>
        <ns0:v>Projeto</ns0:v>
      </ns0:c>
      <ns0:c r="R146" s="74" t="s">
        <ns0:v>32</ns0:v>
      </ns0:c>
      <ns0:c r="S146" s="74"/>
      <ns0:c r="T146" s="74" t="inlineStr">
        <ns0:is>
          <ns0:t>P-1 — Lugares 39+40</ns0:t>
        </ns0:is>
      </ns0:c>
      <ns0:c r="U146" s="74"/>
      <ns0:c r="V146" s="74"/>
      <ns0:c r="W146" s="76">
        <ns0:f t="shared" si="28"/>
        <ns0:v>1</ns0:v>
      </ns0:c>
      <ns0:c r="X146" s="74" t="str">
        <ns0:f t="shared" si="29"/>
        <ns0:v>Projeto</ns0:v>
      </ns0:c>
      <ns0:c r="Y146" s="74" t="str">
        <ns0:f t="shared" si="30"/>
        <ns0:v>N/A</ns0:v>
      </ns0:c>
      <ns0:c r="Z146" s="74"/>
      <ns0:c r="AA146" s="74" t="str">
        <ns0:f t="shared" si="31"/>
        <ns0:v>Manter</ns0:v>
      </ns0:c>
      <ns0:c r="AB146" s="74" t="str">
        <ns0:f t="shared" si="32"/>
      </ns0:c>
      <ns0:c r="AC146" s="73" t="n">
        <ns0:v>1300000</ns0:v>
      </ns0:c>
      <ns0:c r="AD146" s="74" t="inlineStr">
        <ns0:is>
          <ns0:t>2026-10</ns0:t>
        </ns0:is>
      </ns0:c>
      <ns0:c r="AE146" s="74" t="inlineStr">
        <ns0:is>
          <ns0:t>Média</ns0:t>
        </ns0:is>
      </ns0:c>
      <ns0:c r="AF146" s="74" t="inlineStr">
        <ns0:is>
          <ns0:t>Preço recomendado da análise independente de outubro de 2026, conforme tabela técnica validada. Não substitui o preço comercial atual. Enquadramento anterior (setembro de 2026): T3 no último piso com exterior excecional; mantém prémio sobre o T2 Apt. 37 apesar da orientação inferior.</ns0:t>
        </ns0:is>
      </ns0:c>
      <ns0:c r="AG146" s="74" t="inlineStr">
        <ns0:is>
          <ns0:t>Premium</ns0:t>
        </ns0:is>
      </ns0:c>
      <ns0:c r="AQ146" s="74" t="inlineStr">
        <ns0:is>
          <ns0:t>Olhão</ns0:t>
        </ns0:is>
      </ns0:c>
      <ns0:c r="AR146" s="74" t="inlineStr">
        <ns0:is>
          <ns0:t>Empreendimento The View Olhão</ns0:t>
        </ns0:is>
      </ns0:c>
    </ns0:row>
    <ns0:row r="147">
      <ns0:c r="A147" s="71" t="s">
        <ns0:v>159</ns0:v>
      </ns0:c>
      <ns0:c r="B147" s="71" t="s">
        <ns0:v>160</ns0:v>
      </ns0:c>
      <ns0:c r="C147" s="71">
        <ns0:v>3</ns0:v>
      </ns0:c>
      <ns0:c r="D147" s="71" t="s">
        <ns0:v>31</ns0:v>
      </ns0:c>
      <ns0:c r="E147" s="71">
        <ns0:v>2</ns0:v>
      </ns0:c>
      <ns0:c r="F147" s="72">
        <ns0:v>48.4</ns0:v>
      </ns0:c>
      <ns0:c r="G147" s="72">
        <ns0:v>11.300000000000004</ns0:v>
      </ns0:c>
      <ns0:c r="H147" s="72">
        <ns0:v>59.7</ns0:v>
      </ns0:c>
      <ns0:c r="I147" s="73">
        <ns0:v>560000</ns0:v>
      </ns0:c>
      <ns0:c r="J147" s="71">
        <ns0:v>2026</ns0:v>
      </ns0:c>
      <ns0:c r="K147" s="73">
        <ns0:v>11570.247933884299</ns0:v>
      </ns0:c>
      <ns0:c r="L147" s="73">
        <ns0:v>9380.234505862647</ns0:v>
      </ns0:c>
      <ns0:c r="M147" s="74" t="str">
        <ns0:f t="shared" si="27"/>
        <ns0:v>Ativo</ns0:v>
      </ns0:c>
      <ns0:c r="N147" s="74"/>
      <ns0:c r="O147" s="74"/>
      <ns0:c r="P147" s="77"/>
      <ns0:c r="Q147" s="74" t="str">
        <ns0:f t="shared" si="21"/>
        <ns0:v>Benchmark complementar / nova construção</ns0:v>
      </ns0:c>
      <ns0:c r="R147" s="74" t="s">
        <ns0:v>32</ns0:v>
      </ns0:c>
      <ns0:c r="S147" s="74"/>
      <ns0:c r="T147" s="74"/>
      <ns0:c r="U147" s="74"/>
      <ns0:c r="V147" s="74"/>
      <ns0:c r="W147" s="76" t="n">
        <ns0:f t="shared" si="28"/>
        <ns0:v>0.5</ns0:v>
      </ns0:c>
      <ns0:c r="X147" s="74" t="str">
        <ns0:f t="shared" si="29"/>
        <ns0:v>B · Benchmark complementar</ns0:v>
      </ns0:c>
      <ns0:c r="Y147" s="74" t="str">
        <ns0:f t="shared" si="30"/>
        <ns0:v>Baixa</ns0:v>
      </ns0:c>
      <ns0:c r="Z147" s="74" t="str">
        <ns0:v>Benchmark inferior/complementar; útil para piso de mercado, não para comandar o segmento premium.</ns0:v>
      </ns0:c>
      <ns0:c r="AA147" s="74" t="str">
        <ns0:f t="shared" si="31"/>
        <ns0:v>Revalidar disponibilidade e fonte quando houver nova campanha pública.</ns0:v>
      </ns0:c>
      <ns0:c r="AB147" s="74" t="str">
        <ns0:f t="shared" si="32"/>
        <ns0:v>Média</ns0:v>
      </ns0:c>
    </ns0:row>
    <ns0:row r="148">
      <ns0:c r="A148" s="71" t="s">
        <ns0:v>159</ns0:v>
      </ns0:c>
      <ns0:c r="B148" s="71" t="s">
        <ns0:v>161</ns0:v>
      </ns0:c>
      <ns0:c r="C148" s="71">
        <ns0:v>2</ns0:v>
      </ns0:c>
      <ns0:c r="D148" s="71" t="s">
        <ns0:v>64</ns0:v>
      </ns0:c>
      <ns0:c r="E148" s="71">
        <ns0:v>4</ns0:v>
      </ns0:c>
      <ns0:c r="F148" s="72">
        <ns0:v>62.6</ns0:v>
      </ns0:c>
      <ns0:c r="G148" s="72">
        <ns0:v>18.499999999999993</ns0:v>
      </ns0:c>
      <ns0:c r="H148" s="72">
        <ns0:v>81.099999999999994</ns0:v>
      </ns0:c>
      <ns0:c r="I148" s="73">
        <ns0:v>415000</ns0:v>
      </ns0:c>
      <ns0:c r="J148" s="71">
        <ns0:v>2026</ns0:v>
      </ns0:c>
      <ns0:c r="K148" s="73">
        <ns0:v>6629.3929712460058</ns0:v>
      </ns0:c>
      <ns0:c r="L148" s="73">
        <ns0:v>5117.1393341553639</ns0:v>
      </ns0:c>
      <ns0:c r="M148" s="74" t="str">
        <ns0:f t="shared" si="27"/>
        <ns0:v>Ativo</ns0:v>
      </ns0:c>
      <ns0:c r="N148" s="74"/>
      <ns0:c r="O148" s="74"/>
      <ns0:c r="P148" s="77"/>
      <ns0:c r="Q148" s="74" t="str">
        <ns0:f t="shared" si="21"/>
        <ns0:v>Benchmark complementar / nova construção</ns0:v>
      </ns0:c>
      <ns0:c r="R148" s="74" t="s">
        <ns0:v>32</ns0:v>
      </ns0:c>
      <ns0:c r="S148" s="74"/>
      <ns0:c r="T148" s="74"/>
      <ns0:c r="U148" s="74"/>
      <ns0:c r="V148" s="74"/>
      <ns0:c r="W148" s="76" t="n">
        <ns0:f t="shared" si="28"/>
        <ns0:v>0.5</ns0:v>
      </ns0:c>
      <ns0:c r="X148" s="74" t="str">
        <ns0:f t="shared" si="29"/>
        <ns0:v>B · Benchmark complementar</ns0:v>
      </ns0:c>
      <ns0:c r="Y148" s="74" t="str">
        <ns0:f t="shared" si="30"/>
        <ns0:v>Baixa</ns0:v>
      </ns0:c>
      <ns0:c r="Z148" s="74" t="str">
        <ns0:v>Benchmark inferior/complementar; útil para piso de mercado, não para comandar o segmento premium.</ns0:v>
      </ns0:c>
      <ns0:c r="AA148" s="74" t="str">
        <ns0:f t="shared" si="31"/>
        <ns0:v>Revalidar disponibilidade e fonte quando houver nova campanha pública.</ns0:v>
      </ns0:c>
      <ns0:c r="AB148" s="74" t="str">
        <ns0:f t="shared" si="32"/>
        <ns0:v>Média</ns0:v>
      </ns0:c>
    </ns0:row>
    <ns0:row r="149">
      <ns0:c r="A149" s="71" t="s">
        <ns0:v>159</ns0:v>
      </ns0:c>
      <ns0:c r="B149" s="71" t="s">
        <ns0:v>162</ns0:v>
      </ns0:c>
      <ns0:c r="C149" s="71">
        <ns0:v>2</ns0:v>
      </ns0:c>
      <ns0:c r="D149" s="71" t="s">
        <ns0:v>31</ns0:v>
      </ns0:c>
      <ns0:c r="E149" s="71">
        <ns0:v>4</ns0:v>
      </ns0:c>
      <ns0:c r="F149" s="72">
        <ns0:v>50.15</ns0:v>
      </ns0:c>
      <ns0:c r="G149" s="72">
        <ns0:v>17.949999999999996</ns0:v>
      </ns0:c>
      <ns0:c r="H149" s="72">
        <ns0:v>68.099999999999994</ns0:v>
      </ns0:c>
      <ns0:c r="I149" s="73">
        <ns0:v>380000</ns0:v>
      </ns0:c>
      <ns0:c r="J149" s="71">
        <ns0:v>2026</ns0:v>
      </ns0:c>
      <ns0:c r="K149" s="73">
        <ns0:v>7577.2681954137588</ns0:v>
      </ns0:c>
      <ns0:c r="L149" s="73">
        <ns0:v>5580.0293685756242</ns0:v>
      </ns0:c>
      <ns0:c r="M149" s="74" t="str">
        <ns0:f t="shared" si="27"/>
        <ns0:v>Ativo</ns0:v>
      </ns0:c>
      <ns0:c r="N149" s="74"/>
      <ns0:c r="O149" s="74"/>
      <ns0:c r="P149" s="77"/>
      <ns0:c r="Q149" s="74" t="str">
        <ns0:f t="shared" si="21"/>
        <ns0:v>Benchmark complementar / nova construção</ns0:v>
      </ns0:c>
      <ns0:c r="R149" s="74" t="s">
        <ns0:v>32</ns0:v>
      </ns0:c>
      <ns0:c r="S149" s="74"/>
      <ns0:c r="T149" s="74"/>
      <ns0:c r="U149" s="74"/>
      <ns0:c r="V149" s="74"/>
      <ns0:c r="W149" s="76" t="n">
        <ns0:f t="shared" si="28"/>
        <ns0:v>0.5</ns0:v>
      </ns0:c>
      <ns0:c r="X149" s="74" t="str">
        <ns0:f t="shared" si="29"/>
        <ns0:v>B · Benchmark complementar</ns0:v>
      </ns0:c>
      <ns0:c r="Y149" s="74" t="str">
        <ns0:f t="shared" si="30"/>
        <ns0:v>Baixa</ns0:v>
      </ns0:c>
      <ns0:c r="Z149" s="74" t="str">
        <ns0:v>Benchmark inferior/complementar; útil para piso de mercado, não para comandar o segmento premium.</ns0:v>
      </ns0:c>
      <ns0:c r="AA149" s="74" t="str">
        <ns0:f t="shared" si="31"/>
        <ns0:v>Revalidar disponibilidade e fonte quando houver nova campanha pública.</ns0:v>
      </ns0:c>
      <ns0:c r="AB149" s="74" t="str">
        <ns0:f t="shared" si="32"/>
        <ns0:v>Média</ns0:v>
      </ns0:c>
    </ns0:row>
    <ns0:row r="150">
      <ns0:c r="A150" s="71" t="s">
        <ns0:v>159</ns0:v>
      </ns0:c>
      <ns0:c r="B150" s="71" t="s">
        <ns0:v>29</ns0:v>
      </ns0:c>
      <ns0:c r="C150" s="71" t="s">
        <ns0:v>30</ns0:v>
      </ns0:c>
      <ns0:c r="D150" s="71" t="s">
        <ns0:v>31</ns0:v>
      </ns0:c>
      <ns0:c r="E150" s="71">
        <ns0:v>3</ns0:v>
      </ns0:c>
      <ns0:c r="F150" s="72">
        <ns0:v>59.5</ns0:v>
      </ns0:c>
      <ns0:c r="G150" s="72">
        <ns0:v>12.5</ns0:v>
      </ns0:c>
      <ns0:c r="H150" s="72">
        <ns0:v>72</ns0:v>
      </ns0:c>
      <ns0:c r="I150" s="73">
        <ns0:v>495000</ns0:v>
      </ns0:c>
      <ns0:c r="J150" s="71">
        <ns0:v>2026</ns0:v>
      </ns0:c>
      <ns0:c r="K150" s="73">
        <ns0:v>8319.3277310924368</ns0:v>
      </ns0:c>
      <ns0:c r="L150" s="73">
        <ns0:v>6875</ns0:v>
      </ns0:c>
      <ns0:c r="M150" s="74" t="str">
        <ns0:f t="shared" si="27"/>
        <ns0:v>Ativo</ns0:v>
      </ns0:c>
      <ns0:c r="N150" s="74"/>
      <ns0:c r="O150" s="74"/>
      <ns0:c r="P150" s="77"/>
      <ns0:c r="Q150" s="74" t="str">
        <ns0:f t="shared" si="21"/>
        <ns0:v>Benchmark complementar / nova construção</ns0:v>
      </ns0:c>
      <ns0:c r="R150" s="74" t="s">
        <ns0:v>32</ns0:v>
      </ns0:c>
      <ns0:c r="S150" s="74"/>
      <ns0:c r="T150" s="74"/>
      <ns0:c r="U150" s="74"/>
      <ns0:c r="V150" s="74"/>
      <ns0:c r="W150" s="76" t="n">
        <ns0:f t="shared" si="28"/>
        <ns0:v>0.5</ns0:v>
      </ns0:c>
      <ns0:c r="X150" s="74" t="str">
        <ns0:f t="shared" si="29"/>
        <ns0:v>B · Benchmark complementar</ns0:v>
      </ns0:c>
      <ns0:c r="Y150" s="74" t="str">
        <ns0:f t="shared" si="30"/>
        <ns0:v>Baixa</ns0:v>
      </ns0:c>
      <ns0:c r="Z150" s="74" t="str">
        <ns0:v>Benchmark inferior/complementar; útil para piso de mercado, não para comandar o segmento premium.</ns0:v>
      </ns0:c>
      <ns0:c r="AA150" s="74" t="str">
        <ns0:f t="shared" si="31"/>
        <ns0:v>Revalidar disponibilidade e fonte quando houver nova campanha pública.</ns0:v>
      </ns0:c>
      <ns0:c r="AB150" s="74" t="str">
        <ns0:f t="shared" si="32"/>
        <ns0:v>Média</ns0:v>
      </ns0:c>
    </ns0:row>
    <ns0:row r="151">
      <ns0:c r="A151" s="71" t="s">
        <ns0:v>159</ns0:v>
      </ns0:c>
      <ns0:c r="B151" s="71" t="s">
        <ns0:v>38</ns0:v>
      </ns0:c>
      <ns0:c r="C151" s="71">
        <ns0:v>2</ns0:v>
      </ns0:c>
      <ns0:c r="D151" s="71" t="s">
        <ns0:v>31</ns0:v>
      </ns0:c>
      <ns0:c r="E151" s="71">
        <ns0:v>4</ns0:v>
      </ns0:c>
      <ns0:c r="F151" s="72">
        <ns0:v>50.15</ns0:v>
      </ns0:c>
      <ns0:c r="G151" s="72">
        <ns0:v>12.050000000000004</ns0:v>
      </ns0:c>
      <ns0:c r="H151" s="72">
        <ns0:v>62.2</ns0:v>
      </ns0:c>
      <ns0:c r="I151" s="73">
        <ns0:v>380000</ns0:v>
      </ns0:c>
      <ns0:c r="J151" s="71">
        <ns0:v>2026</ns0:v>
      </ns0:c>
      <ns0:c r="K151" s="73">
        <ns0:v>7577.2681954137588</ns0:v>
      </ns0:c>
      <ns0:c r="L151" s="73">
        <ns0:v>6109.3247588424438</ns0:v>
      </ns0:c>
      <ns0:c r="M151" s="74" t="str">
        <ns0:f t="shared" si="27"/>
        <ns0:v>Ativo</ns0:v>
      </ns0:c>
      <ns0:c r="N151" s="74"/>
      <ns0:c r="O151" s="74"/>
      <ns0:c r="P151" s="77"/>
      <ns0:c r="Q151" s="74" t="str">
        <ns0:f t="shared" si="21"/>
        <ns0:v>Benchmark complementar / nova construção</ns0:v>
      </ns0:c>
      <ns0:c r="R151" s="74" t="s">
        <ns0:v>32</ns0:v>
      </ns0:c>
      <ns0:c r="S151" s="74"/>
      <ns0:c r="T151" s="74"/>
      <ns0:c r="U151" s="74"/>
      <ns0:c r="V151" s="74"/>
      <ns0:c r="W151" s="76" t="n">
        <ns0:f t="shared" si="28"/>
        <ns0:v>0.5</ns0:v>
      </ns0:c>
      <ns0:c r="X151" s="74" t="str">
        <ns0:f t="shared" si="29"/>
        <ns0:v>B · Benchmark complementar</ns0:v>
      </ns0:c>
      <ns0:c r="Y151" s="74" t="str">
        <ns0:f t="shared" si="30"/>
        <ns0:v>Baixa</ns0:v>
      </ns0:c>
      <ns0:c r="Z151" s="74" t="str">
        <ns0:v>Benchmark inferior/complementar; útil para piso de mercado, não para comandar o segmento premium.</ns0:v>
      </ns0:c>
      <ns0:c r="AA151" s="74" t="str">
        <ns0:f t="shared" si="31"/>
        <ns0:v>Revalidar disponibilidade e fonte quando houver nova campanha pública.</ns0:v>
      </ns0:c>
      <ns0:c r="AB151" s="74" t="str">
        <ns0:f t="shared" si="32"/>
        <ns0:v>Média</ns0:v>
      </ns0:c>
    </ns0:row>
    <ns0:row r="152">
      <ns0:c r="A152" s="71" t="s">
        <ns0:v>159</ns0:v>
      </ns0:c>
      <ns0:c r="B152" s="71" t="s">
        <ns0:v>39</ns0:v>
      </ns0:c>
      <ns0:c r="C152" s="71">
        <ns0:v>3</ns0:v>
      </ns0:c>
      <ns0:c r="D152" s="71" t="s">
        <ns0:v>42</ns0:v>
      </ns0:c>
      <ns0:c r="E152" s="71">
        <ns0:v>3</ns0:v>
      </ns0:c>
      <ns0:c r="F152" s="72">
        <ns0:v>40.4</ns0:v>
      </ns0:c>
      <ns0:c r="G152" s="72">
        <ns0:v>8.5</ns0:v>
      </ns0:c>
      <ns0:c r="H152" s="72">
        <ns0:v>48.9</ns0:v>
      </ns0:c>
      <ns0:c r="I152" s="73">
        <ns0:v>385000</ns0:v>
      </ns0:c>
      <ns0:c r="J152" s="71">
        <ns0:v>2026</ns0:v>
      </ns0:c>
      <ns0:c r="K152" s="73">
        <ns0:v>9529.7029702970303</ns0:v>
      </ns0:c>
      <ns0:c r="L152" s="73">
        <ns0:v>7873.2106339468301</ns0:v>
      </ns0:c>
      <ns0:c r="M152" s="74" t="str">
        <ns0:f t="shared" si="27"/>
        <ns0:v>Ativo</ns0:v>
      </ns0:c>
      <ns0:c r="N152" s="74"/>
      <ns0:c r="O152" s="74"/>
      <ns0:c r="P152" s="77"/>
      <ns0:c r="Q152" s="74" t="str">
        <ns0:f t="shared" si="21"/>
        <ns0:v>Benchmark complementar / nova construção</ns0:v>
      </ns0:c>
      <ns0:c r="R152" s="74" t="s">
        <ns0:v>32</ns0:v>
      </ns0:c>
      <ns0:c r="S152" s="74"/>
      <ns0:c r="T152" s="74"/>
      <ns0:c r="U152" s="74"/>
      <ns0:c r="V152" s="74"/>
      <ns0:c r="W152" s="76" t="n">
        <ns0:f t="shared" si="28"/>
        <ns0:v>0.5</ns0:v>
      </ns0:c>
      <ns0:c r="X152" s="74" t="str">
        <ns0:f t="shared" si="29"/>
        <ns0:v>B · Benchmark complementar</ns0:v>
      </ns0:c>
      <ns0:c r="Y152" s="74" t="str">
        <ns0:f t="shared" si="30"/>
        <ns0:v>Baixa</ns0:v>
      </ns0:c>
      <ns0:c r="Z152" s="74" t="str">
        <ns0:v>Benchmark inferior/complementar; útil para piso de mercado, não para comandar o segmento premium.</ns0:v>
      </ns0:c>
      <ns0:c r="AA152" s="74" t="str">
        <ns0:f t="shared" si="31"/>
        <ns0:v>Revalidar disponibilidade e fonte quando houver nova campanha pública.</ns0:v>
      </ns0:c>
      <ns0:c r="AB152" s="74" t="str">
        <ns0:f t="shared" si="32"/>
        <ns0:v>Média</ns0:v>
      </ns0:c>
    </ns0:row>
    <ns0:row r="153">
      <ns0:c r="A153" s="71" t="s">
        <ns0:v>159</ns0:v>
      </ns0:c>
      <ns0:c r="B153" s="71" t="s">
        <ns0:v>163</ns0:v>
      </ns0:c>
      <ns0:c r="C153" s="71">
        <ns0:v>3</ns0:v>
      </ns0:c>
      <ns0:c r="D153" s="71" t="s">
        <ns0:v>42</ns0:v>
      </ns0:c>
      <ns0:c r="E153" s="71">
        <ns0:v>4</ns0:v>
      </ns0:c>
      <ns0:c r="F153" s="72">
        <ns0:v>40.4</ns0:v>
      </ns0:c>
      <ns0:c r="G153" s="72">
        <ns0:v>8.5</ns0:v>
      </ns0:c>
      <ns0:c r="H153" s="72">
        <ns0:v>48.9</ns0:v>
      </ns0:c>
      <ns0:c r="I153" s="73">
        <ns0:v>385000</ns0:v>
      </ns0:c>
      <ns0:c r="J153" s="71">
        <ns0:v>2026</ns0:v>
      </ns0:c>
      <ns0:c r="K153" s="73">
        <ns0:v>9529.7029702970303</ns0:v>
      </ns0:c>
      <ns0:c r="L153" s="73">
        <ns0:v>7873.2106339468301</ns0:v>
      </ns0:c>
      <ns0:c r="M153" s="74" t="str">
        <ns0:f t="shared" si="27"/>
        <ns0:v>Ativo</ns0:v>
      </ns0:c>
      <ns0:c r="N153" s="74"/>
      <ns0:c r="O153" s="74"/>
      <ns0:c r="P153" s="77"/>
      <ns0:c r="Q153" s="74" t="str">
        <ns0:f t="shared" si="21"/>
        <ns0:v>Benchmark complementar / nova construção</ns0:v>
      </ns0:c>
      <ns0:c r="R153" s="74" t="s">
        <ns0:v>32</ns0:v>
      </ns0:c>
      <ns0:c r="S153" s="74"/>
      <ns0:c r="T153" s="74"/>
      <ns0:c r="U153" s="74"/>
      <ns0:c r="V153" s="74"/>
      <ns0:c r="W153" s="76" t="n">
        <ns0:f t="shared" si="28"/>
        <ns0:v>0.5</ns0:v>
      </ns0:c>
      <ns0:c r="X153" s="74" t="str">
        <ns0:f t="shared" si="29"/>
        <ns0:v>B · Benchmark complementar</ns0:v>
      </ns0:c>
      <ns0:c r="Y153" s="74" t="str">
        <ns0:f t="shared" si="30"/>
        <ns0:v>Baixa</ns0:v>
      </ns0:c>
      <ns0:c r="Z153" s="74" t="str">
        <ns0:v>Benchmark inferior/complementar; útil para piso de mercado, não para comandar o segmento premium.</ns0:v>
      </ns0:c>
      <ns0:c r="AA153" s="74" t="str">
        <ns0:f t="shared" si="31"/>
        <ns0:v>Revalidar disponibilidade e fonte quando houver nova campanha pública.</ns0:v>
      </ns0:c>
      <ns0:c r="AB153" s="74" t="str">
        <ns0:f t="shared" si="32"/>
        <ns0:v>Média</ns0:v>
      </ns0:c>
    </ns0:row>
    <ns0:row r="154">
      <ns0:c r="A154" s="71" t="s">
        <ns0:v>159</ns0:v>
      </ns0:c>
      <ns0:c r="B154" s="71" t="s">
        <ns0:v>45</ns0:v>
      </ns0:c>
      <ns0:c r="C154" s="71">
        <ns0:v>1</ns0:v>
      </ns0:c>
      <ns0:c r="D154" s="71" t="s">
        <ns0:v>31</ns0:v>
      </ns0:c>
      <ns0:c r="E154" s="71">
        <ns0:v>4</ns0:v>
      </ns0:c>
      <ns0:c r="F154" s="72">
        <ns0:v>81.25</ns0:v>
      </ns0:c>
      <ns0:c r="G154" s="72">
        <ns0:v>30.25</ns0:v>
      </ns0:c>
      <ns0:c r="H154" s="72">
        <ns0:v>111.5</ns0:v>
      </ns0:c>
      <ns0:c r="I154" s="73">
        <ns0:v>600000</ns0:v>
      </ns0:c>
      <ns0:c r="J154" s="71">
        <ns0:v>2026</ns0:v>
      </ns0:c>
      <ns0:c r="K154" s="73">
        <ns0:v>7384.6153846153848</ns0:v>
      </ns0:c>
      <ns0:c r="L154" s="73">
        <ns0:v>5381.1659192825109</ns0:v>
      </ns0:c>
      <ns0:c r="M154" s="74" t="str">
        <ns0:f t="shared" si="27"/>
        <ns0:v>Ativo</ns0:v>
      </ns0:c>
      <ns0:c r="N154" s="74"/>
      <ns0:c r="O154" s="74"/>
      <ns0:c r="P154" s="77"/>
      <ns0:c r="Q154" s="74" t="str">
        <ns0:f t="shared" si="21"/>
        <ns0:v>Benchmark complementar / nova construção</ns0:v>
      </ns0:c>
      <ns0:c r="R154" s="74" t="s">
        <ns0:v>32</ns0:v>
      </ns0:c>
      <ns0:c r="S154" s="74"/>
      <ns0:c r="T154" s="74"/>
      <ns0:c r="U154" s="74"/>
      <ns0:c r="V154" s="74"/>
      <ns0:c r="W154" s="76" t="n">
        <ns0:f t="shared" si="28"/>
        <ns0:v>0.5</ns0:v>
      </ns0:c>
      <ns0:c r="X154" s="74" t="str">
        <ns0:f t="shared" si="29"/>
        <ns0:v>B · Benchmark complementar</ns0:v>
      </ns0:c>
      <ns0:c r="Y154" s="74" t="str">
        <ns0:f t="shared" si="30"/>
        <ns0:v>Baixa</ns0:v>
      </ns0:c>
      <ns0:c r="Z154" s="74" t="str">
        <ns0:v>Benchmark inferior/complementar; útil para piso de mercado, não para comandar o segmento premium.</ns0:v>
      </ns0:c>
      <ns0:c r="AA154" s="74" t="str">
        <ns0:f t="shared" si="31"/>
        <ns0:v>Revalidar disponibilidade e fonte quando houver nova campanha pública.</ns0:v>
      </ns0:c>
      <ns0:c r="AB154" s="74" t="str">
        <ns0:f t="shared" si="32"/>
        <ns0:v>Média</ns0:v>
      </ns0:c>
    </ns0:row>
    <ns0:row r="155">
      <ns0:c r="A155" s="71" t="s">
        <ns0:v>159</ns0:v>
      </ns0:c>
      <ns0:c r="B155" s="71" t="s">
        <ns0:v>164</ns0:v>
      </ns0:c>
      <ns0:c r="C155" s="71">
        <ns0:v>1</ns0:v>
      </ns0:c>
      <ns0:c r="D155" s="71" t="s">
        <ns0:v>31</ns0:v>
      </ns0:c>
      <ns0:c r="E155" s="71">
        <ns0:v>1</ns0:v>
      </ns0:c>
      <ns0:c r="F155" s="72">
        <ns0:v>81.3</ns0:v>
      </ns0:c>
      <ns0:c r="G155" s="72">
        <ns0:v>12.100000000000009</ns0:v>
      </ns0:c>
      <ns0:c r="H155" s="72">
        <ns0:v>93.4</ns0:v>
      </ns0:c>
      <ns0:c r="I155" s="73">
        <ns0:v>495000</ns0:v>
      </ns0:c>
      <ns0:c r="J155" s="71">
        <ns0:v>2026</ns0:v>
      </ns0:c>
      <ns0:c r="K155" s="73">
        <ns0:v>6088.5608856088566</ns0:v>
      </ns0:c>
      <ns0:c r="L155" s="73">
        <ns0:v>5299.7858672376869</ns0:v>
      </ns0:c>
      <ns0:c r="M155" s="74" t="str">
        <ns0:f t="shared" si="27"/>
        <ns0:v>Ativo</ns0:v>
      </ns0:c>
      <ns0:c r="N155" s="74"/>
      <ns0:c r="O155" s="74"/>
      <ns0:c r="P155" s="77"/>
      <ns0:c r="Q155" s="74" t="str">
        <ns0:f t="shared" si="21"/>
        <ns0:v>Benchmark complementar / nova construção</ns0:v>
      </ns0:c>
      <ns0:c r="R155" s="74" t="s">
        <ns0:v>32</ns0:v>
      </ns0:c>
      <ns0:c r="S155" s="74"/>
      <ns0:c r="T155" s="74"/>
      <ns0:c r="U155" s="74"/>
      <ns0:c r="V155" s="74"/>
      <ns0:c r="W155" s="76" t="n">
        <ns0:f t="shared" si="28"/>
        <ns0:v>0.5</ns0:v>
      </ns0:c>
      <ns0:c r="X155" s="74" t="str">
        <ns0:f t="shared" si="29"/>
        <ns0:v>B · Benchmark complementar</ns0:v>
      </ns0:c>
      <ns0:c r="Y155" s="74" t="str">
        <ns0:f t="shared" si="30"/>
        <ns0:v>Baixa</ns0:v>
      </ns0:c>
      <ns0:c r="Z155" s="74" t="str">
        <ns0:v>Benchmark inferior/complementar; útil para piso de mercado, não para comandar o segmento premium.</ns0:v>
      </ns0:c>
      <ns0:c r="AA155" s="74" t="str">
        <ns0:f t="shared" si="31"/>
        <ns0:v>Revalidar disponibilidade e fonte quando houver nova campanha pública.</ns0:v>
      </ns0:c>
      <ns0:c r="AB155" s="74" t="str">
        <ns0:f t="shared" si="32"/>
        <ns0:v>Média</ns0:v>
      </ns0:c>
    </ns0:row>
    <ns0:row r="156">
      <ns0:c r="A156" s="71" t="s">
        <ns0:v>159</ns0:v>
      </ns0:c>
      <ns0:c r="B156" s="71" t="s">
        <ns0:v>165</ns0:v>
      </ns0:c>
      <ns0:c r="C156" s="71">
        <ns0:v>1</ns0:v>
      </ns0:c>
      <ns0:c r="D156" s="71" t="s">
        <ns0:v>31</ns0:v>
      </ns0:c>
      <ns0:c r="E156" s="71">
        <ns0:v>1</ns0:v>
      </ns0:c>
      <ns0:c r="F156" s="72">
        <ns0:v>76.7</ns0:v>
      </ns0:c>
      <ns0:c r="G156" s="72">
        <ns0:v>30.200000000000003</ns0:v>
      </ns0:c>
      <ns0:c r="H156" s="72">
        <ns0:v>106.9</ns0:v>
      </ns0:c>
      <ns0:c r="I156" s="73">
        <ns0:v>599000</ns0:v>
      </ns0:c>
      <ns0:c r="J156" s="71">
        <ns0:v>2026</ns0:v>
      </ns0:c>
      <ns0:c r="K156" s="73">
        <ns0:v>7809.6479791395041</ns0:v>
      </ns0:c>
      <ns0:c r="L156" s="73">
        <ns0:v>5603.3676333021513</ns0:v>
      </ns0:c>
      <ns0:c r="M156" s="74" t="str">
        <ns0:f t="shared" si="27"/>
        <ns0:v>Ativo</ns0:v>
      </ns0:c>
      <ns0:c r="N156" s="74"/>
      <ns0:c r="O156" s="74"/>
      <ns0:c r="P156" s="77"/>
      <ns0:c r="Q156" s="74" t="str">
        <ns0:f t="shared" si="21"/>
        <ns0:v>Benchmark complementar / nova construção</ns0:v>
      </ns0:c>
      <ns0:c r="R156" s="74" t="s">
        <ns0:v>32</ns0:v>
      </ns0:c>
      <ns0:c r="S156" s="74"/>
      <ns0:c r="T156" s="74"/>
      <ns0:c r="U156" s="74"/>
      <ns0:c r="V156" s="74"/>
      <ns0:c r="W156" s="76" t="n">
        <ns0:f t="shared" si="28"/>
        <ns0:v>0.5</ns0:v>
      </ns0:c>
      <ns0:c r="X156" s="74" t="str">
        <ns0:f t="shared" si="29"/>
        <ns0:v>B · Benchmark complementar</ns0:v>
      </ns0:c>
      <ns0:c r="Y156" s="74" t="str">
        <ns0:f t="shared" si="30"/>
        <ns0:v>Baixa</ns0:v>
      </ns0:c>
      <ns0:c r="Z156" s="74" t="str">
        <ns0:v>Benchmark inferior/complementar; útil para piso de mercado, não para comandar o segmento premium.</ns0:v>
      </ns0:c>
      <ns0:c r="AA156" s="74" t="str">
        <ns0:f t="shared" si="31"/>
        <ns0:v>Revalidar disponibilidade e fonte quando houver nova campanha pública.</ns0:v>
      </ns0:c>
      <ns0:c r="AB156" s="74" t="str">
        <ns0:f t="shared" si="32"/>
        <ns0:v>Média</ns0:v>
      </ns0:c>
    </ns0:row>
    <ns0:row r="157">
      <ns0:c r="A157" s="71" t="s">
        <ns0:v>159</ns0:v>
      </ns0:c>
      <ns0:c r="B157" s="71" t="s">
        <ns0:v>166</ns0:v>
      </ns0:c>
      <ns0:c r="C157" s="71">
        <ns0:v>2</ns0:v>
      </ns0:c>
      <ns0:c r="D157" s="71" t="s">
        <ns0:v>31</ns0:v>
      </ns0:c>
      <ns0:c r="E157" s="71">
        <ns0:v>2</ns0:v>
      </ns0:c>
      <ns0:c r="F157" s="72">
        <ns0:v>81.25</ns0:v>
      </ns0:c>
      <ns0:c r="G157" s="72">
        <ns0:v>30.25</ns0:v>
      </ns0:c>
      <ns0:c r="H157" s="72">
        <ns0:v>111.5</ns0:v>
      </ns0:c>
      <ns0:c r="I157" s="73">
        <ns0:v>620000</ns0:v>
      </ns0:c>
      <ns0:c r="J157" s="71">
        <ns0:v>2026</ns0:v>
      </ns0:c>
      <ns0:c r="K157" s="73">
        <ns0:v>7630.7692307692305</ns0:v>
      </ns0:c>
      <ns0:c r="L157" s="73">
        <ns0:v>5560.538116591928</ns0:v>
      </ns0:c>
      <ns0:c r="M157" s="74" t="str">
        <ns0:f t="shared" si="27"/>
        <ns0:v>Ativo</ns0:v>
      </ns0:c>
      <ns0:c r="N157" s="74"/>
      <ns0:c r="O157" s="74"/>
      <ns0:c r="P157" s="77"/>
      <ns0:c r="Q157" s="74" t="str">
        <ns0:f t="shared" si="21"/>
        <ns0:v>Benchmark complementar / nova construção</ns0:v>
      </ns0:c>
      <ns0:c r="R157" s="74" t="s">
        <ns0:v>32</ns0:v>
      </ns0:c>
      <ns0:c r="S157" s="74"/>
      <ns0:c r="T157" s="74"/>
      <ns0:c r="U157" s="74"/>
      <ns0:c r="V157" s="74"/>
      <ns0:c r="W157" s="76" t="n">
        <ns0:f t="shared" si="28"/>
        <ns0:v>0.5</ns0:v>
      </ns0:c>
      <ns0:c r="X157" s="74" t="str">
        <ns0:f t="shared" si="29"/>
        <ns0:v>B · Benchmark complementar</ns0:v>
      </ns0:c>
      <ns0:c r="Y157" s="74" t="str">
        <ns0:f t="shared" si="30"/>
        <ns0:v>Baixa</ns0:v>
      </ns0:c>
      <ns0:c r="Z157" s="74" t="str">
        <ns0:v>Benchmark inferior/complementar; útil para piso de mercado, não para comandar o segmento premium.</ns0:v>
      </ns0:c>
      <ns0:c r="AA157" s="74" t="str">
        <ns0:f t="shared" si="31"/>
        <ns0:v>Revalidar disponibilidade e fonte quando houver nova campanha pública.</ns0:v>
      </ns0:c>
      <ns0:c r="AB157" s="74" t="str">
        <ns0:f t="shared" si="32"/>
        <ns0:v>Média</ns0:v>
      </ns0:c>
    </ns0:row>
    <ns0:row r="158">
      <ns0:c r="A158" s="71" t="s">
        <ns0:v>159</ns0:v>
      </ns0:c>
      <ns0:c r="B158" s="71" t="s">
        <ns0:v>76</ns0:v>
      </ns0:c>
      <ns0:c r="C158" s="71">
        <ns0:v>2</ns0:v>
      </ns0:c>
      <ns0:c r="D158" s="71" t="s">
        <ns0:v>31</ns0:v>
      </ns0:c>
      <ns0:c r="E158" s="71">
        <ns0:v>2</ns0:v>
      </ns0:c>
      <ns0:c r="F158" s="72">
        <ns0:v>81.3</ns0:v>
      </ns0:c>
      <ns0:c r="G158" s="72">
        <ns0:v>12.100000000000009</ns0:v>
      </ns0:c>
      <ns0:c r="H158" s="72">
        <ns0:v>93.4</ns0:v>
      </ns0:c>
      <ns0:c r="I158" s="73">
        <ns0:v>515000</ns0:v>
      </ns0:c>
      <ns0:c r="J158" s="71">
        <ns0:v>2026</ns0:v>
      </ns0:c>
      <ns0:c r="K158" s="73">
        <ns0:v>6334.5633456334563</ns0:v>
      </ns0:c>
      <ns0:c r="L158" s="73">
        <ns0:v>5513.9186295503205</ns0:v>
      </ns0:c>
      <ns0:c r="M158" s="74" t="str">
        <ns0:f t="shared" si="27"/>
        <ns0:v>Ativo</ns0:v>
      </ns0:c>
      <ns0:c r="N158" s="74"/>
      <ns0:c r="O158" s="74"/>
      <ns0:c r="P158" s="77"/>
      <ns0:c r="Q158" s="74" t="str">
        <ns0:f t="shared" si="21"/>
        <ns0:v>Benchmark complementar / nova construção</ns0:v>
      </ns0:c>
      <ns0:c r="R158" s="74" t="s">
        <ns0:v>32</ns0:v>
      </ns0:c>
      <ns0:c r="S158" s="74"/>
      <ns0:c r="T158" s="74"/>
      <ns0:c r="U158" s="74"/>
      <ns0:c r="V158" s="74"/>
      <ns0:c r="W158" s="76" t="n">
        <ns0:f t="shared" si="28"/>
        <ns0:v>0.5</ns0:v>
      </ns0:c>
      <ns0:c r="X158" s="74" t="str">
        <ns0:f t="shared" si="29"/>
        <ns0:v>B · Benchmark complementar</ns0:v>
      </ns0:c>
      <ns0:c r="Y158" s="74" t="str">
        <ns0:f t="shared" si="30"/>
        <ns0:v>Baixa</ns0:v>
      </ns0:c>
      <ns0:c r="Z158" s="74" t="str">
        <ns0:v>Benchmark inferior/complementar; útil para piso de mercado, não para comandar o segmento premium.</ns0:v>
      </ns0:c>
      <ns0:c r="AA158" s="74" t="str">
        <ns0:f t="shared" si="31"/>
        <ns0:v>Revalidar disponibilidade e fonte quando houver nova campanha pública.</ns0:v>
      </ns0:c>
      <ns0:c r="AB158" s="74" t="str">
        <ns0:f t="shared" si="32"/>
        <ns0:v>Média</ns0:v>
      </ns0:c>
    </ns0:row>
    <ns0:row r="159">
      <ns0:c r="A159" s="71" t="s">
        <ns0:v>159</ns0:v>
      </ns0:c>
      <ns0:c r="B159" s="71" t="s">
        <ns0:v>167</ns0:v>
      </ns0:c>
      <ns0:c r="C159" s="71">
        <ns0:v>2</ns0:v>
      </ns0:c>
      <ns0:c r="D159" s="71" t="s">
        <ns0:v>31</ns0:v>
      </ns0:c>
      <ns0:c r="E159" s="71">
        <ns0:v>1</ns0:v>
      </ns0:c>
      <ns0:c r="F159" s="72">
        <ns0:v>76.7</ns0:v>
      </ns0:c>
      <ns0:c r="G159" s="72">
        <ns0:v>30.200000000000003</ns0:v>
      </ns0:c>
      <ns0:c r="H159" s="72">
        <ns0:v>106.9</ns0:v>
      </ns0:c>
      <ns0:c r="I159" s="73">
        <ns0:v>619000</ns0:v>
      </ns0:c>
      <ns0:c r="J159" s="71">
        <ns0:v>2026</ns0:v>
      </ns0:c>
      <ns0:c r="K159" s="73">
        <ns0:v>8070.4041720990872</ns0:v>
      </ns0:c>
      <ns0:c r="L159" s="73">
        <ns0:v>5790.4583723105707</ns0:v>
      </ns0:c>
      <ns0:c r="M159" s="74" t="str">
        <ns0:f t="shared" si="27"/>
        <ns0:v>Ativo</ns0:v>
      </ns0:c>
      <ns0:c r="N159" s="74"/>
      <ns0:c r="O159" s="74"/>
      <ns0:c r="P159" s="77"/>
      <ns0:c r="Q159" s="74" t="str">
        <ns0:f t="shared" si="21"/>
        <ns0:v>Benchmark complementar / nova construção</ns0:v>
      </ns0:c>
      <ns0:c r="R159" s="74" t="s">
        <ns0:v>32</ns0:v>
      </ns0:c>
      <ns0:c r="S159" s="74"/>
      <ns0:c r="T159" s="74"/>
      <ns0:c r="U159" s="74"/>
      <ns0:c r="V159" s="74"/>
      <ns0:c r="W159" s="76" t="n">
        <ns0:f t="shared" si="28"/>
        <ns0:v>0.5</ns0:v>
      </ns0:c>
      <ns0:c r="X159" s="74" t="str">
        <ns0:f t="shared" si="29"/>
        <ns0:v>B · Benchmark complementar</ns0:v>
      </ns0:c>
      <ns0:c r="Y159" s="74" t="str">
        <ns0:f t="shared" si="30"/>
        <ns0:v>Baixa</ns0:v>
      </ns0:c>
      <ns0:c r="Z159" s="74" t="str">
        <ns0:v>Benchmark inferior/complementar; útil para piso de mercado, não para comandar o segmento premium.</ns0:v>
      </ns0:c>
      <ns0:c r="AA159" s="74" t="str">
        <ns0:f t="shared" si="31"/>
        <ns0:v>Revalidar disponibilidade e fonte quando houver nova campanha pública.</ns0:v>
      </ns0:c>
      <ns0:c r="AB159" s="74" t="str">
        <ns0:f t="shared" si="32"/>
        <ns0:v>Média</ns0:v>
      </ns0:c>
    </ns0:row>
    <ns0:row r="160">
      <ns0:c r="A160" s="71" t="s">
        <ns0:v>159</ns0:v>
      </ns0:c>
      <ns0:c r="B160" s="71" t="s">
        <ns0:v>168</ns0:v>
      </ns0:c>
      <ns0:c r="C160" s="71">
        <ns0:v>3</ns0:v>
      </ns0:c>
      <ns0:c r="D160" s="71" t="s">
        <ns0:v>31</ns0:v>
      </ns0:c>
      <ns0:c r="E160" s="71">
        <ns0:v>1</ns0:v>
      </ns0:c>
      <ns0:c r="F160" s="72">
        <ns0:v>81.25</ns0:v>
      </ns0:c>
      <ns0:c r="G160" s="72">
        <ns0:v>30.25</ns0:v>
      </ns0:c>
      <ns0:c r="H160" s="72">
        <ns0:v>111.5</ns0:v>
      </ns0:c>
      <ns0:c r="I160" s="73">
        <ns0:v>645000</ns0:v>
      </ns0:c>
      <ns0:c r="J160" s="71">
        <ns0:v>2026</ns0:v>
      </ns0:c>
      <ns0:c r="K160" s="73">
        <ns0:v>7938.4615384615381</ns0:v>
      </ns0:c>
      <ns0:c r="L160" s="73">
        <ns0:v>5784.7533632286995</ns0:v>
      </ns0:c>
      <ns0:c r="M160" s="74" t="str">
        <ns0:f t="shared" si="27"/>
        <ns0:v>Ativo</ns0:v>
      </ns0:c>
      <ns0:c r="N160" s="74"/>
      <ns0:c r="O160" s="74"/>
      <ns0:c r="P160" s="77"/>
      <ns0:c r="Q160" s="74" t="str">
        <ns0:f t="shared" si="21"/>
        <ns0:v>Benchmark complementar / nova construção</ns0:v>
      </ns0:c>
      <ns0:c r="R160" s="74" t="s">
        <ns0:v>32</ns0:v>
      </ns0:c>
      <ns0:c r="S160" s="74"/>
      <ns0:c r="T160" s="74"/>
      <ns0:c r="U160" s="74"/>
      <ns0:c r="V160" s="74"/>
      <ns0:c r="W160" s="76" t="n">
        <ns0:f t="shared" si="28"/>
        <ns0:v>0.5</ns0:v>
      </ns0:c>
      <ns0:c r="X160" s="74" t="str">
        <ns0:f t="shared" si="29"/>
        <ns0:v>B · Benchmark complementar</ns0:v>
      </ns0:c>
      <ns0:c r="Y160" s="74" t="str">
        <ns0:f t="shared" si="30"/>
        <ns0:v>Baixa</ns0:v>
      </ns0:c>
      <ns0:c r="Z160" s="74" t="str">
        <ns0:v>Benchmark inferior/complementar; útil para piso de mercado, não para comandar o segmento premium.</ns0:v>
      </ns0:c>
      <ns0:c r="AA160" s="74" t="str">
        <ns0:f t="shared" si="31"/>
        <ns0:v>Revalidar disponibilidade e fonte quando houver nova campanha pública.</ns0:v>
      </ns0:c>
      <ns0:c r="AB160" s="74" t="str">
        <ns0:f t="shared" si="32"/>
        <ns0:v>Média</ns0:v>
      </ns0:c>
    </ns0:row>
    <ns0:row r="161">
      <ns0:c r="A161" s="71" t="s">
        <ns0:v>159</ns0:v>
      </ns0:c>
      <ns0:c r="B161" s="71" t="s">
        <ns0:v>169</ns0:v>
      </ns0:c>
      <ns0:c r="C161" s="71">
        <ns0:v>3</ns0:v>
      </ns0:c>
      <ns0:c r="D161" s="71" t="s">
        <ns0:v>31</ns0:v>
      </ns0:c>
      <ns0:c r="E161" s="71">
        <ns0:v>2</ns0:v>
      </ns0:c>
      <ns0:c r="F161" s="72">
        <ns0:v>81.3</ns0:v>
      </ns0:c>
      <ns0:c r="G161" s="72">
        <ns0:v>12.100000000000009</ns0:v>
      </ns0:c>
      <ns0:c r="H161" s="72">
        <ns0:v>93.4</ns0:v>
      </ns0:c>
      <ns0:c r="I161" s="73">
        <ns0:v>540000</ns0:v>
      </ns0:c>
      <ns0:c r="J161" s="71">
        <ns0:v>2026</ns0:v>
      </ns0:c>
      <ns0:c r="K161" s="73">
        <ns0:v>6642.0664206642068</ns0:v>
      </ns0:c>
      <ns0:c r="L161" s="73">
        <ns0:v>5781.5845824411135</ns0:v>
      </ns0:c>
      <ns0:c r="M161" s="74" t="str">
        <ns0:f t="shared" si="27"/>
        <ns0:v>Ativo</ns0:v>
      </ns0:c>
      <ns0:c r="N161" s="74"/>
      <ns0:c r="O161" s="74"/>
      <ns0:c r="P161" s="77"/>
      <ns0:c r="Q161" s="74" t="str">
        <ns0:f t="shared" si="21"/>
        <ns0:v>Benchmark complementar / nova construção</ns0:v>
      </ns0:c>
      <ns0:c r="R161" s="74" t="s">
        <ns0:v>32</ns0:v>
      </ns0:c>
      <ns0:c r="S161" s="74"/>
      <ns0:c r="T161" s="74"/>
      <ns0:c r="U161" s="74"/>
      <ns0:c r="V161" s="74"/>
      <ns0:c r="W161" s="76" t="n">
        <ns0:f t="shared" si="28"/>
        <ns0:v>0.5</ns0:v>
      </ns0:c>
      <ns0:c r="X161" s="74" t="str">
        <ns0:f t="shared" si="29"/>
        <ns0:v>B · Benchmark complementar</ns0:v>
      </ns0:c>
      <ns0:c r="Y161" s="74" t="str">
        <ns0:f t="shared" si="30"/>
        <ns0:v>Baixa</ns0:v>
      </ns0:c>
      <ns0:c r="Z161" s="74" t="str">
        <ns0:v>Benchmark inferior/complementar; útil para piso de mercado, não para comandar o segmento premium.</ns0:v>
      </ns0:c>
      <ns0:c r="AA161" s="74" t="str">
        <ns0:f t="shared" si="31"/>
        <ns0:v>Revalidar disponibilidade e fonte quando houver nova campanha pública.</ns0:v>
      </ns0:c>
      <ns0:c r="AB161" s="74" t="str">
        <ns0:f t="shared" si="32"/>
        <ns0:v>Média</ns0:v>
      </ns0:c>
    </ns0:row>
    <ns0:row r="162">
      <ns0:c r="A162" s="71" t="s">
        <ns0:v>159</ns0:v>
      </ns0:c>
      <ns0:c r="B162" s="71" t="s">
        <ns0:v>170</ns0:v>
      </ns0:c>
      <ns0:c r="C162" s="71">
        <ns0:v>3</ns0:v>
      </ns0:c>
      <ns0:c r="D162" s="71" t="s">
        <ns0:v>31</ns0:v>
      </ns0:c>
      <ns0:c r="E162" s="71">
        <ns0:v>2</ns0:v>
      </ns0:c>
      <ns0:c r="F162" s="72">
        <ns0:v>106.85</ns0:v>
      </ns0:c>
      <ns0:c r="G162" s="72">
        <ns0:v>5.0000000000011369E-2</ns0:v>
      </ns0:c>
      <ns0:c r="H162" s="72">
        <ns0:v>106.9</ns0:v>
      </ns0:c>
      <ns0:c r="I162" s="73">
        <ns0:v>644000</ns0:v>
      </ns0:c>
      <ns0:c r="J162" s="71">
        <ns0:v>2026</ns0:v>
      </ns0:c>
      <ns0:c r="K162" s="73">
        <ns0:v>6027.1408516612073</ns0:v>
      </ns0:c>
      <ns0:c r="L162" s="73">
        <ns0:v>6024.3217960710945</ns0:v>
      </ns0:c>
      <ns0:c r="M162" s="74" t="str">
        <ns0:f t="shared" ref="M162:M225" si="33">IF(A162="The View","Projeto",IF(J162&gt;=2026,"Ativo",IF(J162=2025,"Rever","Histórico")))</ns0:f>
        <ns0:v>Ativo</ns0:v>
      </ns0:c>
      <ns0:c r="N162" s="74"/>
      <ns0:c r="O162" s="74"/>
      <ns0:c r="P162" s="77"/>
      <ns0:c r="Q162" s="74" t="str">
        <ns0:f t="shared" ref="Q162:Q198" si="34">IF(A162="The View","Projeto",IF(A162="Le Parc","Benchmark local",IF(OR(A162="Del Mar Waterfront",A162="Aura Living"),"Premium waterfront/marina","A classificar")))</ns0:f>
        <ns0:v>Benchmark complementar / nova construção</ns0:v>
      </ns0:c>
      <ns0:c r="R162" s="74" t="s">
        <ns0:v>32</ns0:v>
      </ns0:c>
      <ns0:c r="S162" s="74"/>
      <ns0:c r="T162" s="74"/>
      <ns0:c r="U162" s="74"/>
      <ns0:c r="V162" s="74"/>
      <ns0:c r="W162" s="76" t="n">
        <ns0:f t="shared" ref="W162:W173" si="35">IF(A162="The View",1,MAX(0.25,MIN(1,IF(J162&gt;=2026,1,IF(J162=2025,0.8,IF(J162=2024,0.45,0.3)))*IF(Q162="Premium waterfront/marina",1,IF(Q162="Benchmark local",0.7,0.6))*IF(M162="Vendido",0.65,IF(M162="Reservado",0.8,IF(M162="Histórico",0.55,1))))))</ns0:f>
        <ns0:v>0.5</ns0:v>
      </ns0:c>
      <ns0:c r="X162" s="74" t="str">
        <ns0:f t="shared" ref="X162:X173" si="36">IF(A162="The View","Projeto",IF(W162&gt;=0.85,"A · Premium ativo",IF(W162&gt;=0.55,"B · Benchmark local","C · Histórico/secundário")))</ns0:f>
        <ns0:v>B · Benchmark complementar</ns0:v>
      </ns0:c>
      <ns0:c r="Y162" s="74" t="str">
        <ns0:f t="shared" ref="Y162:Y173" si="37">IF(A162="The View","N/A",IF(AND(N162&lt;&gt;"",O162&lt;&gt;"",P162&lt;&gt;""),"Alta",IF(OR(N162&lt;&gt;"",O162&lt;&gt;"",P162&lt;&gt;""),"Média","Baixa")))</ns0:f>
        <ns0:v>Baixa</ns0:v>
      </ns0:c>
      <ns0:c r="Z162" s="74" t="str">
        <ns0:v>Benchmark inferior/complementar; útil para piso de mercado, não para comandar o segmento premium.</ns0:v>
      </ns0:c>
      <ns0:c r="AA162" s="74" t="str">
        <ns0:f t="shared" ref="AA162:AA173" si="38">IF(A162="The View","Manter",IF(J162&lt;2026,"Atualizar preço/status",IF(Y162="Baixa","Adicionar fonte/URL/data",IF(W162&lt;0.55,"Rever comparabilidade","OK"))))</ns0:f>
        <ns0:v>Revalidar disponibilidade e fonte quando houver nova campanha pública.</ns0:v>
      </ns0:c>
      <ns0:c r="AB162" s="74" t="str">
        <ns0:f t="shared" ref="AB162:AB173" si="39">IF(A162="The View","",IF(OR(J162&lt;2026,Y162="Baixa"),"Alta",IF(W162&lt;0.55,"Média","Baixa")))</ns0:f>
        <ns0:v>Média</ns0:v>
      </ns0:c>
    </ns0:row>
    <ns0:row r="163">
      <ns0:c r="A163" s="71" t="s">
        <ns0:v>159</ns0:v>
      </ns0:c>
      <ns0:c r="B163" s="71" t="s">
        <ns0:v>34</ns0:v>
      </ns0:c>
      <ns0:c r="C163" s="71" t="s">
        <ns0:v>30</ns0:v>
      </ns0:c>
      <ns0:c r="D163" s="71" t="s">
        <ns0:v>31</ns0:v>
      </ns0:c>
      <ns0:c r="E163" s="71">
        <ns0:v>3</ns0:v>
      </ns0:c>
      <ns0:c r="F163" s="72">
        <ns0:v>44.4</ns0:v>
      </ns0:c>
      <ns0:c r="G163" s="72">
        <ns0:v>10.600000000000001</ns0:v>
      </ns0:c>
      <ns0:c r="H163" s="72">
        <ns0:v>55</ns0:v>
      </ns0:c>
      <ns0:c r="I163" s="73">
        <ns0:v>445000</ns0:v>
      </ns0:c>
      <ns0:c r="J163" s="71">
        <ns0:v>2026</ns0:v>
      </ns0:c>
      <ns0:c r="K163" s="73">
        <ns0:v>10022.522522522522</ns0:v>
      </ns0:c>
      <ns0:c r="L163" s="73">
        <ns0:v>8090.909090909091</ns0:v>
      </ns0:c>
      <ns0:c r="M163" s="74" t="str">
        <ns0:f t="shared" si="33"/>
        <ns0:v>Ativo</ns0:v>
      </ns0:c>
      <ns0:c r="N163" s="74"/>
      <ns0:c r="O163" s="74"/>
      <ns0:c r="P163" s="77"/>
      <ns0:c r="Q163" s="74" t="str">
        <ns0:f t="shared" si="34"/>
        <ns0:v>Benchmark complementar / nova construção</ns0:v>
      </ns0:c>
      <ns0:c r="R163" s="74" t="s">
        <ns0:v>32</ns0:v>
      </ns0:c>
      <ns0:c r="S163" s="74"/>
      <ns0:c r="T163" s="74"/>
      <ns0:c r="U163" s="74"/>
      <ns0:c r="V163" s="74"/>
      <ns0:c r="W163" s="76" t="n">
        <ns0:f t="shared" si="35"/>
        <ns0:v>0.5</ns0:v>
      </ns0:c>
      <ns0:c r="X163" s="74" t="str">
        <ns0:f t="shared" si="36"/>
        <ns0:v>B · Benchmark complementar</ns0:v>
      </ns0:c>
      <ns0:c r="Y163" s="74" t="str">
        <ns0:f t="shared" si="37"/>
        <ns0:v>Baixa</ns0:v>
      </ns0:c>
      <ns0:c r="Z163" s="74" t="str">
        <ns0:v>Benchmark inferior/complementar; útil para piso de mercado, não para comandar o segmento premium.</ns0:v>
      </ns0:c>
      <ns0:c r="AA163" s="74" t="str">
        <ns0:f t="shared" si="38"/>
        <ns0:v>Revalidar disponibilidade e fonte quando houver nova campanha pública.</ns0:v>
      </ns0:c>
      <ns0:c r="AB163" s="74" t="str">
        <ns0:f t="shared" si="39"/>
        <ns0:v>Média</ns0:v>
      </ns0:c>
    </ns0:row>
    <ns0:row r="164">
      <ns0:c r="A164" s="71" t="s">
        <ns0:v>159</ns0:v>
      </ns0:c>
      <ns0:c r="B164" s="71" t="s">
        <ns0:v>35</ns0:v>
      </ns0:c>
      <ns0:c r="C164" s="71">
        <ns0:v>1</ns0:v>
      </ns0:c>
      <ns0:c r="D164" s="71" t="s">
        <ns0:v>64</ns0:v>
      </ns0:c>
      <ns0:c r="E164" s="71">
        <ns0:v>3</ns0:v>
      </ns0:c>
      <ns0:c r="F164" s="72">
        <ns0:v>62.6</ns0:v>
      </ns0:c>
      <ns0:c r="G164" s="72">
        <ns0:v>18.499999999999993</ns0:v>
      </ns0:c>
      <ns0:c r="H164" s="72">
        <ns0:v>81.099999999999994</ns0:v>
      </ns0:c>
      <ns0:c r="I164" s="73">
        <ns0:v>390000</ns0:v>
      </ns0:c>
      <ns0:c r="J164" s="71">
        <ns0:v>2026</ns0:v>
      </ns0:c>
      <ns0:c r="K164" s="73">
        <ns0:v>6230.0319488817886</ns0:v>
      </ns0:c>
      <ns0:c r="L164" s="73">
        <ns0:v>4808.8779284833545</ns0:v>
      </ns0:c>
      <ns0:c r="M164" s="74" t="str">
        <ns0:f t="shared" si="33"/>
        <ns0:v>Ativo</ns0:v>
      </ns0:c>
      <ns0:c r="N164" s="74"/>
      <ns0:c r="O164" s="74"/>
      <ns0:c r="P164" s="77"/>
      <ns0:c r="Q164" s="74" t="str">
        <ns0:f t="shared" si="34"/>
        <ns0:v>Benchmark complementar / nova construção</ns0:v>
      </ns0:c>
      <ns0:c r="R164" s="74" t="s">
        <ns0:v>32</ns0:v>
      </ns0:c>
      <ns0:c r="S164" s="74"/>
      <ns0:c r="T164" s="74"/>
      <ns0:c r="U164" s="74"/>
      <ns0:c r="V164" s="74"/>
      <ns0:c r="W164" s="76" t="n">
        <ns0:f t="shared" si="35"/>
        <ns0:v>0.5</ns0:v>
      </ns0:c>
      <ns0:c r="X164" s="74" t="str">
        <ns0:f t="shared" si="36"/>
        <ns0:v>B · Benchmark complementar</ns0:v>
      </ns0:c>
      <ns0:c r="Y164" s="74" t="str">
        <ns0:f t="shared" si="37"/>
        <ns0:v>Baixa</ns0:v>
      </ns0:c>
      <ns0:c r="Z164" s="74" t="str">
        <ns0:v>Benchmark inferior/complementar; útil para piso de mercado, não para comandar o segmento premium.</ns0:v>
      </ns0:c>
      <ns0:c r="AA164" s="74" t="str">
        <ns0:f t="shared" si="38"/>
        <ns0:v>Revalidar disponibilidade e fonte quando houver nova campanha pública.</ns0:v>
      </ns0:c>
      <ns0:c r="AB164" s="74" t="str">
        <ns0:f t="shared" si="39"/>
        <ns0:v>Média</ns0:v>
      </ns0:c>
    </ns0:row>
    <ns0:row r="165">
      <ns0:c r="A165" s="71" t="s">
        <ns0:v>159</ns0:v>
      </ns0:c>
      <ns0:c r="B165" s="71" t="s">
        <ns0:v>171</ns0:v>
      </ns0:c>
      <ns0:c r="C165" s="71">
        <ns0:v>1</ns0:v>
      </ns0:c>
      <ns0:c r="D165" s="71" t="s">
        <ns0:v>31</ns0:v>
      </ns0:c>
      <ns0:c r="E165" s="71">
        <ns0:v>3</ns0:v>
      </ns0:c>
      <ns0:c r="F165" s="72">
        <ns0:v>50.15</ns0:v>
      </ns0:c>
      <ns0:c r="G165" s="72">
        <ns0:v>18.050000000000004</ns0:v>
      </ns0:c>
      <ns0:c r="H165" s="72">
        <ns0:v>68.2</ns0:v>
      </ns0:c>
      <ns0:c r="I165" s="73">
        <ns0:v>350000</ns0:v>
      </ns0:c>
      <ns0:c r="J165" s="71">
        <ns0:v>2026</ns0:v>
      </ns0:c>
      <ns0:c r="K165" s="73">
        <ns0:v>6979.0628115653044</ns0:v>
      </ns0:c>
      <ns0:c r="L165" s="73">
        <ns0:v>5131.9648093841643</ns0:v>
      </ns0:c>
      <ns0:c r="M165" s="74" t="str">
        <ns0:f t="shared" si="33"/>
        <ns0:v>Ativo</ns0:v>
      </ns0:c>
      <ns0:c r="N165" s="74"/>
      <ns0:c r="O165" s="74"/>
      <ns0:c r="P165" s="77"/>
      <ns0:c r="Q165" s="74" t="str">
        <ns0:f t="shared" si="34"/>
        <ns0:v>Benchmark complementar / nova construção</ns0:v>
      </ns0:c>
      <ns0:c r="R165" s="74" t="s">
        <ns0:v>32</ns0:v>
      </ns0:c>
      <ns0:c r="S165" s="74"/>
      <ns0:c r="T165" s="74"/>
      <ns0:c r="U165" s="74"/>
      <ns0:c r="V165" s="74"/>
      <ns0:c r="W165" s="76" t="n">
        <ns0:f t="shared" si="35"/>
        <ns0:v>0.5</ns0:v>
      </ns0:c>
      <ns0:c r="X165" s="74" t="str">
        <ns0:f t="shared" si="36"/>
        <ns0:v>B · Benchmark complementar</ns0:v>
      </ns0:c>
      <ns0:c r="Y165" s="74" t="str">
        <ns0:f t="shared" si="37"/>
        <ns0:v>Baixa</ns0:v>
      </ns0:c>
      <ns0:c r="Z165" s="74" t="str">
        <ns0:v>Benchmark inferior/complementar; útil para piso de mercado, não para comandar o segmento premium.</ns0:v>
      </ns0:c>
      <ns0:c r="AA165" s="74" t="str">
        <ns0:f t="shared" si="38"/>
        <ns0:v>Revalidar disponibilidade e fonte quando houver nova campanha pública.</ns0:v>
      </ns0:c>
      <ns0:c r="AB165" s="74" t="str">
        <ns0:f t="shared" si="39"/>
        <ns0:v>Média</ns0:v>
      </ns0:c>
    </ns0:row>
    <ns0:row r="166">
      <ns0:c r="A166" s="71" t="s">
        <ns0:v>159</ns0:v>
      </ns0:c>
      <ns0:c r="B166" s="71" t="s">
        <ns0:v>172</ns0:v>
      </ns0:c>
      <ns0:c r="C166" s="71">
        <ns0:v>1</ns0:v>
      </ns0:c>
      <ns0:c r="D166" s="71" t="s">
        <ns0:v>31</ns0:v>
      </ns0:c>
      <ns0:c r="E166" s="71">
        <ns0:v>4</ns0:v>
      </ns0:c>
      <ns0:c r="F166" s="72">
        <ns0:v>50.15</ns0:v>
      </ns0:c>
      <ns0:c r="G166" s="72">
        <ns0:v>18.050000000000004</ns0:v>
      </ns0:c>
      <ns0:c r="H166" s="72">
        <ns0:v>68.2</ns0:v>
      </ns0:c>
      <ns0:c r="I166" s="73">
        <ns0:v>350000</ns0:v>
      </ns0:c>
      <ns0:c r="J166" s="71">
        <ns0:v>2026</ns0:v>
      </ns0:c>
      <ns0:c r="K166" s="73">
        <ns0:v>6979.0628115653044</ns0:v>
      </ns0:c>
      <ns0:c r="L166" s="73">
        <ns0:v>5131.9648093841643</ns0:v>
      </ns0:c>
      <ns0:c r="M166" s="74" t="str">
        <ns0:f t="shared" si="33"/>
        <ns0:v>Ativo</ns0:v>
      </ns0:c>
      <ns0:c r="N166" s="74"/>
      <ns0:c r="O166" s="74"/>
      <ns0:c r="P166" s="77"/>
      <ns0:c r="Q166" s="74" t="str">
        <ns0:f t="shared" si="34"/>
        <ns0:v>Benchmark complementar / nova construção</ns0:v>
      </ns0:c>
      <ns0:c r="R166" s="74" t="s">
        <ns0:v>32</ns0:v>
      </ns0:c>
      <ns0:c r="S166" s="74"/>
      <ns0:c r="T166" s="74"/>
      <ns0:c r="U166" s="74"/>
      <ns0:c r="V166" s="74"/>
      <ns0:c r="W166" s="76" t="n">
        <ns0:f t="shared" si="35"/>
        <ns0:v>0.5</ns0:v>
      </ns0:c>
      <ns0:c r="X166" s="74" t="str">
        <ns0:f t="shared" si="36"/>
        <ns0:v>B · Benchmark complementar</ns0:v>
      </ns0:c>
      <ns0:c r="Y166" s="74" t="str">
        <ns0:f t="shared" si="37"/>
        <ns0:v>Baixa</ns0:v>
      </ns0:c>
      <ns0:c r="Z166" s="74" t="str">
        <ns0:v>Benchmark inferior/complementar; útil para piso de mercado, não para comandar o segmento premium.</ns0:v>
      </ns0:c>
      <ns0:c r="AA166" s="74" t="str">
        <ns0:f t="shared" si="38"/>
        <ns0:v>Revalidar disponibilidade e fonte quando houver nova campanha pública.</ns0:v>
      </ns0:c>
      <ns0:c r="AB166" s="74" t="str">
        <ns0:f t="shared" si="39"/>
        <ns0:v>Média</ns0:v>
      </ns0:c>
    </ns0:row>
    <ns0:row r="167">
      <ns0:c r="A167" s="71" t="s">
        <ns0:v>159</ns0:v>
      </ns0:c>
      <ns0:c r="B167" s="71" t="s">
        <ns0:v>36</ns0:v>
      </ns0:c>
      <ns0:c r="C167" s="71">
        <ns0:v>1</ns0:v>
      </ns0:c>
      <ns0:c r="D167" s="71" t="s">
        <ns0:v>64</ns0:v>
      </ns0:c>
      <ns0:c r="E167" s="71">
        <ns0:v>4</ns0:v>
      </ns0:c>
      <ns0:c r="F167" s="72">
        <ns0:v>62.6</ns0:v>
      </ns0:c>
      <ns0:c r="G167" s="72">
        <ns0:v>18.499999999999993</ns0:v>
      </ns0:c>
      <ns0:c r="H167" s="72">
        <ns0:v>81.099999999999994</ns0:v>
      </ns0:c>
      <ns0:c r="I167" s="73">
        <ns0:v>395000</ns0:v>
      </ns0:c>
      <ns0:c r="J167" s="71">
        <ns0:v>2026</ns0:v>
      </ns0:c>
      <ns0:c r="K167" s="73">
        <ns0:v>6309.9041533546324</ns0:v>
      </ns0:c>
      <ns0:c r="L167" s="73">
        <ns0:v>4870.5302096177566</ns0:v>
      </ns0:c>
      <ns0:c r="M167" s="74" t="str">
        <ns0:f t="shared" si="33"/>
        <ns0:v>Ativo</ns0:v>
      </ns0:c>
      <ns0:c r="N167" s="74"/>
      <ns0:c r="O167" s="74"/>
      <ns0:c r="P167" s="77"/>
      <ns0:c r="Q167" s="74" t="str">
        <ns0:f t="shared" si="34"/>
        <ns0:v>Benchmark complementar / nova construção</ns0:v>
      </ns0:c>
      <ns0:c r="R167" s="74" t="s">
        <ns0:v>32</ns0:v>
      </ns0:c>
      <ns0:c r="S167" s="74"/>
      <ns0:c r="T167" s="74"/>
      <ns0:c r="U167" s="74"/>
      <ns0:c r="V167" s="74"/>
      <ns0:c r="W167" s="76" t="n">
        <ns0:f t="shared" si="35"/>
        <ns0:v>0.5</ns0:v>
      </ns0:c>
      <ns0:c r="X167" s="74" t="str">
        <ns0:f t="shared" si="36"/>
        <ns0:v>B · Benchmark complementar</ns0:v>
      </ns0:c>
      <ns0:c r="Y167" s="74" t="str">
        <ns0:f t="shared" si="37"/>
        <ns0:v>Baixa</ns0:v>
      </ns0:c>
      <ns0:c r="Z167" s="74" t="str">
        <ns0:v>Benchmark inferior/complementar; útil para piso de mercado, não para comandar o segmento premium.</ns0:v>
      </ns0:c>
      <ns0:c r="AA167" s="74" t="str">
        <ns0:f t="shared" si="38"/>
        <ns0:v>Revalidar disponibilidade e fonte quando houver nova campanha pública.</ns0:v>
      </ns0:c>
      <ns0:c r="AB167" s="74" t="str">
        <ns0:f t="shared" si="39"/>
        <ns0:v>Média</ns0:v>
      </ns0:c>
    </ns0:row>
    <ns0:row r="168">
      <ns0:c r="A168" s="71" t="s">
        <ns0:v>159</ns0:v>
      </ns0:c>
      <ns0:c r="B168" s="71" t="s">
        <ns0:v>37</ns0:v>
      </ns0:c>
      <ns0:c r="C168" s="71">
        <ns0:v>2</ns0:v>
      </ns0:c>
      <ns0:c r="D168" s="71" t="s">
        <ns0:v>64</ns0:v>
      </ns0:c>
      <ns0:c r="E168" s="71">
        <ns0:v>4</ns0:v>
      </ns0:c>
      <ns0:c r="F168" s="72">
        <ns0:v>62.6</ns0:v>
      </ns0:c>
      <ns0:c r="G168" s="72">
        <ns0:v>18.499999999999993</ns0:v>
      </ns0:c>
      <ns0:c r="H168" s="72">
        <ns0:v>81.099999999999994</ns0:v>
      </ns0:c>
      <ns0:c r="I168" s="73">
        <ns0:v>420000</ns0:v>
      </ns0:c>
      <ns0:c r="J168" s="71">
        <ns0:v>2026</ns0:v>
      </ns0:c>
      <ns0:c r="K168" s="73">
        <ns0:v>6709.2651757188496</ns0:v>
      </ns0:c>
      <ns0:c r="L168" s="73">
        <ns0:v>5178.791615289766</ns0:v>
      </ns0:c>
      <ns0:c r="M168" s="74" t="str">
        <ns0:f t="shared" si="33"/>
        <ns0:v>Ativo</ns0:v>
      </ns0:c>
      <ns0:c r="N168" s="74"/>
      <ns0:c r="O168" s="74"/>
      <ns0:c r="P168" s="77"/>
      <ns0:c r="Q168" s="74" t="str">
        <ns0:f t="shared" si="34"/>
        <ns0:v>Benchmark complementar / nova construção</ns0:v>
      </ns0:c>
      <ns0:c r="R168" s="74" t="s">
        <ns0:v>32</ns0:v>
      </ns0:c>
      <ns0:c r="S168" s="74"/>
      <ns0:c r="T168" s="74"/>
      <ns0:c r="U168" s="74"/>
      <ns0:c r="V168" s="74"/>
      <ns0:c r="W168" s="76" t="n">
        <ns0:f t="shared" si="35"/>
        <ns0:v>0.5</ns0:v>
      </ns0:c>
      <ns0:c r="X168" s="74" t="str">
        <ns0:f t="shared" si="36"/>
        <ns0:v>B · Benchmark complementar</ns0:v>
      </ns0:c>
      <ns0:c r="Y168" s="74" t="str">
        <ns0:f t="shared" si="37"/>
        <ns0:v>Baixa</ns0:v>
      </ns0:c>
      <ns0:c r="Z168" s="74" t="str">
        <ns0:v>Benchmark inferior/complementar; útil para piso de mercado, não para comandar o segmento premium.</ns0:v>
      </ns0:c>
      <ns0:c r="AA168" s="74" t="str">
        <ns0:f t="shared" si="38"/>
        <ns0:v>Revalidar disponibilidade e fonte quando houver nova campanha pública.</ns0:v>
      </ns0:c>
      <ns0:c r="AB168" s="74" t="str">
        <ns0:f t="shared" si="39"/>
        <ns0:v>Média</ns0:v>
      </ns0:c>
    </ns0:row>
    <ns0:row r="169">
      <ns0:c r="A169" s="71" t="s">
        <ns0:v>159</ns0:v>
      </ns0:c>
      <ns0:c r="B169" s="71" t="s">
        <ns0:v>43</ns0:v>
      </ns0:c>
      <ns0:c r="C169" s="71" t="s">
        <ns0:v>30</ns0:v>
      </ns0:c>
      <ns0:c r="D169" s="71" t="s">
        <ns0:v>64</ns0:v>
      </ns0:c>
      <ns0:c r="E169" s="71">
        <ns0:v>2</ns0:v>
      </ns0:c>
      <ns0:c r="F169" s="72">
        <ns0:v>92.7</ns0:v>
      </ns0:c>
      <ns0:c r="G169" s="72">
        <ns0:v>30.25</ns0:v>
      </ns0:c>
      <ns0:c r="H169" s="72">
        <ns0:v>122.95</ns0:v>
      </ns0:c>
      <ns0:c r="I169" s="73">
        <ns0:v>559000</ns0:v>
      </ns0:c>
      <ns0:c r="J169" s="71">
        <ns0:v>2026</ns0:v>
      </ns0:c>
      <ns0:c r="K169" s="73">
        <ns0:v>6030.2049622437971</ns0:v>
      </ns0:c>
      <ns0:c r="L169" s="73">
        <ns0:v>4546.563643757625</ns0:v>
      </ns0:c>
      <ns0:c r="M169" s="74" t="str">
        <ns0:f t="shared" si="33"/>
        <ns0:v>Ativo</ns0:v>
      </ns0:c>
      <ns0:c r="N169" s="74"/>
      <ns0:c r="O169" s="74"/>
      <ns0:c r="P169" s="77"/>
      <ns0:c r="Q169" s="74" t="str">
        <ns0:f t="shared" si="34"/>
        <ns0:v>Benchmark complementar / nova construção</ns0:v>
      </ns0:c>
      <ns0:c r="R169" s="74" t="s">
        <ns0:v>32</ns0:v>
      </ns0:c>
      <ns0:c r="S169" s="74"/>
      <ns0:c r="T169" s="74"/>
      <ns0:c r="U169" s="74"/>
      <ns0:c r="V169" s="74"/>
      <ns0:c r="W169" s="76" t="n">
        <ns0:f t="shared" si="35"/>
        <ns0:v>0.5</ns0:v>
      </ns0:c>
      <ns0:c r="X169" s="74" t="str">
        <ns0:f t="shared" si="36"/>
        <ns0:v>B · Benchmark complementar</ns0:v>
      </ns0:c>
      <ns0:c r="Y169" s="74" t="str">
        <ns0:f t="shared" si="37"/>
        <ns0:v>Baixa</ns0:v>
      </ns0:c>
      <ns0:c r="Z169" s="74" t="str">
        <ns0:v>Benchmark inferior/complementar; útil para piso de mercado, não para comandar o segmento premium.</ns0:v>
      </ns0:c>
      <ns0:c r="AA169" s="74" t="str">
        <ns0:f t="shared" si="38"/>
        <ns0:v>Revalidar disponibilidade e fonte quando houver nova campanha pública.</ns0:v>
      </ns0:c>
      <ns0:c r="AB169" s="74" t="str">
        <ns0:f t="shared" si="39"/>
        <ns0:v>Média</ns0:v>
      </ns0:c>
    </ns0:row>
    <ns0:row r="170">
      <ns0:c r="A170" s="71" t="s">
        <ns0:v>159</ns0:v>
      </ns0:c>
      <ns0:c r="B170" s="71" t="s">
        <ns0:v>44</ns0:v>
      </ns0:c>
      <ns0:c r="C170" s="71" t="s">
        <ns0:v>30</ns0:v>
      </ns0:c>
      <ns0:c r="D170" s="71" t="s">
        <ns0:v>64</ns0:v>
      </ns0:c>
      <ns0:c r="E170" s="71">
        <ns0:v>3</ns0:v>
      </ns0:c>
      <ns0:c r="F170" s="72">
        <ns0:v>99.9</ns0:v>
      </ns0:c>
      <ns0:c r="G170" s="72">
        <ns0:v>30.150000000000006</ns0:v>
      </ns0:c>
      <ns0:c r="H170" s="72">
        <ns0:v>130.05000000000001</ns0:v>
      </ns0:c>
      <ns0:c r="I170" s="73">
        <ns0:v>599000</ns0:v>
      </ns0:c>
      <ns0:c r="J170" s="71">
        <ns0:v>2026</ns0:v>
      </ns0:c>
      <ns0:c r="K170" s="73">
        <ns0:v>5995.9959959959961</ns0:v>
      </ns0:c>
      <ns0:c r="L170" s="73">
        <ns0:v>4605.9207996924251</ns0:v>
      </ns0:c>
      <ns0:c r="M170" s="74" t="str">
        <ns0:f t="shared" si="33"/>
        <ns0:v>Ativo</ns0:v>
      </ns0:c>
      <ns0:c r="N170" s="74"/>
      <ns0:c r="O170" s="74"/>
      <ns0:c r="P170" s="77"/>
      <ns0:c r="Q170" s="74" t="str">
        <ns0:f t="shared" si="34"/>
        <ns0:v>Benchmark complementar / nova construção</ns0:v>
      </ns0:c>
      <ns0:c r="R170" s="74" t="s">
        <ns0:v>32</ns0:v>
      </ns0:c>
      <ns0:c r="S170" s="74"/>
      <ns0:c r="T170" s="74"/>
      <ns0:c r="U170" s="74"/>
      <ns0:c r="V170" s="74"/>
      <ns0:c r="W170" s="76" t="n">
        <ns0:f t="shared" si="35"/>
        <ns0:v>0.5</ns0:v>
      </ns0:c>
      <ns0:c r="X170" s="74" t="str">
        <ns0:f t="shared" si="36"/>
        <ns0:v>B · Benchmark complementar</ns0:v>
      </ns0:c>
      <ns0:c r="Y170" s="74" t="str">
        <ns0:f t="shared" si="37"/>
        <ns0:v>Baixa</ns0:v>
      </ns0:c>
      <ns0:c r="Z170" s="74" t="str">
        <ns0:v>Benchmark inferior/complementar; útil para piso de mercado, não para comandar o segmento premium.</ns0:v>
      </ns0:c>
      <ns0:c r="AA170" s="74" t="str">
        <ns0:f t="shared" si="38"/>
        <ns0:v>Revalidar disponibilidade e fonte quando houver nova campanha pública.</ns0:v>
      </ns0:c>
      <ns0:c r="AB170" s="74" t="str">
        <ns0:f t="shared" si="39"/>
        <ns0:v>Média</ns0:v>
      </ns0:c>
    </ns0:row>
    <ns0:row r="171">
      <ns0:c r="A171" s="71" t="s">
        <ns0:v>159</ns0:v>
      </ns0:c>
      <ns0:c r="B171" s="71" t="s">
        <ns0:v>173</ns0:v>
      </ns0:c>
      <ns0:c r="C171" s="71">
        <ns0:v>4</ns0:v>
      </ns0:c>
      <ns0:c r="D171" s="71" t="s">
        <ns0:v>31</ns0:v>
      </ns0:c>
      <ns0:c r="E171" s="71">
        <ns0:v>1</ns0:v>
      </ns0:c>
      <ns0:c r="F171" s="72">
        <ns0:v>81.25</ns0:v>
      </ns0:c>
      <ns0:c r="G171" s="72">
        <ns0:v>30.25</ns0:v>
      </ns0:c>
      <ns0:c r="H171" s="72">
        <ns0:v>111.5</ns0:v>
      </ns0:c>
      <ns0:c r="I171" s="73">
        <ns0:v>675000</ns0:v>
      </ns0:c>
      <ns0:c r="J171" s="71">
        <ns0:v>2026</ns0:v>
      </ns0:c>
      <ns0:c r="K171" s="73">
        <ns0:v>8307.6923076923085</ns0:v>
      </ns0:c>
      <ns0:c r="L171" s="73">
        <ns0:v>6053.8116591928247</ns0:v>
      </ns0:c>
      <ns0:c r="M171" s="74" t="str">
        <ns0:f t="shared" si="33"/>
        <ns0:v>Ativo</ns0:v>
      </ns0:c>
      <ns0:c r="N171" s="74"/>
      <ns0:c r="O171" s="74"/>
      <ns0:c r="P171" s="77"/>
      <ns0:c r="Q171" s="74" t="str">
        <ns0:f t="shared" si="34"/>
        <ns0:v>Benchmark complementar / nova construção</ns0:v>
      </ns0:c>
      <ns0:c r="R171" s="74" t="s">
        <ns0:v>32</ns0:v>
      </ns0:c>
      <ns0:c r="S171" s="74"/>
      <ns0:c r="T171" s="74"/>
      <ns0:c r="U171" s="74"/>
      <ns0:c r="V171" s="74"/>
      <ns0:c r="W171" s="76" t="n">
        <ns0:f t="shared" si="35"/>
        <ns0:v>0.5</ns0:v>
      </ns0:c>
      <ns0:c r="X171" s="74" t="str">
        <ns0:f t="shared" si="36"/>
        <ns0:v>B · Benchmark complementar</ns0:v>
      </ns0:c>
      <ns0:c r="Y171" s="74" t="str">
        <ns0:f t="shared" si="37"/>
        <ns0:v>Baixa</ns0:v>
      </ns0:c>
      <ns0:c r="Z171" s="74" t="str">
        <ns0:v>Benchmark inferior/complementar; útil para piso de mercado, não para comandar o segmento premium.</ns0:v>
      </ns0:c>
      <ns0:c r="AA171" s="74" t="str">
        <ns0:f t="shared" si="38"/>
        <ns0:v>Revalidar disponibilidade e fonte quando houver nova campanha pública.</ns0:v>
      </ns0:c>
      <ns0:c r="AB171" s="74" t="str">
        <ns0:f t="shared" si="39"/>
        <ns0:v>Média</ns0:v>
      </ns0:c>
    </ns0:row>
    <ns0:row r="172">
      <ns0:c r="A172" s="71" t="s">
        <ns0:v>159</ns0:v>
      </ns0:c>
      <ns0:c r="B172" s="71" t="s">
        <ns0:v>174</ns0:v>
      </ns0:c>
      <ns0:c r="C172" s="71">
        <ns0:v>4</ns0:v>
      </ns0:c>
      <ns0:c r="D172" s="71" t="s">
        <ns0:v>31</ns0:v>
      </ns0:c>
      <ns0:c r="E172" s="71">
        <ns0:v>1</ns0:v>
      </ns0:c>
      <ns0:c r="F172" s="72">
        <ns0:v>81.3</ns0:v>
      </ns0:c>
      <ns0:c r="G172" s="72">
        <ns0:v>40.200000000000003</ns0:v>
      </ns0:c>
      <ns0:c r="H172" s="72">
        <ns0:v>121.5</ns0:v>
      </ns0:c>
      <ns0:c r="I172" s="73">
        <ns0:v>570000</ns0:v>
      </ns0:c>
      <ns0:c r="J172" s="71">
        <ns0:v>2026</ns0:v>
      </ns0:c>
      <ns0:c r="K172" s="73">
        <ns0:v>7011.0701107011073</ns0:v>
      </ns0:c>
      <ns0:c r="L172" s="73">
        <ns0:v>4691.358024691358</ns0:v>
      </ns0:c>
      <ns0:c r="M172" s="74" t="str">
        <ns0:f t="shared" si="33"/>
        <ns0:v>Ativo</ns0:v>
      </ns0:c>
      <ns0:c r="N172" s="74"/>
      <ns0:c r="O172" s="74"/>
      <ns0:c r="P172" s="77"/>
      <ns0:c r="Q172" s="74" t="str">
        <ns0:f t="shared" si="34"/>
        <ns0:v>Benchmark complementar / nova construção</ns0:v>
      </ns0:c>
      <ns0:c r="R172" s="74" t="s">
        <ns0:v>32</ns0:v>
      </ns0:c>
      <ns0:c r="S172" s="74"/>
      <ns0:c r="T172" s="74"/>
      <ns0:c r="U172" s="74"/>
      <ns0:c r="V172" s="74"/>
      <ns0:c r="W172" s="76" t="n">
        <ns0:f t="shared" si="35"/>
        <ns0:v>0.5</ns0:v>
      </ns0:c>
      <ns0:c r="X172" s="74" t="str">
        <ns0:f t="shared" si="36"/>
        <ns0:v>B · Benchmark complementar</ns0:v>
      </ns0:c>
      <ns0:c r="Y172" s="74" t="str">
        <ns0:f t="shared" si="37"/>
        <ns0:v>Baixa</ns0:v>
      </ns0:c>
      <ns0:c r="Z172" s="74" t="str">
        <ns0:v>Benchmark inferior/complementar; útil para piso de mercado, não para comandar o segmento premium.</ns0:v>
      </ns0:c>
      <ns0:c r="AA172" s="74" t="str">
        <ns0:f t="shared" si="38"/>
        <ns0:v>Revalidar disponibilidade e fonte quando houver nova campanha pública.</ns0:v>
      </ns0:c>
      <ns0:c r="AB172" s="74" t="str">
        <ns0:f t="shared" si="39"/>
        <ns0:v>Média</ns0:v>
      </ns0:c>
    </ns0:row>
    <ns0:row r="173">
      <ns0:c r="A173" s="71" t="s">
        <ns0:v>159</ns0:v>
      </ns0:c>
      <ns0:c r="B173" s="71" t="s">
        <ns0:v>175</ns0:v>
      </ns0:c>
      <ns0:c r="C173" s="71">
        <ns0:v>4</ns0:v>
      </ns0:c>
      <ns0:c r="D173" s="71" t="s">
        <ns0:v>31</ns0:v>
      </ns0:c>
      <ns0:c r="E173" s="71">
        <ns0:v>2</ns0:v>
      </ns0:c>
      <ns0:c r="F173" s="72">
        <ns0:v>76.7</ns0:v>
      </ns0:c>
      <ns0:c r="G173" s="72">
        <ns0:v>84.8</ns0:v>
      </ns0:c>
      <ns0:c r="H173" s="72">
        <ns0:v>161.5</ns0:v>
      </ns0:c>
      <ns0:c r="I173" s="73">
        <ns0:v>674000</ns0:v>
      </ns0:c>
      <ns0:c r="J173" s="71">
        <ns0:v>2026</ns0:v>
      </ns0:c>
      <ns0:c r="K173" s="73">
        <ns0:v>8787.4837027379399</ns0:v>
      </ns0:c>
      <ns0:c r="L173" s="73">
        <ns0:v>4173.3746130030959</ns0:v>
      </ns0:c>
      <ns0:c r="M173" s="74" t="str">
        <ns0:f t="shared" si="33"/>
        <ns0:v>Ativo</ns0:v>
      </ns0:c>
      <ns0:c r="N173" s="74"/>
      <ns0:c r="O173" s="74"/>
      <ns0:c r="P173" s="77"/>
      <ns0:c r="Q173" s="74" t="str">
        <ns0:f t="shared" si="34"/>
        <ns0:v>Benchmark complementar / nova construção</ns0:v>
      </ns0:c>
      <ns0:c r="R173" s="74" t="s">
        <ns0:v>32</ns0:v>
      </ns0:c>
      <ns0:c r="S173" s="74"/>
      <ns0:c r="T173" s="74"/>
      <ns0:c r="U173" s="74"/>
      <ns0:c r="V173" s="74"/>
      <ns0:c r="W173" s="76" t="n">
        <ns0:f t="shared" si="35"/>
        <ns0:v>0.5</ns0:v>
      </ns0:c>
      <ns0:c r="X173" s="74" t="str">
        <ns0:f t="shared" si="36"/>
        <ns0:v>B · Benchmark complementar</ns0:v>
      </ns0:c>
      <ns0:c r="Y173" s="74" t="str">
        <ns0:f t="shared" si="37"/>
        <ns0:v>Baixa</ns0:v>
      </ns0:c>
      <ns0:c r="Z173" s="74" t="str">
        <ns0:v>Benchmark inferior/complementar; útil para piso de mercado, não para comandar o segmento premium.</ns0:v>
      </ns0:c>
      <ns0:c r="AA173" s="74" t="str">
        <ns0:f t="shared" si="38"/>
        <ns0:v>Revalidar disponibilidade e fonte quando houver nova campanha pública.</ns0:v>
      </ns0:c>
      <ns0:c r="AB173" s="74" t="str">
        <ns0:f t="shared" si="39"/>
        <ns0:v>Média</ns0:v>
      </ns0:c>
    </ns0:row>
    <ns0:row r="174">
      <ns0:c r="A174" s="71" t="s">
        <ns0:v>176</ns0:v>
      </ns0:c>
      <ns0:c r="B174" s="71" t="s">
        <ns0:v>177</ns0:v>
      </ns0:c>
      <ns0:c r="C174" s="71">
        <ns0:v>0</ns0:v>
      </ns0:c>
      <ns0:c r="D174" s="71" t="s">
        <ns0:v>31</ns0:v>
      </ns0:c>
      <ns0:c r="E174" s="74">
        <ns0:v>4</ns0:v>
      </ns0:c>
      <ns0:c r="F174" s="72">
        <ns0:v>91.55</ns0:v>
      </ns0:c>
      <ns0:c r="G174" s="72">
        <ns0:v>38.85</ns0:v>
      </ns0:c>
      <ns0:c r="H174" s="72">
        <ns0:v>130.4</ns0:v>
      </ns0:c>
      <ns0:c r="I174" s="73">
        <ns0:v>400000</ns0:v>
      </ns0:c>
      <ns0:c r="J174" s="71">
        <ns0:v>2024</ns0:v>
      </ns0:c>
      <ns0:c r="K174" s="73">
        <ns0:v>4369.1971600218458</ns0:v>
      </ns0:c>
      <ns0:c r="L174" s="73">
        <ns0:v>3067.4846625766868</ns0:v>
      </ns0:c>
      <ns0:c r="M174" s="74" t="str">
        <ns0:f t="shared" si="33"/>
        <ns0:v>Histórico</ns0:v>
      </ns0:c>
      <ns0:c r="N174" s="74"/>
      <ns0:c r="O174" s="74"/>
      <ns0:c r="P174" s="77"/>
      <ns0:c r="Q174" s="74" t="s">
        <ns0:v>178</ns0:v>
      </ns0:c>
      <ns0:c r="R174" s="74"/>
      <ns0:c r="S174" s="74"/>
      <ns0:c r="T174" s="74"/>
      <ns0:c r="U174" s="74"/>
      <ns0:c r="V174" s="74"/>
      <ns0:c r="W174" s="76" t="n">
        <ns0:f t="shared" ref="W174:W237" si="40">IF(A174="The View",1,MAX(0.25,MIN(1,IF(J174&gt;=2026,1,IF(J174=2025,0.8,IF(J174=2024,0.45,0.3)))*IF(Q174="Premium waterfront/marina",1,IF(Q174="Benchmark local",0.7,0.6))*IF(M174="Vendido",0.65,IF(M174="Reservado",0.8,IF(M174="Histórico",0.55,1))))))</ns0:f>
        <ns0:v>0.2</ns0:v>
      </ns0:c>
      <ns0:c r="X174" s="74" t="str">
        <ns0:f t="shared" ref="X174:X237" si="41">IF(A174="The View","Projeto",IF(W174&gt;=0.85,"A · Premium ativo",IF(W174&gt;=0.55,"B · Benchmark local","C · Histórico/secundário")))</ns0:f>
        <ns0:v>C · Histórico/secundário</ns0:v>
      </ns0:c>
      <ns0:c r="Y174" s="74"/>
      <ns0:c r="Z174" s="74"/>
      <ns0:c r="AA174" s="74"/>
      <ns0:c r="AB174" s="74"/>
    </ns0:row>
    <ns0:row r="175">
      <ns0:c r="A175" s="71" t="s">
        <ns0:v>176</ns0:v>
      </ns0:c>
      <ns0:c r="B175" s="71" t="s">
        <ns0:v>179</ns0:v>
      </ns0:c>
      <ns0:c r="C175" s="71">
        <ns0:v>0</ns0:v>
      </ns0:c>
      <ns0:c r="D175" s="71" t="s">
        <ns0:v>64</ns0:v>
      </ns0:c>
      <ns0:c r="E175" s="74">
        <ns0:v>4</ns0:v>
      </ns0:c>
      <ns0:c r="F175" s="72">
        <ns0:v>110.1</ns0:v>
      </ns0:c>
      <ns0:c r="G175" s="72">
        <ns0:v>44.2</ns0:v>
      </ns0:c>
      <ns0:c r="H175" s="72">
        <ns0:v>154.30000000000001</ns0:v>
      </ns0:c>
      <ns0:c r="I175" s="73">
        <ns0:v>500000</ns0:v>
      </ns0:c>
      <ns0:c r="J175" s="71">
        <ns0:v>2024</ns0:v>
      </ns0:c>
      <ns0:c r="K175" s="73">
        <ns0:v>4541.3260672116257</ns0:v>
      </ns0:c>
      <ns0:c r="L175" s="73">
        <ns0:v>3240.4406999351909</ns0:v>
      </ns0:c>
      <ns0:c r="M175" s="74" t="str">
        <ns0:f t="shared" si="33"/>
        <ns0:v>Histórico</ns0:v>
      </ns0:c>
      <ns0:c r="N175" s="74"/>
      <ns0:c r="O175" s="74"/>
      <ns0:c r="P175" s="77"/>
      <ns0:c r="Q175" s="74" t="str">
        <ns0:f t="shared" si="34"/>
        <ns0:v>A classificar</ns0:v>
      </ns0:c>
      <ns0:c r="R175" s="74"/>
      <ns0:c r="S175" s="74"/>
      <ns0:c r="T175" s="74"/>
      <ns0:c r="U175" s="74"/>
      <ns0:c r="V175" s="74"/>
      <ns0:c r="W175" s="76" t="n">
        <ns0:f t="shared" si="40"/>
        <ns0:v>0.2</ns0:v>
      </ns0:c>
      <ns0:c r="X175" s="74" t="str">
        <ns0:f t="shared" si="41"/>
        <ns0:v>C · Histórico/secundário</ns0:v>
      </ns0:c>
      <ns0:c r="Y175" s="74"/>
      <ns0:c r="Z175" s="74"/>
      <ns0:c r="AA175" s="74"/>
      <ns0:c r="AB175" s="74"/>
    </ns0:row>
    <ns0:row r="176">
      <ns0:c r="A176" s="71" t="s">
        <ns0:v>176</ns0:v>
      </ns0:c>
      <ns0:c r="B176" s="71" t="s">
        <ns0:v>180</ns0:v>
      </ns0:c>
      <ns0:c r="C176" s="71">
        <ns0:v>0</ns0:v>
      </ns0:c>
      <ns0:c r="D176" s="71" t="s">
        <ns0:v>64</ns0:v>
      </ns0:c>
      <ns0:c r="E176" s="74">
        <ns0:v>4</ns0:v>
      </ns0:c>
      <ns0:c r="F176" s="72">
        <ns0:v>111.1</ns0:v>
      </ns0:c>
      <ns0:c r="G176" s="72">
        <ns0:v>44.2</ns0:v>
      </ns0:c>
      <ns0:c r="H176" s="72">
        <ns0:v>155.30000000000001</ns0:v>
      </ns0:c>
      <ns0:c r="I176" s="73">
        <ns0:v>535500</ns0:v>
      </ns0:c>
      <ns0:c r="J176" s="71">
        <ns0:v>2026</ns0:v>
      </ns0:c>
      <ns0:c r="K176" s="73">
        <ns0:v>4410.441044104411</ns0:v>
      </ns0:c>
      <ns0:c r="L176" s="73">
        <ns0:v>3155.1835157759174</ns0:v>
      </ns0:c>
      <ns0:c r="M176" s="74" t="str">
        <ns0:f t="shared" si="33"/>
        <ns0:v>Ativo</ns0:v>
      </ns0:c>
      <ns0:c r="N176" s="74"/>
      <ns0:c r="O176" s="74"/>
      <ns0:c r="P176" s="77"/>
      <ns0:c r="Q176" s="74" t="str">
        <ns0:f t="shared" si="34"/>
        <ns0:v>A classificar</ns0:v>
      </ns0:c>
      <ns0:c r="R176" s="74"/>
      <ns0:c r="S176" s="74"/>
      <ns0:c r="T176" s="74"/>
      <ns0:c r="U176" s="74"/>
      <ns0:c r="V176" s="74"/>
      <ns0:c r="W176" s="76">
        <ns0:f t="shared" si="40"/>
        <ns0:v>0.6</ns0:v>
      </ns0:c>
      <ns0:c r="X176" s="74" t="str">
        <ns0:f t="shared" si="41"/>
        <ns0:v>B · Benchmark local</ns0:v>
      </ns0:c>
      <ns0:c r="Y176" s="74"/>
      <ns0:c r="Z176" s="74"/>
      <ns0:c r="AA176" s="74"/>
      <ns0:c r="AB176" s="74"/>
    </ns0:row>
    <ns0:row r="177">
      <ns0:c r="A177" s="71" t="s">
        <ns0:v>176</ns0:v>
      </ns0:c>
      <ns0:c r="B177" s="71" t="s">
        <ns0:v>181</ns0:v>
      </ns0:c>
      <ns0:c r="C177" s="71">
        <ns0:v>0</ns0:v>
      </ns0:c>
      <ns0:c r="D177" s="71" t="s">
        <ns0:v>64</ns0:v>
      </ns0:c>
      <ns0:c r="E177" s="74">
        <ns0:v>4</ns0:v>
      </ns0:c>
      <ns0:c r="F177" s="72">
        <ns0:v>111.1</ns0:v>
      </ns0:c>
      <ns0:c r="G177" s="72">
        <ns0:v>44.2</ns0:v>
      </ns0:c>
      <ns0:c r="H177" s="72">
        <ns0:v>155.30000000000001</ns0:v>
      </ns0:c>
      <ns0:c r="I177" s="73">
        <ns0:v>500000</ns0:v>
      </ns0:c>
      <ns0:c r="J177" s="71">
        <ns0:v>2024</ns0:v>
      </ns0:c>
      <ns0:c r="K177" s="73">
        <ns0:v>4500.4500450045007</ns0:v>
      </ns0:c>
      <ns0:c r="L177" s="73">
        <ns0:v>3219.5750160978751</ns0:v>
      </ns0:c>
      <ns0:c r="M177" s="74" t="str">
        <ns0:f t="shared" si="33"/>
        <ns0:v>Histórico</ns0:v>
      </ns0:c>
      <ns0:c r="N177" s="74"/>
      <ns0:c r="O177" s="74"/>
      <ns0:c r="P177" s="77"/>
      <ns0:c r="Q177" s="74" t="str">
        <ns0:f t="shared" si="34"/>
        <ns0:v>A classificar</ns0:v>
      </ns0:c>
      <ns0:c r="R177" s="74"/>
      <ns0:c r="S177" s="74"/>
      <ns0:c r="T177" s="74"/>
      <ns0:c r="U177" s="74"/>
      <ns0:c r="V177" s="74"/>
      <ns0:c r="W177" s="76" t="n">
        <ns0:f t="shared" si="40"/>
        <ns0:v>0.2</ns0:v>
      </ns0:c>
      <ns0:c r="X177" s="74" t="str">
        <ns0:f t="shared" si="41"/>
        <ns0:v>C · Histórico/secundário</ns0:v>
      </ns0:c>
      <ns0:c r="Y177" s="74"/>
      <ns0:c r="Z177" s="74"/>
      <ns0:c r="AA177" s="74"/>
      <ns0:c r="AB177" s="74"/>
    </ns0:row>
    <ns0:row r="178">
      <ns0:c r="A178" s="71" t="s">
        <ns0:v>176</ns0:v>
      </ns0:c>
      <ns0:c r="B178" s="71" t="s">
        <ns0:v>182</ns0:v>
      </ns0:c>
      <ns0:c r="C178" s="71">
        <ns0:v>0</ns0:v>
      </ns0:c>
      <ns0:c r="D178" s="71" t="s">
        <ns0:v>31</ns0:v>
      </ns0:c>
      <ns0:c r="E178" s="74">
        <ns0:v>4</ns0:v>
      </ns0:c>
      <ns0:c r="F178" s="72">
        <ns0:v>91.55</ns0:v>
      </ns0:c>
      <ns0:c r="G178" s="72">
        <ns0:v>38.6</ns0:v>
      </ns0:c>
      <ns0:c r="H178" s="72">
        <ns0:v>130.15</ns0:v>
      </ns0:c>
      <ns0:c r="I178" s="73">
        <ns0:v>400000</ns0:v>
      </ns0:c>
      <ns0:c r="J178" s="71">
        <ns0:v>2024</ns0:v>
      </ns0:c>
      <ns0:c r="K178" s="73">
        <ns0:v>4369.1971600218458</ns0:v>
      </ns0:c>
      <ns0:c r="L178" s="73">
        <ns0:v>3073.3768728390319</ns0:v>
      </ns0:c>
      <ns0:c r="M178" s="74" t="str">
        <ns0:f t="shared" si="33"/>
        <ns0:v>Histórico</ns0:v>
      </ns0:c>
      <ns0:c r="N178" s="74"/>
      <ns0:c r="O178" s="74"/>
      <ns0:c r="P178" s="77"/>
      <ns0:c r="Q178" s="74" t="str">
        <ns0:f t="shared" si="34"/>
        <ns0:v>A classificar</ns0:v>
      </ns0:c>
      <ns0:c r="R178" s="74"/>
      <ns0:c r="S178" s="74"/>
      <ns0:c r="T178" s="74"/>
      <ns0:c r="U178" s="74"/>
      <ns0:c r="V178" s="74"/>
      <ns0:c r="W178" s="76" t="n">
        <ns0:f t="shared" si="40"/>
        <ns0:v>0.2</ns0:v>
      </ns0:c>
      <ns0:c r="X178" s="74" t="str">
        <ns0:f t="shared" si="41"/>
        <ns0:v>C · Histórico/secundário</ns0:v>
      </ns0:c>
      <ns0:c r="Y178" s="74"/>
      <ns0:c r="Z178" s="74"/>
      <ns0:c r="AA178" s="74"/>
      <ns0:c r="AB178" s="74"/>
    </ns0:row>
    <ns0:row r="179">
      <ns0:c r="A179" s="71" t="s">
        <ns0:v>176</ns0:v>
      </ns0:c>
      <ns0:c r="B179" s="71" t="s">
        <ns0:v>183</ns0:v>
      </ns0:c>
      <ns0:c r="C179" s="71">
        <ns0:v>1</ns0:v>
      </ns0:c>
      <ns0:c r="D179" s="71" t="s">
        <ns0:v>31</ns0:v>
      </ns0:c>
      <ns0:c r="E179" s="74">
        <ns0:v>4</ns0:v>
      </ns0:c>
      <ns0:c r="F179" s="72">
        <ns0:v>101.2</ns0:v>
      </ns0:c>
      <ns0:c r="G179" s="72">
        <ns0:v>21.9</ns0:v>
      </ns0:c>
      <ns0:c r="H179" s="72">
        <ns0:v>123.1</ns0:v>
      </ns0:c>
      <ns0:c r="I179" s="73">
        <ns0:v>400000</ns0:v>
      </ns0:c>
      <ns0:c r="J179" s="71">
        <ns0:v>2024</ns0:v>
      </ns0:c>
      <ns0:c r="K179" s="73">
        <ns0:v>3952.569169960474</ns0:v>
      </ns0:c>
      <ns0:c r="L179" s="73">
        <ns0:v>3249.3907392363935</ns0:v>
      </ns0:c>
      <ns0:c r="M179" s="74" t="str">
        <ns0:f t="shared" si="33"/>
        <ns0:v>Histórico</ns0:v>
      </ns0:c>
      <ns0:c r="N179" s="74"/>
      <ns0:c r="O179" s="74"/>
      <ns0:c r="P179" s="77"/>
      <ns0:c r="Q179" s="74" t="str">
        <ns0:f t="shared" si="34"/>
        <ns0:v>A classificar</ns0:v>
      </ns0:c>
      <ns0:c r="R179" s="74"/>
      <ns0:c r="S179" s="74"/>
      <ns0:c r="T179" s="74"/>
      <ns0:c r="U179" s="74"/>
      <ns0:c r="V179" s="74"/>
      <ns0:c r="W179" s="76" t="n">
        <ns0:f t="shared" si="40"/>
        <ns0:v>0.2</ns0:v>
      </ns0:c>
      <ns0:c r="X179" s="74" t="str">
        <ns0:f t="shared" si="41"/>
        <ns0:v>C · Histórico/secundário</ns0:v>
      </ns0:c>
      <ns0:c r="Y179" s="74"/>
      <ns0:c r="Z179" s="74"/>
      <ns0:c r="AA179" s="74"/>
      <ns0:c r="AB179" s="74"/>
    </ns0:row>
    <ns0:row r="180">
      <ns0:c r="A180" s="71" t="s">
        <ns0:v>176</ns0:v>
      </ns0:c>
      <ns0:c r="B180" s="71" t="s">
        <ns0:v>184</ns0:v>
      </ns0:c>
      <ns0:c r="C180" s="71">
        <ns0:v>1</ns0:v>
      </ns0:c>
      <ns0:c r="D180" s="71" t="s">
        <ns0:v>42</ns0:v>
      </ns0:c>
      <ns0:c r="E180" s="74">
        <ns0:v>4</ns0:v>
      </ns0:c>
      <ns0:c r="F180" s="72">
        <ns0:v>57</ns0:v>
      </ns0:c>
      <ns0:c r="G180" s="72">
        <ns0:v>9.85</ns0:v>
      </ns0:c>
      <ns0:c r="H180" s="72">
        <ns0:v>66.849999999999994</ns0:v>
      </ns0:c>
      <ns0:c r="I180" s="73">
        <ns0:v>280000</ns0:v>
      </ns0:c>
      <ns0:c r="J180" s="71">
        <ns0:v>2024</ns0:v>
      </ns0:c>
      <ns0:c r="K180" s="73">
        <ns0:v>4912.2807017543855</ns0:v>
      </ns0:c>
      <ns0:c r="L180" s="73">
        <ns0:v>4188.4816753926707</ns0:v>
      </ns0:c>
      <ns0:c r="M180" s="74" t="str">
        <ns0:f t="shared" si="33"/>
        <ns0:v>Histórico</ns0:v>
      </ns0:c>
      <ns0:c r="N180" s="74"/>
      <ns0:c r="O180" s="74"/>
      <ns0:c r="P180" s="77"/>
      <ns0:c r="Q180" s="74" t="str">
        <ns0:f t="shared" si="34"/>
        <ns0:v>A classificar</ns0:v>
      </ns0:c>
      <ns0:c r="R180" s="74"/>
      <ns0:c r="S180" s="74"/>
      <ns0:c r="T180" s="74"/>
      <ns0:c r="U180" s="74"/>
      <ns0:c r="V180" s="74"/>
      <ns0:c r="W180" s="76" t="n">
        <ns0:f t="shared" si="40"/>
        <ns0:v>0.2</ns0:v>
      </ns0:c>
      <ns0:c r="X180" s="74" t="str">
        <ns0:f t="shared" si="41"/>
        <ns0:v>C · Histórico/secundário</ns0:v>
      </ns0:c>
      <ns0:c r="Y180" s="74"/>
      <ns0:c r="Z180" s="74"/>
      <ns0:c r="AA180" s="74"/>
      <ns0:c r="AB180" s="74"/>
    </ns0:row>
    <ns0:row r="181">
      <ns0:c r="A181" s="71" t="s">
        <ns0:v>176</ns0:v>
      </ns0:c>
      <ns0:c r="B181" s="71" t="s">
        <ns0:v>185</ns0:v>
      </ns0:c>
      <ns0:c r="C181" s="71">
        <ns0:v>1</ns0:v>
      </ns0:c>
      <ns0:c r="D181" s="71" t="s">
        <ns0:v>42</ns0:v>
      </ns0:c>
      <ns0:c r="E181" s="74">
        <ns0:v>4</ns0:v>
      </ns0:c>
      <ns0:c r="F181" s="72">
        <ns0:v>57</ns0:v>
      </ns0:c>
      <ns0:c r="G181" s="72">
        <ns0:v>9</ns0:v>
      </ns0:c>
      <ns0:c r="H181" s="72">
        <ns0:v>66</ns0:v>
      </ns0:c>
      <ns0:c r="I181" s="73">
        <ns0:v>275000</ns0:v>
      </ns0:c>
      <ns0:c r="J181" s="71">
        <ns0:v>2024</ns0:v>
      </ns0:c>
      <ns0:c r="K181" s="73">
        <ns0:v>4824.5614035087719</ns0:v>
      </ns0:c>
      <ns0:c r="L181" s="73">
        <ns0:v>4166.666666666667</ns0:v>
      </ns0:c>
      <ns0:c r="M181" s="74" t="str">
        <ns0:f t="shared" si="33"/>
        <ns0:v>Histórico</ns0:v>
      </ns0:c>
      <ns0:c r="N181" s="74"/>
      <ns0:c r="O181" s="74"/>
      <ns0:c r="P181" s="77"/>
      <ns0:c r="Q181" s="74" t="str">
        <ns0:f t="shared" si="34"/>
        <ns0:v>A classificar</ns0:v>
      </ns0:c>
      <ns0:c r="R181" s="74"/>
      <ns0:c r="S181" s="74"/>
      <ns0:c r="T181" s="74"/>
      <ns0:c r="U181" s="74"/>
      <ns0:c r="V181" s="74"/>
      <ns0:c r="W181" s="76" t="n">
        <ns0:f t="shared" si="40"/>
        <ns0:v>0.2</ns0:v>
      </ns0:c>
      <ns0:c r="X181" s="74" t="str">
        <ns0:f t="shared" si="41"/>
        <ns0:v>C · Histórico/secundário</ns0:v>
      </ns0:c>
      <ns0:c r="Y181" s="74"/>
      <ns0:c r="Z181" s="74"/>
      <ns0:c r="AA181" s="74"/>
      <ns0:c r="AB181" s="74"/>
    </ns0:row>
    <ns0:row r="182">
      <ns0:c r="A182" s="71" t="s">
        <ns0:v>176</ns0:v>
      </ns0:c>
      <ns0:c r="B182" s="71" t="s">
        <ns0:v>186</ns0:v>
      </ns0:c>
      <ns0:c r="C182" s="71">
        <ns0:v>1</ns0:v>
      </ns0:c>
      <ns0:c r="D182" s="71" t="s">
        <ns0:v>31</ns0:v>
      </ns0:c>
      <ns0:c r="E182" s="74">
        <ns0:v>4</ns0:v>
      </ns0:c>
      <ns0:c r="F182" s="72">
        <ns0:v>99.6</ns0:v>
      </ns0:c>
      <ns0:c r="G182" s="72">
        <ns0:v>18.45</ns0:v>
      </ns0:c>
      <ns0:c r="H182" s="72">
        <ns0:v>118.05</ns0:v>
      </ns0:c>
      <ns0:c r="I182" s="73">
        <ns0:v>380000</ns0:v>
      </ns0:c>
      <ns0:c r="J182" s="71">
        <ns0:v>2024</ns0:v>
      </ns0:c>
      <ns0:c r="K182" s="73">
        <ns0:v>3815.2610441767069</ns0:v>
      </ns0:c>
      <ns0:c r="L182" s="73">
        <ns0:v>3218.9750105887338</ns0:v>
      </ns0:c>
      <ns0:c r="M182" s="74" t="str">
        <ns0:f t="shared" si="33"/>
        <ns0:v>Histórico</ns0:v>
      </ns0:c>
      <ns0:c r="N182" s="74"/>
      <ns0:c r="O182" s="74"/>
      <ns0:c r="P182" s="77"/>
      <ns0:c r="Q182" s="74" t="str">
        <ns0:f t="shared" si="34"/>
        <ns0:v>A classificar</ns0:v>
      </ns0:c>
      <ns0:c r="R182" s="74"/>
      <ns0:c r="S182" s="74"/>
      <ns0:c r="T182" s="74"/>
      <ns0:c r="U182" s="74"/>
      <ns0:c r="V182" s="74"/>
      <ns0:c r="W182" s="76" t="n">
        <ns0:f t="shared" si="40"/>
        <ns0:v>0.2</ns0:v>
      </ns0:c>
      <ns0:c r="X182" s="74" t="str">
        <ns0:f t="shared" si="41"/>
        <ns0:v>C · Histórico/secundário</ns0:v>
      </ns0:c>
      <ns0:c r="Y182" s="74"/>
      <ns0:c r="Z182" s="74"/>
      <ns0:c r="AA182" s="74"/>
      <ns0:c r="AB182" s="74"/>
    </ns0:row>
    <ns0:row r="183">
      <ns0:c r="A183" s="71" t="s">
        <ns0:v>176</ns0:v>
      </ns0:c>
      <ns0:c r="B183" s="71" t="s">
        <ns0:v>187</ns0:v>
      </ns0:c>
      <ns0:c r="C183" s="71">
        <ns0:v>1</ns0:v>
      </ns0:c>
      <ns0:c r="D183" s="71" t="s">
        <ns0:v>42</ns0:v>
      </ns0:c>
      <ns0:c r="E183" s="74">
        <ns0:v>4</ns0:v>
      </ns0:c>
      <ns0:c r="F183" s="72">
        <ns0:v>57</ns0:v>
      </ns0:c>
      <ns0:c r="G183" s="72">
        <ns0:v>9.9499999999999993</ns0:v>
      </ns0:c>
      <ns0:c r="H183" s="72">
        <ns0:v>66.95</ns0:v>
      </ns0:c>
      <ns0:c r="I183" s="73">
        <ns0:v>275000</ns0:v>
      </ns0:c>
      <ns0:c r="J183" s="71">
        <ns0:v>2024</ns0:v>
      </ns0:c>
      <ns0:c r="K183" s="73">
        <ns0:v>4824.5614035087719</ns0:v>
      </ns0:c>
      <ns0:c r="L183" s="73">
        <ns0:v>4107.5429424943986</ns0:v>
      </ns0:c>
      <ns0:c r="M183" s="74" t="str">
        <ns0:f t="shared" si="33"/>
        <ns0:v>Histórico</ns0:v>
      </ns0:c>
      <ns0:c r="N183" s="74"/>
      <ns0:c r="O183" s="74"/>
      <ns0:c r="P183" s="77"/>
      <ns0:c r="Q183" s="74" t="str">
        <ns0:f t="shared" si="34"/>
        <ns0:v>A classificar</ns0:v>
      </ns0:c>
      <ns0:c r="R183" s="74"/>
      <ns0:c r="S183" s="74"/>
      <ns0:c r="T183" s="74"/>
      <ns0:c r="U183" s="74"/>
      <ns0:c r="V183" s="74"/>
      <ns0:c r="W183" s="76" t="n">
        <ns0:f t="shared" si="40"/>
        <ns0:v>0.2</ns0:v>
      </ns0:c>
      <ns0:c r="X183" s="74" t="str">
        <ns0:f t="shared" si="41"/>
        <ns0:v>C · Histórico/secundário</ns0:v>
      </ns0:c>
      <ns0:c r="Y183" s="74"/>
      <ns0:c r="Z183" s="74"/>
      <ns0:c r="AA183" s="74"/>
      <ns0:c r="AB183" s="74"/>
    </ns0:row>
    <ns0:row r="184">
      <ns0:c r="A184" s="71" t="s">
        <ns0:v>176</ns0:v>
      </ns0:c>
      <ns0:c r="B184" s="71" t="s">
        <ns0:v>188</ns0:v>
      </ns0:c>
      <ns0:c r="C184" s="71">
        <ns0:v>1</ns0:v>
      </ns0:c>
      <ns0:c r="D184" s="71" t="s">
        <ns0:v>31</ns0:v>
      </ns0:c>
      <ns0:c r="E184" s="74">
        <ns0:v>4</ns0:v>
      </ns0:c>
      <ns0:c r="F184" s="72">
        <ns0:v>101.2</ns0:v>
      </ns0:c>
      <ns0:c r="G184" s="72">
        <ns0:v>31.9</ns0:v>
      </ns0:c>
      <ns0:c r="H184" s="72">
        <ns0:v>133.1</ns0:v>
      </ns0:c>
      <ns0:c r="I184" s="73">
        <ns0:v>385000</ns0:v>
      </ns0:c>
      <ns0:c r="J184" s="71">
        <ns0:v>2024</ns0:v>
      </ns0:c>
      <ns0:c r="K184" s="73">
        <ns0:v>3804.3478260869565</ns0:v>
      </ns0:c>
      <ns0:c r="L184" s="73">
        <ns0:v>2892.5619834710747</ns0:v>
      </ns0:c>
      <ns0:c r="M184" s="74" t="str">
        <ns0:f t="shared" si="33"/>
        <ns0:v>Histórico</ns0:v>
      </ns0:c>
      <ns0:c r="N184" s="74"/>
      <ns0:c r="O184" s="74"/>
      <ns0:c r="P184" s="77"/>
      <ns0:c r="Q184" s="74" t="str">
        <ns0:f t="shared" si="34"/>
        <ns0:v>A classificar</ns0:v>
      </ns0:c>
      <ns0:c r="R184" s="74"/>
      <ns0:c r="S184" s="74"/>
      <ns0:c r="T184" s="74"/>
      <ns0:c r="U184" s="74"/>
      <ns0:c r="V184" s="74"/>
      <ns0:c r="W184" s="76" t="n">
        <ns0:f t="shared" si="40"/>
        <ns0:v>0.2</ns0:v>
      </ns0:c>
      <ns0:c r="X184" s="74" t="str">
        <ns0:f t="shared" si="41"/>
        <ns0:v>C · Histórico/secundário</ns0:v>
      </ns0:c>
      <ns0:c r="Y184" s="74"/>
      <ns0:c r="Z184" s="74"/>
      <ns0:c r="AA184" s="74"/>
      <ns0:c r="AB184" s="74"/>
    </ns0:row>
    <ns0:row r="185">
      <ns0:c r="A185" s="71" t="s">
        <ns0:v>176</ns0:v>
      </ns0:c>
      <ns0:c r="B185" s="71" t="s">
        <ns0:v>189</ns0:v>
      </ns0:c>
      <ns0:c r="C185" s="71">
        <ns0:v>2</ns0:v>
      </ns0:c>
      <ns0:c r="D185" s="71" t="s">
        <ns0:v>31</ns0:v>
      </ns0:c>
      <ns0:c r="E185" s="74">
        <ns0:v>4</ns0:v>
      </ns0:c>
      <ns0:c r="F185" s="72">
        <ns0:v>101.2</ns0:v>
      </ns0:c>
      <ns0:c r="G185" s="72">
        <ns0:v>22.55</ns0:v>
      </ns0:c>
      <ns0:c r="H185" s="72">
        <ns0:v>123.75</ns0:v>
      </ns0:c>
      <ns0:c r="I185" s="73">
        <ns0:v>400000</ns0:v>
      </ns0:c>
      <ns0:c r="J185" s="71">
        <ns0:v>2024</ns0:v>
      </ns0:c>
      <ns0:c r="K185" s="73">
        <ns0:v>3952.569169960474</ns0:v>
      </ns0:c>
      <ns0:c r="L185" s="73">
        <ns0:v>3232.3232323232323</ns0:v>
      </ns0:c>
      <ns0:c r="M185" s="74" t="str">
        <ns0:f t="shared" si="33"/>
        <ns0:v>Histórico</ns0:v>
      </ns0:c>
      <ns0:c r="N185" s="74"/>
      <ns0:c r="O185" s="74"/>
      <ns0:c r="P185" s="77"/>
      <ns0:c r="Q185" s="74" t="str">
        <ns0:f t="shared" si="34"/>
        <ns0:v>A classificar</ns0:v>
      </ns0:c>
      <ns0:c r="R185" s="74"/>
      <ns0:c r="S185" s="74"/>
      <ns0:c r="T185" s="74"/>
      <ns0:c r="U185" s="74"/>
      <ns0:c r="V185" s="74"/>
      <ns0:c r="W185" s="76" t="n">
        <ns0:f t="shared" si="40"/>
        <ns0:v>0.2</ns0:v>
      </ns0:c>
      <ns0:c r="X185" s="74" t="str">
        <ns0:f t="shared" si="41"/>
        <ns0:v>C · Histórico/secundário</ns0:v>
      </ns0:c>
      <ns0:c r="Y185" s="74"/>
      <ns0:c r="Z185" s="74"/>
      <ns0:c r="AA185" s="74"/>
      <ns0:c r="AB185" s="74"/>
    </ns0:row>
    <ns0:row r="186">
      <ns0:c r="A186" s="71" t="s">
        <ns0:v>176</ns0:v>
      </ns0:c>
      <ns0:c r="B186" s="71" t="s">
        <ns0:v>190</ns0:v>
      </ns0:c>
      <ns0:c r="C186" s="71">
        <ns0:v>2</ns0:v>
      </ns0:c>
      <ns0:c r="D186" s="71" t="s">
        <ns0:v>42</ns0:v>
      </ns0:c>
      <ns0:c r="E186" s="74">
        <ns0:v>4</ns0:v>
      </ns0:c>
      <ns0:c r="F186" s="72">
        <ns0:v>57</ns0:v>
      </ns0:c>
      <ns0:c r="G186" s="72">
        <ns0:v>9</ns0:v>
      </ns0:c>
      <ns0:c r="H186" s="72">
        <ns0:v>66</ns0:v>
      </ns0:c>
      <ns0:c r="I186" s="73">
        <ns0:v>285000</ns0:v>
      </ns0:c>
      <ns0:c r="J186" s="71">
        <ns0:v>2024</ns0:v>
      </ns0:c>
      <ns0:c r="K186" s="73">
        <ns0:v>5000</ns0:v>
      </ns0:c>
      <ns0:c r="L186" s="73">
        <ns0:v>4318.181818181818</ns0:v>
      </ns0:c>
      <ns0:c r="M186" s="74" t="str">
        <ns0:f t="shared" si="33"/>
        <ns0:v>Histórico</ns0:v>
      </ns0:c>
      <ns0:c r="N186" s="74"/>
      <ns0:c r="O186" s="74"/>
      <ns0:c r="P186" s="77"/>
      <ns0:c r="Q186" s="74" t="str">
        <ns0:f t="shared" si="34"/>
        <ns0:v>A classificar</ns0:v>
      </ns0:c>
      <ns0:c r="R186" s="74"/>
      <ns0:c r="S186" s="74"/>
      <ns0:c r="T186" s="74"/>
      <ns0:c r="U186" s="74"/>
      <ns0:c r="V186" s="74"/>
      <ns0:c r="W186" s="76" t="n">
        <ns0:f t="shared" si="40"/>
        <ns0:v>0.2</ns0:v>
      </ns0:c>
      <ns0:c r="X186" s="74" t="str">
        <ns0:f t="shared" si="41"/>
        <ns0:v>C · Histórico/secundário</ns0:v>
      </ns0:c>
      <ns0:c r="Y186" s="74"/>
      <ns0:c r="Z186" s="74"/>
      <ns0:c r="AA186" s="74"/>
      <ns0:c r="AB186" s="74"/>
    </ns0:row>
    <ns0:row r="187">
      <ns0:c r="A187" s="71" t="s">
        <ns0:v>176</ns0:v>
      </ns0:c>
      <ns0:c r="B187" s="71" t="s">
        <ns0:v>191</ns0:v>
      </ns0:c>
      <ns0:c r="C187" s="71">
        <ns0:v>2</ns0:v>
      </ns0:c>
      <ns0:c r="D187" s="71" t="s">
        <ns0:v>42</ns0:v>
      </ns0:c>
      <ns0:c r="E187" s="74">
        <ns0:v>4</ns0:v>
      </ns0:c>
      <ns0:c r="F187" s="72">
        <ns0:v>57</ns0:v>
      </ns0:c>
      <ns0:c r="G187" s="72">
        <ns0:v>9.85</ns0:v>
      </ns0:c>
      <ns0:c r="H187" s="72">
        <ns0:v>66.849999999999994</ns0:v>
      </ns0:c>
      <ns0:c r="I187" s="73">
        <ns0:v>290000</ns0:v>
      </ns0:c>
      <ns0:c r="J187" s="71">
        <ns0:v>2024</ns0:v>
      </ns0:c>
      <ns0:c r="K187" s="73">
        <ns0:v>5087.7192982456145</ns0:v>
      </ns0:c>
      <ns0:c r="L187" s="73">
        <ns0:v>4338.0703066566948</ns0:v>
      </ns0:c>
      <ns0:c r="M187" s="74" t="str">
        <ns0:f t="shared" si="33"/>
        <ns0:v>Histórico</ns0:v>
      </ns0:c>
      <ns0:c r="N187" s="74"/>
      <ns0:c r="O187" s="74"/>
      <ns0:c r="P187" s="77"/>
      <ns0:c r="Q187" s="74" t="str">
        <ns0:f t="shared" si="34"/>
        <ns0:v>A classificar</ns0:v>
      </ns0:c>
      <ns0:c r="R187" s="74"/>
      <ns0:c r="S187" s="74"/>
      <ns0:c r="T187" s="74"/>
      <ns0:c r="U187" s="74"/>
      <ns0:c r="V187" s="74"/>
      <ns0:c r="W187" s="76" t="n">
        <ns0:f t="shared" si="40"/>
        <ns0:v>0.2</ns0:v>
      </ns0:c>
      <ns0:c r="X187" s="74" t="str">
        <ns0:f t="shared" si="41"/>
        <ns0:v>C · Histórico/secundário</ns0:v>
      </ns0:c>
      <ns0:c r="Y187" s="74"/>
      <ns0:c r="Z187" s="74"/>
      <ns0:c r="AA187" s="74"/>
      <ns0:c r="AB187" s="74"/>
    </ns0:row>
    <ns0:row r="188">
      <ns0:c r="A188" s="71" t="s">
        <ns0:v>176</ns0:v>
      </ns0:c>
      <ns0:c r="B188" s="71" t="s">
        <ns0:v>192</ns0:v>
      </ns0:c>
      <ns0:c r="C188" s="71">
        <ns0:v>2</ns0:v>
      </ns0:c>
      <ns0:c r="D188" s="71" t="s">
        <ns0:v>31</ns0:v>
      </ns0:c>
      <ns0:c r="E188" s="74">
        <ns0:v>4</ns0:v>
      </ns0:c>
      <ns0:c r="F188" s="72">
        <ns0:v>99.6</ns0:v>
      </ns0:c>
      <ns0:c r="G188" s="72">
        <ns0:v>19.600000000000001</ns0:v>
      </ns0:c>
      <ns0:c r="H188" s="72">
        <ns0:v>119.19999999999999</ns0:v>
      </ns0:c>
      <ns0:c r="I188" s="73">
        <ns0:v>405000</ns0:v>
      </ns0:c>
      <ns0:c r="J188" s="71">
        <ns0:v>2024</ns0:v>
      </ns0:c>
      <ns0:c r="K188" s="73">
        <ns0:v>4066.265060240964</ns0:v>
      </ns0:c>
      <ns0:c r="L188" s="73">
        <ns0:v>3397.6510067114095</ns0:v>
      </ns0:c>
      <ns0:c r="M188" s="74" t="str">
        <ns0:f t="shared" si="33"/>
        <ns0:v>Histórico</ns0:v>
      </ns0:c>
      <ns0:c r="N188" s="74"/>
      <ns0:c r="O188" s="74"/>
      <ns0:c r="P188" s="77"/>
      <ns0:c r="Q188" s="74" t="str">
        <ns0:f t="shared" si="34"/>
        <ns0:v>A classificar</ns0:v>
      </ns0:c>
      <ns0:c r="R188" s="74"/>
      <ns0:c r="S188" s="74"/>
      <ns0:c r="T188" s="74"/>
      <ns0:c r="U188" s="74"/>
      <ns0:c r="V188" s="74"/>
      <ns0:c r="W188" s="76" t="n">
        <ns0:f t="shared" si="40"/>
        <ns0:v>0.2</ns0:v>
      </ns0:c>
      <ns0:c r="X188" s="74" t="str">
        <ns0:f t="shared" si="41"/>
        <ns0:v>C · Histórico/secundário</ns0:v>
      </ns0:c>
      <ns0:c r="Y188" s="74"/>
      <ns0:c r="Z188" s="74"/>
      <ns0:c r="AA188" s="74"/>
      <ns0:c r="AB188" s="74"/>
    </ns0:row>
    <ns0:row r="189">
      <ns0:c r="A189" s="71" t="s">
        <ns0:v>176</ns0:v>
      </ns0:c>
      <ns0:c r="B189" s="71" t="s">
        <ns0:v>193</ns0:v>
      </ns0:c>
      <ns0:c r="C189" s="71">
        <ns0:v>2</ns0:v>
      </ns0:c>
      <ns0:c r="D189" s="71" t="s">
        <ns0:v>42</ns0:v>
      </ns0:c>
      <ns0:c r="E189" s="74">
        <ns0:v>4</ns0:v>
      </ns0:c>
      <ns0:c r="F189" s="72">
        <ns0:v>55.85</ns0:v>
      </ns0:c>
      <ns0:c r="G189" s="72">
        <ns0:v>11.1</ns0:v>
      </ns0:c>
      <ns0:c r="H189" s="72">
        <ns0:v>66.95</ns0:v>
      </ns0:c>
      <ns0:c r="I189" s="73">
        <ns0:v>215000</ns0:v>
      </ns0:c>
      <ns0:c r="J189" s="71">
        <ns0:v>2024</ns0:v>
      </ns0:c>
      <ns0:c r="K189" s="73">
        <ns0:v>3849.5971351835274</ns0:v>
      </ns0:c>
      <ns0:c r="L189" s="73">
        <ns0:v>3211.3517550410752</ns0:v>
      </ns0:c>
      <ns0:c r="M189" s="74" t="str">
        <ns0:f t="shared" si="33"/>
        <ns0:v>Histórico</ns0:v>
      </ns0:c>
      <ns0:c r="N189" s="74"/>
      <ns0:c r="O189" s="74"/>
      <ns0:c r="P189" s="77"/>
      <ns0:c r="Q189" s="74" t="str">
        <ns0:f t="shared" si="34"/>
        <ns0:v>A classificar</ns0:v>
      </ns0:c>
      <ns0:c r="R189" s="74"/>
      <ns0:c r="S189" s="74"/>
      <ns0:c r="T189" s="74"/>
      <ns0:c r="U189" s="74"/>
      <ns0:c r="V189" s="74"/>
      <ns0:c r="W189" s="76" t="n">
        <ns0:f t="shared" si="40"/>
        <ns0:v>0.2</ns0:v>
      </ns0:c>
      <ns0:c r="X189" s="74" t="str">
        <ns0:f t="shared" si="41"/>
        <ns0:v>C · Histórico/secundário</ns0:v>
      </ns0:c>
      <ns0:c r="Y189" s="74"/>
      <ns0:c r="Z189" s="74"/>
      <ns0:c r="AA189" s="74"/>
      <ns0:c r="AB189" s="74"/>
    </ns0:row>
    <ns0:row r="190">
      <ns0:c r="A190" s="71" t="s">
        <ns0:v>176</ns0:v>
      </ns0:c>
      <ns0:c r="B190" s="71" t="s">
        <ns0:v>194</ns0:v>
      </ns0:c>
      <ns0:c r="C190" s="71">
        <ns0:v>3</ns0:v>
      </ns0:c>
      <ns0:c r="D190" s="71" t="s">
        <ns0:v>31</ns0:v>
      </ns0:c>
      <ns0:c r="E190" s="74">
        <ns0:v>4</ns0:v>
      </ns0:c>
      <ns0:c r="F190" s="72">
        <ns0:v>101.2</ns0:v>
      </ns0:c>
      <ns0:c r="G190" s="72">
        <ns0:v>21.9</ns0:v>
      </ns0:c>
      <ns0:c r="H190" s="72">
        <ns0:v>123.1</ns0:v>
      </ns0:c>
      <ns0:c r="I190" s="73">
        <ns0:v>415000</ns0:v>
      </ns0:c>
      <ns0:c r="J190" s="71">
        <ns0:v>2024</ns0:v>
      </ns0:c>
      <ns0:c r="K190" s="73">
        <ns0:v>4100.790513833992</ns0:v>
      </ns0:c>
      <ns0:c r="L190" s="73">
        <ns0:v>3371.2428919577583</ns0:v>
      </ns0:c>
      <ns0:c r="M190" s="74" t="str">
        <ns0:f t="shared" si="33"/>
        <ns0:v>Histórico</ns0:v>
      </ns0:c>
      <ns0:c r="N190" s="74"/>
      <ns0:c r="O190" s="74"/>
      <ns0:c r="P190" s="77"/>
      <ns0:c r="Q190" s="74" t="str">
        <ns0:f t="shared" si="34"/>
        <ns0:v>A classificar</ns0:v>
      </ns0:c>
      <ns0:c r="R190" s="74"/>
      <ns0:c r="S190" s="74"/>
      <ns0:c r="T190" s="74"/>
      <ns0:c r="U190" s="74"/>
      <ns0:c r="V190" s="74"/>
      <ns0:c r="W190" s="76" t="n">
        <ns0:f t="shared" si="40"/>
        <ns0:v>0.2</ns0:v>
      </ns0:c>
      <ns0:c r="X190" s="74" t="str">
        <ns0:f t="shared" si="41"/>
        <ns0:v>C · Histórico/secundário</ns0:v>
      </ns0:c>
      <ns0:c r="Y190" s="74"/>
      <ns0:c r="Z190" s="74"/>
      <ns0:c r="AA190" s="74"/>
      <ns0:c r="AB190" s="74"/>
    </ns0:row>
    <ns0:row r="191">
      <ns0:c r="A191" s="71" t="s">
        <ns0:v>176</ns0:v>
      </ns0:c>
      <ns0:c r="B191" s="71" t="s">
        <ns0:v>195</ns0:v>
      </ns0:c>
      <ns0:c r="C191" s="71">
        <ns0:v>3</ns0:v>
      </ns0:c>
      <ns0:c r="D191" s="71" t="s">
        <ns0:v>42</ns0:v>
      </ns0:c>
      <ns0:c r="E191" s="74">
        <ns0:v>4</ns0:v>
      </ns0:c>
      <ns0:c r="F191" s="72">
        <ns0:v>55.85</ns0:v>
      </ns0:c>
      <ns0:c r="G191" s="72">
        <ns0:v>11.1</ns0:v>
      </ns0:c>
      <ns0:c r="H191" s="72">
        <ns0:v>66.95</ns0:v>
      </ns0:c>
      <ns0:c r="I191" s="73">
        <ns0:v>235000</ns0:v>
      </ns0:c>
      <ns0:c r="J191" s="71">
        <ns0:v>2024</ns0:v>
      </ns0:c>
      <ns0:c r="K191" s="73">
        <ns0:v>4207.6991942703671</ns0:v>
      </ns0:c>
      <ns0:c r="L191" s="73">
        <ns0:v>3510.0821508588497</ns0:v>
      </ns0:c>
      <ns0:c r="M191" s="74" t="str">
        <ns0:f t="shared" si="33"/>
        <ns0:v>Histórico</ns0:v>
      </ns0:c>
      <ns0:c r="N191" s="74"/>
      <ns0:c r="O191" s="74"/>
      <ns0:c r="P191" s="77"/>
      <ns0:c r="Q191" s="74" t="str">
        <ns0:f t="shared" si="34"/>
        <ns0:v>A classificar</ns0:v>
      </ns0:c>
      <ns0:c r="R191" s="74"/>
      <ns0:c r="S191" s="74"/>
      <ns0:c r="T191" s="74"/>
      <ns0:c r="U191" s="74"/>
      <ns0:c r="V191" s="74"/>
      <ns0:c r="W191" s="76" t="n">
        <ns0:f t="shared" si="40"/>
        <ns0:v>0.2</ns0:v>
      </ns0:c>
      <ns0:c r="X191" s="74" t="str">
        <ns0:f t="shared" si="41"/>
        <ns0:v>C · Histórico/secundário</ns0:v>
      </ns0:c>
      <ns0:c r="Y191" s="74"/>
      <ns0:c r="Z191" s="74"/>
      <ns0:c r="AA191" s="74"/>
      <ns0:c r="AB191" s="74"/>
    </ns0:row>
    <ns0:row r="192">
      <ns0:c r="A192" s="71" t="s">
        <ns0:v>176</ns0:v>
      </ns0:c>
      <ns0:c r="B192" s="71" t="s">
        <ns0:v>196</ns0:v>
      </ns0:c>
      <ns0:c r="C192" s="71">
        <ns0:v>3</ns0:v>
      </ns0:c>
      <ns0:c r="D192" s="71" t="s">
        <ns0:v>42</ns0:v>
      </ns0:c>
      <ns0:c r="E192" s="74">
        <ns0:v>4</ns0:v>
      </ns0:c>
      <ns0:c r="F192" s="72">
        <ns0:v>57</ns0:v>
      </ns0:c>
      <ns0:c r="G192" s="72">
        <ns0:v>9.85</ns0:v>
      </ns0:c>
      <ns0:c r="H192" s="72">
        <ns0:v>66.849999999999994</ns0:v>
      </ns0:c>
      <ns0:c r="I192" s="73">
        <ns0:v>295000</ns0:v>
      </ns0:c>
      <ns0:c r="J192" s="71">
        <ns0:v>2024</ns0:v>
      </ns0:c>
      <ns0:c r="K192" s="73">
        <ns0:v>5175.4385964912281</ns0:v>
      </ns0:c>
      <ns0:c r="L192" s="73">
        <ns0:v>4412.8646222887064</ns0:v>
      </ns0:c>
      <ns0:c r="M192" s="74" t="str">
        <ns0:f t="shared" si="33"/>
        <ns0:v>Histórico</ns0:v>
      </ns0:c>
      <ns0:c r="N192" s="74"/>
      <ns0:c r="O192" s="74"/>
      <ns0:c r="P192" s="77"/>
      <ns0:c r="Q192" s="74" t="str">
        <ns0:f t="shared" si="34"/>
        <ns0:v>A classificar</ns0:v>
      </ns0:c>
      <ns0:c r="R192" s="74"/>
      <ns0:c r="S192" s="74"/>
      <ns0:c r="T192" s="74"/>
      <ns0:c r="U192" s="74"/>
      <ns0:c r="V192" s="74"/>
      <ns0:c r="W192" s="76" t="n">
        <ns0:f t="shared" si="40"/>
        <ns0:v>0.2</ns0:v>
      </ns0:c>
      <ns0:c r="X192" s="74" t="str">
        <ns0:f t="shared" si="41"/>
        <ns0:v>C · Histórico/secundário</ns0:v>
      </ns0:c>
      <ns0:c r="Y192" s="74"/>
      <ns0:c r="Z192" s="74"/>
      <ns0:c r="AA192" s="74"/>
      <ns0:c r="AB192" s="74"/>
    </ns0:row>
    <ns0:row r="193">
      <ns0:c r="A193" s="71" t="s">
        <ns0:v>176</ns0:v>
      </ns0:c>
      <ns0:c r="B193" s="71" t="s">
        <ns0:v>197</ns0:v>
      </ns0:c>
      <ns0:c r="C193" s="71">
        <ns0:v>3</ns0:v>
      </ns0:c>
      <ns0:c r="D193" s="71" t="s">
        <ns0:v>42</ns0:v>
      </ns0:c>
      <ns0:c r="E193" s="74">
        <ns0:v>4</ns0:v>
      </ns0:c>
      <ns0:c r="F193" s="72">
        <ns0:v>55.85</ns0:v>
      </ns0:c>
      <ns0:c r="G193" s="72">
        <ns0:v>11.55</ns0:v>
      </ns0:c>
      <ns0:c r="H193" s="72">
        <ns0:v>67.400000000000006</ns0:v>
      </ns0:c>
      <ns0:c r="I193" s="73">
        <ns0:v>235000</ns0:v>
      </ns0:c>
      <ns0:c r="J193" s="71">
        <ns0:v>2024</ns0:v>
      </ns0:c>
      <ns0:c r="K193" s="73">
        <ns0:v>4207.6991942703671</ns0:v>
      </ns0:c>
      <ns0:c r="L193" s="73">
        <ns0:v>3486.6468842729969</ns0:v>
      </ns0:c>
      <ns0:c r="M193" s="74" t="str">
        <ns0:f t="shared" si="33"/>
        <ns0:v>Histórico</ns0:v>
      </ns0:c>
      <ns0:c r="N193" s="74"/>
      <ns0:c r="O193" s="74"/>
      <ns0:c r="P193" s="77"/>
      <ns0:c r="Q193" s="74" t="str">
        <ns0:f t="shared" si="34"/>
        <ns0:v>A classificar</ns0:v>
      </ns0:c>
      <ns0:c r="R193" s="74"/>
      <ns0:c r="S193" s="74"/>
      <ns0:c r="T193" s="74"/>
      <ns0:c r="U193" s="74"/>
      <ns0:c r="V193" s="74"/>
      <ns0:c r="W193" s="76" t="n">
        <ns0:f t="shared" si="40"/>
        <ns0:v>0.2</ns0:v>
      </ns0:c>
      <ns0:c r="X193" s="74" t="str">
        <ns0:f t="shared" si="41"/>
        <ns0:v>C · Histórico/secundário</ns0:v>
      </ns0:c>
      <ns0:c r="Y193" s="74"/>
      <ns0:c r="Z193" s="74"/>
      <ns0:c r="AA193" s="74"/>
      <ns0:c r="AB193" s="74"/>
    </ns0:row>
    <ns0:row r="194">
      <ns0:c r="A194" s="71" t="s">
        <ns0:v>176</ns0:v>
      </ns0:c>
      <ns0:c r="B194" s="71" t="s">
        <ns0:v>198</ns0:v>
      </ns0:c>
      <ns0:c r="C194" s="71">
        <ns0:v>3</ns0:v>
      </ns0:c>
      <ns0:c r="D194" s="71" t="s">
        <ns0:v>31</ns0:v>
      </ns0:c>
      <ns0:c r="E194" s="74">
        <ns0:v>4</ns0:v>
      </ns0:c>
      <ns0:c r="F194" s="72">
        <ns0:v>99.6</ns0:v>
      </ns0:c>
      <ns0:c r="G194" s="72">
        <ns0:v>19.600000000000001</ns0:v>
      </ns0:c>
      <ns0:c r="H194" s="72">
        <ns0:v>119.19999999999999</ns0:v>
      </ns0:c>
      <ns0:c r="I194" s="73">
        <ns0:v>425000</ns0:v>
      </ns0:c>
      <ns0:c r="J194" s="71">
        <ns0:v>2024</ns0:v>
      </ns0:c>
      <ns0:c r="K194" s="73">
        <ns0:v>4267.06827309237</ns0:v>
      </ns0:c>
      <ns0:c r="L194" s="73">
        <ns0:v>3565.4362416107388</ns0:v>
      </ns0:c>
      <ns0:c r="M194" s="74" t="str">
        <ns0:f t="shared" si="33"/>
        <ns0:v>Histórico</ns0:v>
      </ns0:c>
      <ns0:c r="N194" s="74"/>
      <ns0:c r="O194" s="74"/>
      <ns0:c r="P194" s="77"/>
      <ns0:c r="Q194" s="74" t="str">
        <ns0:f t="shared" si="34"/>
        <ns0:v>A classificar</ns0:v>
      </ns0:c>
      <ns0:c r="R194" s="74"/>
      <ns0:c r="S194" s="74"/>
      <ns0:c r="T194" s="74"/>
      <ns0:c r="U194" s="74"/>
      <ns0:c r="V194" s="74"/>
      <ns0:c r="W194" s="76" t="n">
        <ns0:f t="shared" si="40"/>
        <ns0:v>0.2</ns0:v>
      </ns0:c>
      <ns0:c r="X194" s="74" t="str">
        <ns0:f t="shared" si="41"/>
        <ns0:v>C · Histórico/secundário</ns0:v>
      </ns0:c>
      <ns0:c r="Y194" s="74"/>
      <ns0:c r="Z194" s="74"/>
      <ns0:c r="AA194" s="74"/>
      <ns0:c r="AB194" s="74"/>
    </ns0:row>
    <ns0:row r="195">
      <ns0:c r="A195" s="71" t="s">
        <ns0:v>176</ns0:v>
      </ns0:c>
      <ns0:c r="B195" s="71" t="s">
        <ns0:v>199</ns0:v>
      </ns0:c>
      <ns0:c r="C195" s="71">
        <ns0:v>3</ns0:v>
      </ns0:c>
      <ns0:c r="D195" s="71" t="s">
        <ns0:v>31</ns0:v>
      </ns0:c>
      <ns0:c r="E195" s="74">
        <ns0:v>4</ns0:v>
      </ns0:c>
      <ns0:c r="F195" s="72">
        <ns0:v>101.2</ns0:v>
      </ns0:c>
      <ns0:c r="G195" s="72">
        <ns0:v>21.45</ns0:v>
      </ns0:c>
      <ns0:c r="H195" s="72">
        <ns0:v>122.65</ns0:v>
      </ns0:c>
      <ns0:c r="I195" s="73">
        <ns0:v>435000</ns0:v>
      </ns0:c>
      <ns0:c r="J195" s="71">
        <ns0:v>2024</ns0:v>
      </ns0:c>
      <ns0:c r="K195" s="73">
        <ns0:v>4298.418972332016</ns0:v>
      </ns0:c>
      <ns0:c r="L195" s="73">
        <ns0:v>3546.6775377089275</ns0:v>
      </ns0:c>
      <ns0:c r="M195" s="74" t="str">
        <ns0:f t="shared" si="33"/>
        <ns0:v>Histórico</ns0:v>
      </ns0:c>
      <ns0:c r="N195" s="74"/>
      <ns0:c r="O195" s="74"/>
      <ns0:c r="P195" s="77"/>
      <ns0:c r="Q195" s="74" t="str">
        <ns0:f t="shared" si="34"/>
        <ns0:v>A classificar</ns0:v>
      </ns0:c>
      <ns0:c r="R195" s="74"/>
      <ns0:c r="S195" s="74"/>
      <ns0:c r="T195" s="74"/>
      <ns0:c r="U195" s="74"/>
      <ns0:c r="V195" s="74"/>
      <ns0:c r="W195" s="76" t="n">
        <ns0:f t="shared" si="40"/>
        <ns0:v>0.2</ns0:v>
      </ns0:c>
      <ns0:c r="X195" s="74" t="str">
        <ns0:f t="shared" si="41"/>
        <ns0:v>C · Histórico/secundário</ns0:v>
      </ns0:c>
      <ns0:c r="Y195" s="74"/>
      <ns0:c r="Z195" s="74"/>
      <ns0:c r="AA195" s="74"/>
      <ns0:c r="AB195" s="74"/>
    </ns0:row>
    <ns0:row r="196">
      <ns0:c r="A196" s="71" t="s">
        <ns0:v>176</ns0:v>
      </ns0:c>
      <ns0:c r="B196" s="71" t="s">
        <ns0:v>200</ns0:v>
      </ns0:c>
      <ns0:c r="C196" s="71">
        <ns0:v>4</ns0:v>
      </ns0:c>
      <ns0:c r="D196" s="71" t="s">
        <ns0:v>31</ns0:v>
      </ns0:c>
      <ns0:c r="E196" s="74">
        <ns0:v>4</ns0:v>
      </ns0:c>
      <ns0:c r="F196" s="72">
        <ns0:v>101.2</ns0:v>
      </ns0:c>
      <ns0:c r="G196" s="72">
        <ns0:v>20.45</ns0:v>
      </ns0:c>
      <ns0:c r="H196" s="72">
        <ns0:v>121.65</ns0:v>
      </ns0:c>
      <ns0:c r="I196" s="73">
        <ns0:v>520000</ns0:v>
      </ns0:c>
      <ns0:c r="J196" s="71">
        <ns0:v>2024</ns0:v>
      </ns0:c>
      <ns0:c r="K196" s="73">
        <ns0:v>5138.3399209486161</ns0:v>
      </ns0:c>
      <ns0:c r="L196" s="73">
        <ns0:v>4274.5581586518701</ns0:v>
      </ns0:c>
      <ns0:c r="M196" s="74" t="str">
        <ns0:f t="shared" si="33"/>
        <ns0:v>Histórico</ns0:v>
      </ns0:c>
      <ns0:c r="N196" s="74"/>
      <ns0:c r="O196" s="74"/>
      <ns0:c r="P196" s="77"/>
      <ns0:c r="Q196" s="74" t="str">
        <ns0:f t="shared" si="34"/>
        <ns0:v>A classificar</ns0:v>
      </ns0:c>
      <ns0:c r="R196" s="74"/>
      <ns0:c r="S196" s="74"/>
      <ns0:c r="T196" s="74"/>
      <ns0:c r="U196" s="74"/>
      <ns0:c r="V196" s="74"/>
      <ns0:c r="W196" s="76" t="n">
        <ns0:f t="shared" si="40"/>
        <ns0:v>0.2</ns0:v>
      </ns0:c>
      <ns0:c r="X196" s="74" t="str">
        <ns0:f t="shared" si="41"/>
        <ns0:v>C · Histórico/secundário</ns0:v>
      </ns0:c>
      <ns0:c r="Y196" s="74"/>
      <ns0:c r="Z196" s="74"/>
      <ns0:c r="AA196" s="74"/>
      <ns0:c r="AB196" s="74"/>
    </ns0:row>
    <ns0:row r="197">
      <ns0:c r="A197" s="71" t="s">
        <ns0:v>176</ns0:v>
      </ns0:c>
      <ns0:c r="B197" s="71" t="s">
        <ns0:v>201</ns0:v>
      </ns0:c>
      <ns0:c r="C197" s="71">
        <ns0:v>4</ns0:v>
      </ns0:c>
      <ns0:c r="D197" s="71" t="s">
        <ns0:v>64</ns0:v>
      </ns0:c>
      <ns0:c r="E197" s="74">
        <ns0:v>4</ns0:v>
      </ns0:c>
      <ns0:c r="F197" s="72">
        <ns0:v>116.2</ns0:v>
      </ns0:c>
      <ns0:c r="G197" s="72">
        <ns0:v>20.100000000000001</ns0:v>
      </ns0:c>
      <ns0:c r="H197" s="72">
        <ns0:v>136.30000000000001</ns0:v>
      </ns0:c>
      <ns0:c r="I197" s="73">
        <ns0:v>590000</ns0:v>
      </ns0:c>
      <ns0:c r="J197" s="71">
        <ns0:v>2024</ns0:v>
      </ns0:c>
      <ns0:c r="K197" s="73">
        <ns0:v>5077.4526678141137</ns0:v>
      </ns0:c>
      <ns0:c r="L197" s="73">
        <ns0:v>4328.6867204695518</ns0:v>
      </ns0:c>
      <ns0:c r="M197" s="74" t="str">
        <ns0:f t="shared" si="33"/>
        <ns0:v>Histórico</ns0:v>
      </ns0:c>
      <ns0:c r="N197" s="74"/>
      <ns0:c r="O197" s="74"/>
      <ns0:c r="P197" s="77"/>
      <ns0:c r="Q197" s="74" t="str">
        <ns0:f t="shared" si="34"/>
        <ns0:v>A classificar</ns0:v>
      </ns0:c>
      <ns0:c r="R197" s="74"/>
      <ns0:c r="S197" s="74"/>
      <ns0:c r="T197" s="74"/>
      <ns0:c r="U197" s="74"/>
      <ns0:c r="V197" s="74"/>
      <ns0:c r="W197" s="76" t="n">
        <ns0:f t="shared" si="40"/>
        <ns0:v>0.2</ns0:v>
      </ns0:c>
      <ns0:c r="X197" s="74" t="str">
        <ns0:f t="shared" si="41"/>
        <ns0:v>C · Histórico/secundário</ns0:v>
      </ns0:c>
      <ns0:c r="Y197" s="74"/>
      <ns0:c r="Z197" s="74"/>
      <ns0:c r="AA197" s="74"/>
      <ns0:c r="AB197" s="74"/>
    </ns0:row>
    <ns0:row r="198">
      <ns0:c r="A198" s="71" t="s">
        <ns0:v>176</ns0:v>
      </ns0:c>
      <ns0:c r="B198" s="71" t="s">
        <ns0:v>202</ns0:v>
      </ns0:c>
      <ns0:c r="C198" s="71">
        <ns0:v>4</ns0:v>
      </ns0:c>
      <ns0:c r="D198" s="71" t="s">
        <ns0:v>31</ns0:v>
      </ns0:c>
      <ns0:c r="E198" s="74">
        <ns0:v>4</ns0:v>
      </ns0:c>
      <ns0:c r="F198" s="72">
        <ns0:v>99.6</ns0:v>
      </ns0:c>
      <ns0:c r="G198" s="72">
        <ns0:v>19.600000000000001</ns0:v>
      </ns0:c>
      <ns0:c r="H198" s="72">
        <ns0:v>119.19999999999999</ns0:v>
      </ns0:c>
      <ns0:c r="I198" s="73">
        <ns0:v>520000</ns0:v>
      </ns0:c>
      <ns0:c r="J198" s="71">
        <ns0:v>2024</ns0:v>
      </ns0:c>
      <ns0:c r="K198" s="73">
        <ns0:v>5220.8835341365466</ns0:v>
      </ns0:c>
      <ns0:c r="L198" s="73">
        <ns0:v>4362.4161073825508</ns0:v>
      </ns0:c>
      <ns0:c r="M198" s="74" t="str">
        <ns0:f t="shared" si="33"/>
        <ns0:v>Histórico</ns0:v>
      </ns0:c>
      <ns0:c r="N198" s="74"/>
      <ns0:c r="O198" s="74"/>
      <ns0:c r="P198" s="77"/>
      <ns0:c r="Q198" s="74" t="str">
        <ns0:f t="shared" si="34"/>
        <ns0:v>A classificar</ns0:v>
      </ns0:c>
      <ns0:c r="R198" s="74"/>
      <ns0:c r="S198" s="74"/>
      <ns0:c r="T198" s="74"/>
      <ns0:c r="U198" s="74"/>
      <ns0:c r="V198" s="74"/>
      <ns0:c r="W198" s="76" t="n">
        <ns0:f t="shared" si="40"/>
        <ns0:v>0.2</ns0:v>
      </ns0:c>
      <ns0:c r="X198" s="74" t="str">
        <ns0:f t="shared" si="41"/>
        <ns0:v>C · Histórico/secundário</ns0:v>
      </ns0:c>
      <ns0:c r="Y198" s="74"/>
      <ns0:c r="Z198" s="74"/>
      <ns0:c r="AA198" s="74"/>
      <ns0:c r="AB198" s="74"/>
    </ns0:row>
    <ns0:row r="199">
      <ns0:c r="A199" s="71" t="s">
        <ns0:v>203</ns0:v>
      </ns0:c>
      <ns0:c r="B199" s="71" t="s">
        <ns0:v>204</ns0:v>
      </ns0:c>
      <ns0:c r="C199" s="71">
        <ns0:v>0</ns0:v>
      </ns0:c>
      <ns0:c r="D199" s="71" t="s">
        <ns0:v>31</ns0:v>
      </ns0:c>
      <ns0:c r="E199" s="74">
        <ns0:v>2</ns0:v>
      </ns0:c>
      <ns0:c r="F199" s="72">
        <ns0:v>109.82</ns0:v>
      </ns0:c>
      <ns0:c r="G199" s="72">
        <ns0:v>13.43</ns0:v>
      </ns0:c>
      <ns0:c r="H199" s="72">
        <ns0:v>123.25</ns0:v>
      </ns0:c>
      <ns0:c r="I199" s="73">
        <ns0:v>457125</ns0:v>
      </ns0:c>
      <ns0:c r="J199" s="71">
        <ns0:v>2026</ns0:v>
      </ns0:c>
      <ns0:c r="K199" s="73">
        <ns0:v>4162.4931706428706</ns0:v>
      </ns0:c>
      <ns0:c r="L199" s="73">
        <ns0:v>3708.9249492900608</ns0:v>
      </ns0:c>
      <ns0:c r="M199" s="74" t="str">
        <ns0:f t="shared" si="33"/>
        <ns0:v>Ativo</ns0:v>
      </ns0:c>
      <ns0:c r="N199" s="74"/>
      <ns0:c r="O199" s="74"/>
      <ns0:c r="P199" s="77"/>
      <ns0:c r="Q199" s="74" t="s">
        <ns0:v>178</ns0:v>
      </ns0:c>
      <ns0:c r="R199" s="74"/>
      <ns0:c r="S199" s="74"/>
      <ns0:c r="T199" s="74"/>
      <ns0:c r="U199" s="74"/>
      <ns0:c r="V199" s="74"/>
      <ns0:c r="W199" s="76">
        <ns0:f t="shared" si="40"/>
        <ns0:v>0.7</ns0:v>
      </ns0:c>
      <ns0:c r="X199" s="74" t="str">
        <ns0:f t="shared" si="41"/>
        <ns0:v>B · Benchmark local</ns0:v>
      </ns0:c>
      <ns0:c r="Y199" s="74"/>
      <ns0:c r="Z199" s="74"/>
      <ns0:c r="AA199" s="74"/>
      <ns0:c r="AB199" s="74"/>
      <ns0:c r="AQ199" s="74" t="inlineStr">
        <ns0:is>
          <ns0:t>Faro</ns0:t>
        </ns0:is>
      </ns0:c>
      <ns0:c r="AR199" s="74" t="inlineStr">
        <ns0:is>
          <ns0:t>https://palaciobravenida.pt/localizacao/</ns0:t>
        </ns0:is>
      </ns0:c>
    </ns0:row>
    <ns0:row r="200">
      <ns0:c r="A200" s="71" t="s">
        <ns0:v>203</ns0:v>
      </ns0:c>
      <ns0:c r="B200" s="71" t="s">
        <ns0:v>205</ns0:v>
      </ns0:c>
      <ns0:c r="C200" s="71">
        <ns0:v>0</ns0:v>
      </ns0:c>
      <ns0:c r="D200" s="71" t="s">
        <ns0:v>31</ns0:v>
      </ns0:c>
      <ns0:c r="E200" s="74">
        <ns0:v>3</ns0:v>
      </ns0:c>
      <ns0:c r="F200" s="72">
        <ns0:v>99.22</ns0:v>
      </ns0:c>
      <ns0:c r="G200" s="72">
        <ns0:v>7.55</ns0:v>
      </ns0:c>
      <ns0:c r="H200" s="72">
        <ns0:v>106.77</ns0:v>
      </ns0:c>
      <ns0:c r="I200" s="73">
        <ns0:v>442750</ns0:v>
      </ns0:c>
      <ns0:c r="J200" s="71">
        <ns0:v>2026</ns0:v>
      </ns0:c>
      <ns0:c r="K200" s="73">
        <ns0:v>4462.3059866962303</ns0:v>
      </ns0:c>
      <ns0:c r="L200" s="73">
        <ns0:v>4146.7640723049544</ns0:v>
      </ns0:c>
      <ns0:c r="M200" s="74" t="str">
        <ns0:f t="shared" si="33"/>
        <ns0:v>Ativo</ns0:v>
      </ns0:c>
      <ns0:c r="N200" s="74"/>
      <ns0:c r="O200" s="74"/>
      <ns0:c r="P200" s="77"/>
      <ns0:c r="Q200" s="74" t="s">
        <ns0:v>178</ns0:v>
      </ns0:c>
      <ns0:c r="R200" s="74"/>
      <ns0:c r="S200" s="74"/>
      <ns0:c r="T200" s="74"/>
      <ns0:c r="U200" s="74"/>
      <ns0:c r="V200" s="74"/>
      <ns0:c r="W200" s="76">
        <ns0:f t="shared" si="40"/>
        <ns0:v>0.7</ns0:v>
      </ns0:c>
      <ns0:c r="X200" s="74" t="str">
        <ns0:f t="shared" si="41"/>
        <ns0:v>B · Benchmark local</ns0:v>
      </ns0:c>
      <ns0:c r="Y200" s="74"/>
      <ns0:c r="Z200" s="74"/>
      <ns0:c r="AA200" s="74"/>
      <ns0:c r="AB200" s="74"/>
      <ns0:c r="AQ200" s="74" t="inlineStr">
        <ns0:is>
          <ns0:t>Faro</ns0:t>
        </ns0:is>
      </ns0:c>
      <ns0:c r="AR200" s="74" t="inlineStr">
        <ns0:is>
          <ns0:t>https://palaciobravenida.pt/localizacao/</ns0:t>
        </ns0:is>
      </ns0:c>
    </ns0:row>
    <ns0:row r="201">
      <ns0:c r="A201" s="71" t="s">
        <ns0:v>203</ns0:v>
      </ns0:c>
      <ns0:c r="B201" s="71" t="s">
        <ns0:v>206</ns0:v>
      </ns0:c>
      <ns0:c r="C201" s="71">
        <ns0:v>0</ns0:v>
      </ns0:c>
      <ns0:c r="D201" s="71" t="s">
        <ns0:v>207</ns0:v>
      </ns0:c>
      <ns0:c r="E201" s="74">
        <ns0:v>2</ns0:v>
      </ns0:c>
      <ns0:c r="F201" s="72">
        <ns0:v>109.82</ns0:v>
      </ns0:c>
      <ns0:c r="G201" s="72">
        <ns0:v>9.52</ns0:v>
      </ns0:c>
      <ns0:c r="H201" s="72">
        <ns0:v>119.33999999999999</ns0:v>
      </ns0:c>
      <ns0:c r="I201" s="73">
        <ns0:v>447440</ns0:v>
      </ns0:c>
      <ns0:c r="J201" s="71">
        <ns0:v>2026</ns0:v>
      </ns0:c>
      <ns0:c r="K201" s="73">
        <ns0:v>4074.3034055727558</ns0:v>
      </ns0:c>
      <ns0:c r="L201" s="73">
        <ns0:v>3749.2877492877496</ns0:v>
      </ns0:c>
      <ns0:c r="M201" s="74" t="str">
        <ns0:f t="shared" si="33"/>
        <ns0:v>Ativo</ns0:v>
      </ns0:c>
      <ns0:c r="N201" s="74"/>
      <ns0:c r="O201" s="74"/>
      <ns0:c r="P201" s="77"/>
      <ns0:c r="Q201" s="74" t="s">
        <ns0:v>178</ns0:v>
      </ns0:c>
      <ns0:c r="R201" s="74"/>
      <ns0:c r="S201" s="74"/>
      <ns0:c r="T201" s="74"/>
      <ns0:c r="U201" s="74"/>
      <ns0:c r="V201" s="74"/>
      <ns0:c r="W201" s="76">
        <ns0:f t="shared" si="40"/>
        <ns0:v>0.7</ns0:v>
      </ns0:c>
      <ns0:c r="X201" s="74" t="str">
        <ns0:f t="shared" si="41"/>
        <ns0:v>B · Benchmark local</ns0:v>
      </ns0:c>
      <ns0:c r="Y201" s="74"/>
      <ns0:c r="Z201" s="74"/>
      <ns0:c r="AA201" s="74"/>
      <ns0:c r="AB201" s="74"/>
      <ns0:c r="AQ201" s="74" t="inlineStr">
        <ns0:is>
          <ns0:t>Faro</ns0:t>
        </ns0:is>
      </ns0:c>
      <ns0:c r="AR201" s="74" t="inlineStr">
        <ns0:is>
          <ns0:t>https://palaciobravenida.pt/localizacao/</ns0:t>
        </ns0:is>
      </ns0:c>
    </ns0:row>
    <ns0:row r="202">
      <ns0:c r="A202" s="71" t="s">
        <ns0:v>203</ns0:v>
      </ns0:c>
      <ns0:c r="B202" s="71" t="s">
        <ns0:v>208</ns0:v>
      </ns0:c>
      <ns0:c r="C202" s="71">
        <ns0:v>1</ns0:v>
      </ns0:c>
      <ns0:c r="D202" s="71" t="s">
        <ns0:v>104</ns0:v>
      </ns0:c>
      <ns0:c r="E202" s="74">
        <ns0:v>2</ns0:v>
      </ns0:c>
      <ns0:c r="F202" s="72">
        <ns0:v>161.07</ns0:v>
      </ns0:c>
      <ns0:c r="G202" s="72">
        <ns0:v>41.1</ns0:v>
      </ns0:c>
      <ns0:c r="H202" s="72">
        <ns0:v>202.17</ns0:v>
      </ns0:c>
      <ns0:c r="I202" s="73">
        <ns0:v>768900</ns0:v>
      </ns0:c>
      <ns0:c r="J202" s="71">
        <ns0:v>2026</ns0:v>
      </ns0:c>
      <ns0:c r="K202" s="73">
        <ns0:v>4773.7008753957907</ns0:v>
      </ns0:c>
      <ns0:c r="L202" s="73">
        <ns0:v>3803.2349013206708</ns0:v>
      </ns0:c>
      <ns0:c r="M202" s="74" t="str">
        <ns0:f t="shared" si="33"/>
        <ns0:v>Ativo</ns0:v>
      </ns0:c>
      <ns0:c r="N202" s="74"/>
      <ns0:c r="O202" s="74"/>
      <ns0:c r="P202" s="77"/>
      <ns0:c r="Q202" s="74" t="s">
        <ns0:v>178</ns0:v>
      </ns0:c>
      <ns0:c r="R202" s="74"/>
      <ns0:c r="S202" s="74"/>
      <ns0:c r="T202" s="74"/>
      <ns0:c r="U202" s="74"/>
      <ns0:c r="V202" s="74"/>
      <ns0:c r="W202" s="76">
        <ns0:f t="shared" si="40"/>
        <ns0:v>0.7</ns0:v>
      </ns0:c>
      <ns0:c r="X202" s="74" t="str">
        <ns0:f t="shared" si="41"/>
        <ns0:v>B · Benchmark local</ns0:v>
      </ns0:c>
      <ns0:c r="Y202" s="74"/>
      <ns0:c r="Z202" s="74"/>
      <ns0:c r="AA202" s="74"/>
      <ns0:c r="AB202" s="74"/>
      <ns0:c r="AQ202" s="74" t="inlineStr">
        <ns0:is>
          <ns0:t>Faro</ns0:t>
        </ns0:is>
      </ns0:c>
      <ns0:c r="AR202" s="74" t="inlineStr">
        <ns0:is>
          <ns0:t>https://palaciobravenida.pt/localizacao/</ns0:t>
        </ns0:is>
      </ns0:c>
    </ns0:row>
    <ns0:row r="203">
      <ns0:c r="A203" s="71" t="s">
        <ns0:v>203</ns0:v>
      </ns0:c>
      <ns0:c r="B203" s="71" t="s">
        <ns0:v>209</ns0:v>
      </ns0:c>
      <ns0:c r="C203" s="71">
        <ns0:v>1</ns0:v>
      </ns0:c>
      <ns0:c r="D203" s="71" t="s">
        <ns0:v>64</ns0:v>
      </ns0:c>
      <ns0:c r="E203" s="74">
        <ns0:v>2</ns0:v>
      </ns0:c>
      <ns0:c r="F203" s="72">
        <ns0:v>130.81</ns0:v>
      </ns0:c>
      <ns0:c r="G203" s="72">
        <ns0:v>22.05</ns0:v>
      </ns0:c>
      <ns0:c r="H203" s="72">
        <ns0:v>152.86000000000001</ns0:v>
      </ns0:c>
      <ns0:c r="I203" s="73">
        <ns0:v>605000</ns0:v>
      </ns0:c>
      <ns0:c r="J203" s="71">
        <ns0:v>2026</ns0:v>
      </ns0:c>
      <ns0:c r="K203" s="73">
        <ns0:v>4625.0286675330635</ns0:v>
      </ns0:c>
      <ns0:c r="L203" s="73">
        <ns0:v>3957.8699463561425</ns0:v>
      </ns0:c>
      <ns0:c r="M203" s="74" t="str">
        <ns0:f t="shared" si="33"/>
        <ns0:v>Ativo</ns0:v>
      </ns0:c>
      <ns0:c r="N203" s="74"/>
      <ns0:c r="O203" s="74"/>
      <ns0:c r="P203" s="77"/>
      <ns0:c r="Q203" s="74" t="s">
        <ns0:v>178</ns0:v>
      </ns0:c>
      <ns0:c r="R203" s="74"/>
      <ns0:c r="S203" s="74"/>
      <ns0:c r="T203" s="74"/>
      <ns0:c r="U203" s="74"/>
      <ns0:c r="V203" s="74"/>
      <ns0:c r="W203" s="76">
        <ns0:f t="shared" si="40"/>
        <ns0:v>0.7</ns0:v>
      </ns0:c>
      <ns0:c r="X203" s="74" t="str">
        <ns0:f t="shared" si="41"/>
        <ns0:v>B · Benchmark local</ns0:v>
      </ns0:c>
      <ns0:c r="Y203" s="74"/>
      <ns0:c r="Z203" s="74"/>
      <ns0:c r="AA203" s="74"/>
      <ns0:c r="AB203" s="74"/>
      <ns0:c r="AQ203" s="74" t="inlineStr">
        <ns0:is>
          <ns0:t>Faro</ns0:t>
        </ns0:is>
      </ns0:c>
      <ns0:c r="AR203" s="74" t="inlineStr">
        <ns0:is>
          <ns0:t>https://palaciobravenida.pt/localizacao/</ns0:t>
        </ns0:is>
      </ns0:c>
    </ns0:row>
    <ns0:row r="204">
      <ns0:c r="A204" s="71" t="s">
        <ns0:v>203</ns0:v>
      </ns0:c>
      <ns0:c r="B204" s="71" t="s">
        <ns0:v>210</ns0:v>
      </ns0:c>
      <ns0:c r="C204" s="71">
        <ns0:v>1</ns0:v>
      </ns0:c>
      <ns0:c r="D204" s="71" t="s">
        <ns0:v>31</ns0:v>
      </ns0:c>
      <ns0:c r="E204" s="74">
        <ns0:v>3</ns0:v>
      </ns0:c>
      <ns0:c r="F204" s="72">
        <ns0:v>107.34</ns0:v>
      </ns0:c>
      <ns0:c r="G204" s="72">
        <ns0:v>24.78</ns0:v>
      </ns0:c>
      <ns0:c r="H204" s="72">
        <ns0:v>132.12</ns0:v>
      </ns0:c>
      <ns0:c r="I204" s="73">
        <ns0:v>506000</ns0:v>
      </ns0:c>
      <ns0:c r="J204" s="71">
        <ns0:v>2026</ns0:v>
      </ns0:c>
      <ns0:c r="K204" s="73">
        <ns0:v>4713.9929196944286</ns0:v>
      </ns0:c>
      <ns0:c r="L204" s="73">
        <ns0:v>3829.8516500151377</ns0:v>
      </ns0:c>
      <ns0:c r="M204" s="74" t="str">
        <ns0:f t="shared" si="33"/>
        <ns0:v>Ativo</ns0:v>
      </ns0:c>
      <ns0:c r="N204" s="74"/>
      <ns0:c r="O204" s="74"/>
      <ns0:c r="P204" s="77"/>
      <ns0:c r="Q204" s="74" t="s">
        <ns0:v>178</ns0:v>
      </ns0:c>
      <ns0:c r="R204" s="74"/>
      <ns0:c r="S204" s="74"/>
      <ns0:c r="T204" s="74"/>
      <ns0:c r="U204" s="74"/>
      <ns0:c r="V204" s="74"/>
      <ns0:c r="W204" s="76">
        <ns0:f t="shared" si="40"/>
        <ns0:v>0.7</ns0:v>
      </ns0:c>
      <ns0:c r="X204" s="74" t="str">
        <ns0:f t="shared" si="41"/>
        <ns0:v>B · Benchmark local</ns0:v>
      </ns0:c>
      <ns0:c r="Y204" s="74"/>
      <ns0:c r="Z204" s="74"/>
      <ns0:c r="AA204" s="74"/>
      <ns0:c r="AB204" s="74"/>
      <ns0:c r="AQ204" s="74" t="inlineStr">
        <ns0:is>
          <ns0:t>Faro</ns0:t>
        </ns0:is>
      </ns0:c>
      <ns0:c r="AR204" s="74" t="inlineStr">
        <ns0:is>
          <ns0:t>https://palaciobravenida.pt/localizacao/</ns0:t>
        </ns0:is>
      </ns0:c>
    </ns0:row>
    <ns0:row r="205">
      <ns0:c r="A205" s="71" t="s">
        <ns0:v>203</ns0:v>
      </ns0:c>
      <ns0:c r="B205" s="71" t="s">
        <ns0:v>211</ns0:v>
      </ns0:c>
      <ns0:c r="C205" s="71">
        <ns0:v>2</ns0:v>
      </ns0:c>
      <ns0:c r="D205" s="71" t="s">
        <ns0:v>104</ns0:v>
      </ns0:c>
      <ns0:c r="E205" s="74">
        <ns0:v>2</ns0:v>
      </ns0:c>
      <ns0:c r="F205" s="72">
        <ns0:v>161.07</ns0:v>
      </ns0:c>
      <ns0:c r="G205" s="72">
        <ns0:v>41.1</ns0:v>
      </ns0:c>
      <ns0:c r="H205" s="72">
        <ns0:v>202.17</ns0:v>
      </ns0:c>
      <ns0:c r="I205" s="73">
        <ns0:v>808500</ns0:v>
      </ns0:c>
      <ns0:c r="J205" s="71">
        <ns0:v>2026</ns0:v>
      </ns0:c>
      <ns0:c r="K205" s="73">
        <ns0:v>5019.5567144719689</ns0:v>
      </ns0:c>
      <ns0:c r="L205" s="73">
        <ns0:v>3999.1096601869717</ns0:v>
      </ns0:c>
      <ns0:c r="M205" s="74" t="str">
        <ns0:f t="shared" si="33"/>
        <ns0:v>Ativo</ns0:v>
      </ns0:c>
      <ns0:c r="N205" s="74"/>
      <ns0:c r="O205" s="74"/>
      <ns0:c r="P205" s="77"/>
      <ns0:c r="Q205" s="74" t="s">
        <ns0:v>178</ns0:v>
      </ns0:c>
      <ns0:c r="R205" s="74"/>
      <ns0:c r="S205" s="74"/>
      <ns0:c r="T205" s="74"/>
      <ns0:c r="U205" s="74"/>
      <ns0:c r="V205" s="74"/>
      <ns0:c r="W205" s="76">
        <ns0:f t="shared" si="40"/>
        <ns0:v>0.7</ns0:v>
      </ns0:c>
      <ns0:c r="X205" s="74" t="str">
        <ns0:f t="shared" si="41"/>
        <ns0:v>B · Benchmark local</ns0:v>
      </ns0:c>
      <ns0:c r="Y205" s="74"/>
      <ns0:c r="Z205" s="74"/>
      <ns0:c r="AA205" s="74"/>
      <ns0:c r="AB205" s="74"/>
      <ns0:c r="AQ205" s="74" t="inlineStr">
        <ns0:is>
          <ns0:t>Faro</ns0:t>
        </ns0:is>
      </ns0:c>
      <ns0:c r="AR205" s="74" t="inlineStr">
        <ns0:is>
          <ns0:t>https://palaciobravenida.pt/localizacao/</ns0:t>
        </ns0:is>
      </ns0:c>
    </ns0:row>
    <ns0:row r="206">
      <ns0:c r="A206" s="71" t="s">
        <ns0:v>203</ns0:v>
      </ns0:c>
      <ns0:c r="B206" s="71" t="s">
        <ns0:v>212</ns0:v>
      </ns0:c>
      <ns0:c r="C206" s="71">
        <ns0:v>2</ns0:v>
      </ns0:c>
      <ns0:c r="D206" s="71" t="s">
        <ns0:v>64</ns0:v>
      </ns0:c>
      <ns0:c r="E206" s="74">
        <ns0:v>2</ns0:v>
      </ns0:c>
      <ns0:c r="F206" s="72">
        <ns0:v>130.81</ns0:v>
      </ns0:c>
      <ns0:c r="G206" s="72">
        <ns0:v>22.05</ns0:v>
      </ns0:c>
      <ns0:c r="H206" s="72">
        <ns0:v>152.86000000000001</ns0:v>
      </ns0:c>
      <ns0:c r="I206" s="73">
        <ns0:v>632500</ns0:v>
      </ns0:c>
      <ns0:c r="J206" s="71">
        <ns0:v>2026</ns0:v>
      </ns0:c>
      <ns0:c r="K206" s="73">
        <ns0:v>4835.2572433300202</ns0:v>
      </ns0:c>
      <ns0:c r="L206" s="73">
        <ns0:v>4137.7731257359674</ns0:v>
      </ns0:c>
      <ns0:c r="M206" s="74" t="str">
        <ns0:f t="shared" si="33"/>
        <ns0:v>Ativo</ns0:v>
      </ns0:c>
      <ns0:c r="N206" s="74"/>
      <ns0:c r="O206" s="74"/>
      <ns0:c r="P206" s="77"/>
      <ns0:c r="Q206" s="74" t="s">
        <ns0:v>178</ns0:v>
      </ns0:c>
      <ns0:c r="R206" s="74"/>
      <ns0:c r="S206" s="74"/>
      <ns0:c r="T206" s="74"/>
      <ns0:c r="U206" s="74"/>
      <ns0:c r="V206" s="74"/>
      <ns0:c r="W206" s="76">
        <ns0:f t="shared" si="40"/>
        <ns0:v>0.7</ns0:v>
      </ns0:c>
      <ns0:c r="X206" s="74" t="str">
        <ns0:f t="shared" si="41"/>
        <ns0:v>B · Benchmark local</ns0:v>
      </ns0:c>
      <ns0:c r="Y206" s="74"/>
      <ns0:c r="Z206" s="74"/>
      <ns0:c r="AA206" s="74"/>
      <ns0:c r="AB206" s="74"/>
      <ns0:c r="AQ206" s="74" t="inlineStr">
        <ns0:is>
          <ns0:t>Faro</ns0:t>
        </ns0:is>
      </ns0:c>
      <ns0:c r="AR206" s="74" t="inlineStr">
        <ns0:is>
          <ns0:t>https://palaciobravenida.pt/localizacao/</ns0:t>
        </ns0:is>
      </ns0:c>
    </ns0:row>
    <ns0:row r="207">
      <ns0:c r="A207" s="71" t="s">
        <ns0:v>203</ns0:v>
      </ns0:c>
      <ns0:c r="B207" s="71" t="s">
        <ns0:v>213</ns0:v>
      </ns0:c>
      <ns0:c r="C207" s="71">
        <ns0:v>2</ns0:v>
      </ns0:c>
      <ns0:c r="D207" s="71" t="s">
        <ns0:v>31</ns0:v>
      </ns0:c>
      <ns0:c r="E207" s="74">
        <ns0:v>2</ns0:v>
      </ns0:c>
      <ns0:c r="F207" s="72">
        <ns0:v>107.34</ns0:v>
      </ns0:c>
      <ns0:c r="G207" s="72">
        <ns0:v>24.78</ns0:v>
      </ns0:c>
      <ns0:c r="H207" s="72">
        <ns0:v>132.12</ns0:v>
      </ns0:c>
      <ns0:c r="I207" s="73">
        <ns0:v>517500</ns0:v>
      </ns0:c>
      <ns0:c r="J207" s="71">
        <ns0:v>2026</ns0:v>
      </ns0:c>
      <ns0:c r="K207" s="73">
        <ns0:v>4821.1291224147571</ns0:v>
      </ns0:c>
      <ns0:c r="L207" s="73">
        <ns0:v>3916.893732970027</ns0:v>
      </ns0:c>
      <ns0:c r="M207" s="74" t="str">
        <ns0:f t="shared" si="33"/>
        <ns0:v>Ativo</ns0:v>
      </ns0:c>
      <ns0:c r="N207" s="74"/>
      <ns0:c r="O207" s="74"/>
      <ns0:c r="P207" s="77"/>
      <ns0:c r="Q207" s="74" t="s">
        <ns0:v>178</ns0:v>
      </ns0:c>
      <ns0:c r="R207" s="74"/>
      <ns0:c r="S207" s="74"/>
      <ns0:c r="T207" s="74"/>
      <ns0:c r="U207" s="74"/>
      <ns0:c r="V207" s="74"/>
      <ns0:c r="W207" s="76">
        <ns0:f t="shared" si="40"/>
        <ns0:v>0.7</ns0:v>
      </ns0:c>
      <ns0:c r="X207" s="74" t="str">
        <ns0:f t="shared" si="41"/>
        <ns0:v>B · Benchmark local</ns0:v>
      </ns0:c>
      <ns0:c r="Y207" s="74"/>
      <ns0:c r="Z207" s="74"/>
      <ns0:c r="AA207" s="74"/>
      <ns0:c r="AB207" s="74"/>
      <ns0:c r="AQ207" s="74" t="inlineStr">
        <ns0:is>
          <ns0:t>Faro</ns0:t>
        </ns0:is>
      </ns0:c>
      <ns0:c r="AR207" s="74" t="inlineStr">
        <ns0:is>
          <ns0:t>https://palaciobravenida.pt/localizacao/</ns0:t>
        </ns0:is>
      </ns0:c>
    </ns0:row>
    <ns0:row r="208">
      <ns0:c r="A208" s="71" t="s">
        <ns0:v>203</ns0:v>
      </ns0:c>
      <ns0:c r="B208" s="71" t="s">
        <ns0:v>214</ns0:v>
      </ns0:c>
      <ns0:c r="C208" s="71">
        <ns0:v>2</ns0:v>
      </ns0:c>
      <ns0:c r="D208" s="71" t="s">
        <ns0:v>207</ns0:v>
      </ns0:c>
      <ns0:c r="E208" s="74">
        <ns0:v>2</ns0:v>
      </ns0:c>
      <ns0:c r="F208" s="72">
        <ns0:v>109.82</ns0:v>
      </ns0:c>
      <ns0:c r="G208" s="72">
        <ns0:v>9.52</ns0:v>
      </ns0:c>
      <ns0:c r="H208" s="72">
        <ns0:v>119.33999999999999</ns0:v>
      </ns0:c>
      <ns0:c r="I208" s="73">
        <ns0:v>498400</ns0:v>
      </ns0:c>
      <ns0:c r="J208" s="71">
        <ns0:v>2026</ns0:v>
      </ns0:c>
      <ns0:c r="K208" s="73">
        <ns0:v>4538.3354580222185</ns0:v>
      </ns0:c>
      <ns0:c r="L208" s="73">
        <ns0:v>4176.3029998324118</ns0:v>
      </ns0:c>
      <ns0:c r="M208" s="74" t="str">
        <ns0:f t="shared" si="33"/>
        <ns0:v>Ativo</ns0:v>
      </ns0:c>
      <ns0:c r="N208" s="74"/>
      <ns0:c r="O208" s="74"/>
      <ns0:c r="P208" s="77"/>
      <ns0:c r="Q208" s="74" t="s">
        <ns0:v>178</ns0:v>
      </ns0:c>
      <ns0:c r="R208" s="74"/>
      <ns0:c r="S208" s="74"/>
      <ns0:c r="T208" s="74"/>
      <ns0:c r="U208" s="74"/>
      <ns0:c r="V208" s="74"/>
      <ns0:c r="W208" s="76">
        <ns0:f t="shared" si="40"/>
        <ns0:v>0.7</ns0:v>
      </ns0:c>
      <ns0:c r="X208" s="74" t="str">
        <ns0:f t="shared" si="41"/>
        <ns0:v>B · Benchmark local</ns0:v>
      </ns0:c>
      <ns0:c r="Y208" s="74"/>
      <ns0:c r="Z208" s="74"/>
      <ns0:c r="AA208" s="74"/>
      <ns0:c r="AB208" s="74"/>
      <ns0:c r="AQ208" s="74" t="inlineStr">
        <ns0:is>
          <ns0:t>Faro</ns0:t>
        </ns0:is>
      </ns0:c>
      <ns0:c r="AR208" s="74" t="inlineStr">
        <ns0:is>
          <ns0:t>https://palaciobravenida.pt/localizacao/</ns0:t>
        </ns0:is>
      </ns0:c>
    </ns0:row>
    <ns0:row r="209">
      <ns0:c r="A209" s="71" t="s">
        <ns0:v>203</ns0:v>
      </ns0:c>
      <ns0:c r="B209" s="71" t="s">
        <ns0:v>215</ns0:v>
      </ns0:c>
      <ns0:c r="C209" s="71">
        <ns0:v>3</ns0:v>
      </ns0:c>
      <ns0:c r="D209" s="71" t="s">
        <ns0:v>104</ns0:v>
      </ns0:c>
      <ns0:c r="E209" s="74">
        <ns0:v>2</ns0:v>
      </ns0:c>
      <ns0:c r="F209" s="72">
        <ns0:v>161.07</ns0:v>
      </ns0:c>
      <ns0:c r="G209" s="72">
        <ns0:v>41.1</ns0:v>
      </ns0:c>
      <ns0:c r="H209" s="72">
        <ns0:v>202.17</ns0:v>
      </ns0:c>
      <ns0:c r="I209" s="73">
        <ns0:v>823900</ns0:v>
      </ns0:c>
      <ns0:c r="J209" s="71">
        <ns0:v>2026</ns0:v>
      </ns0:c>
      <ns0:c r="K209" s="73">
        <ns0:v>5115.167318557149</ns0:v>
      </ns0:c>
      <ns0:c r="L209" s="73">
        <ns0:v>4075.2831775238665</ns0:v>
      </ns0:c>
      <ns0:c r="M209" s="74" t="str">
        <ns0:f t="shared" si="33"/>
        <ns0:v>Ativo</ns0:v>
      </ns0:c>
      <ns0:c r="N209" s="74"/>
      <ns0:c r="O209" s="74"/>
      <ns0:c r="P209" s="77"/>
      <ns0:c r="Q209" s="74" t="s">
        <ns0:v>178</ns0:v>
      </ns0:c>
      <ns0:c r="R209" s="74"/>
      <ns0:c r="S209" s="74"/>
      <ns0:c r="T209" s="74"/>
      <ns0:c r="U209" s="74"/>
      <ns0:c r="V209" s="74"/>
      <ns0:c r="W209" s="76">
        <ns0:f t="shared" si="40"/>
        <ns0:v>0.7</ns0:v>
      </ns0:c>
      <ns0:c r="X209" s="74" t="str">
        <ns0:f t="shared" si="41"/>
        <ns0:v>B · Benchmark local</ns0:v>
      </ns0:c>
      <ns0:c r="Y209" s="74"/>
      <ns0:c r="Z209" s="74"/>
      <ns0:c r="AA209" s="74"/>
      <ns0:c r="AB209" s="74"/>
      <ns0:c r="AQ209" s="74" t="inlineStr">
        <ns0:is>
          <ns0:t>Faro</ns0:t>
        </ns0:is>
      </ns0:c>
      <ns0:c r="AR209" s="74" t="inlineStr">
        <ns0:is>
          <ns0:t>https://palaciobravenida.pt/localizacao/</ns0:t>
        </ns0:is>
      </ns0:c>
    </ns0:row>
    <ns0:row r="210">
      <ns0:c r="A210" s="71" t="s">
        <ns0:v>203</ns0:v>
      </ns0:c>
      <ns0:c r="B210" s="71" t="s">
        <ns0:v>216</ns0:v>
      </ns0:c>
      <ns0:c r="C210" s="71">
        <ns0:v>3</ns0:v>
      </ns0:c>
      <ns0:c r="D210" s="71" t="s">
        <ns0:v>64</ns0:v>
      </ns0:c>
      <ns0:c r="E210" s="74">
        <ns0:v>2</ns0:v>
      </ns0:c>
      <ns0:c r="F210" s="72">
        <ns0:v>130.81</ns0:v>
      </ns0:c>
      <ns0:c r="G210" s="72">
        <ns0:v>22.05</ns0:v>
      </ns0:c>
      <ns0:c r="H210" s="72">
        <ns0:v>152.86000000000001</ns0:v>
      </ns0:c>
      <ns0:c r="I210" s="73">
        <ns0:v>654500</ns0:v>
      </ns0:c>
      <ns0:c r="J210" s="71">
        <ns0:v>2026</ns0:v>
      </ns0:c>
      <ns0:c r="K210" s="73">
        <ns0:v>5003.4401039675868</ns0:v>
      </ns0:c>
      <ns0:c r="L210" s="73">
        <ns0:v>4281.6956692398271</ns0:v>
      </ns0:c>
      <ns0:c r="M210" s="74" t="str">
        <ns0:f t="shared" si="33"/>
        <ns0:v>Ativo</ns0:v>
      </ns0:c>
      <ns0:c r="N210" s="74"/>
      <ns0:c r="O210" s="74"/>
      <ns0:c r="P210" s="77"/>
      <ns0:c r="Q210" s="74" t="s">
        <ns0:v>178</ns0:v>
      </ns0:c>
      <ns0:c r="R210" s="74"/>
      <ns0:c r="S210" s="74"/>
      <ns0:c r="T210" s="74"/>
      <ns0:c r="U210" s="74"/>
      <ns0:c r="V210" s="74"/>
      <ns0:c r="W210" s="76">
        <ns0:f t="shared" si="40"/>
        <ns0:v>0.7</ns0:v>
      </ns0:c>
      <ns0:c r="X210" s="74" t="str">
        <ns0:f t="shared" si="41"/>
        <ns0:v>B · Benchmark local</ns0:v>
      </ns0:c>
      <ns0:c r="Y210" s="74"/>
      <ns0:c r="Z210" s="74"/>
      <ns0:c r="AA210" s="74"/>
      <ns0:c r="AB210" s="74"/>
      <ns0:c r="AQ210" s="74" t="inlineStr">
        <ns0:is>
          <ns0:t>Faro</ns0:t>
        </ns0:is>
      </ns0:c>
      <ns0:c r="AR210" s="74" t="inlineStr">
        <ns0:is>
          <ns0:t>https://palaciobravenida.pt/localizacao/</ns0:t>
        </ns0:is>
      </ns0:c>
    </ns0:row>
    <ns0:row r="211">
      <ns0:c r="A211" s="71" t="s">
        <ns0:v>203</ns0:v>
      </ns0:c>
      <ns0:c r="B211" s="71" t="s">
        <ns0:v>217</ns0:v>
      </ns0:c>
      <ns0:c r="C211" s="71">
        <ns0:v>3</ns0:v>
      </ns0:c>
      <ns0:c r="D211" s="71" t="s">
        <ns0:v>31</ns0:v>
      </ns0:c>
      <ns0:c r="E211" s="74">
        <ns0:v>3</ns0:v>
      </ns0:c>
      <ns0:c r="F211" s="72">
        <ns0:v>107.34</ns0:v>
      </ns0:c>
      <ns0:c r="G211" s="72">
        <ns0:v>24.78</ns0:v>
      </ns0:c>
      <ns0:c r="H211" s="72">
        <ns0:v>132.12</ns0:v>
      </ns0:c>
      <ns0:c r="I211" s="73">
        <ns0:v>540500</ns0:v>
      </ns0:c>
      <ns0:c r="J211" s="71">
        <ns0:v>2026</ns0:v>
      </ns0:c>
      <ns0:c r="K211" s="73">
        <ns0:v>5035.4015278554125</ns0:v>
      </ns0:c>
      <ns0:c r="L211" s="73">
        <ns0:v>4090.9778988798062</ns0:v>
      </ns0:c>
      <ns0:c r="M211" s="74" t="str">
        <ns0:f t="shared" si="33"/>
        <ns0:v>Ativo</ns0:v>
      </ns0:c>
      <ns0:c r="N211" s="74"/>
      <ns0:c r="O211" s="74"/>
      <ns0:c r="P211" s="77"/>
      <ns0:c r="Q211" s="74" t="s">
        <ns0:v>178</ns0:v>
      </ns0:c>
      <ns0:c r="R211" s="74"/>
      <ns0:c r="S211" s="74"/>
      <ns0:c r="T211" s="74"/>
      <ns0:c r="U211" s="74"/>
      <ns0:c r="V211" s="74"/>
      <ns0:c r="W211" s="76">
        <ns0:f t="shared" si="40"/>
        <ns0:v>0.7</ns0:v>
      </ns0:c>
      <ns0:c r="X211" s="74" t="str">
        <ns0:f t="shared" si="41"/>
        <ns0:v>B · Benchmark local</ns0:v>
      </ns0:c>
      <ns0:c r="Y211" s="74"/>
      <ns0:c r="Z211" s="74"/>
      <ns0:c r="AA211" s="74"/>
      <ns0:c r="AB211" s="74"/>
      <ns0:c r="AQ211" s="74" t="inlineStr">
        <ns0:is>
          <ns0:t>Faro</ns0:t>
        </ns0:is>
      </ns0:c>
      <ns0:c r="AR211" s="74" t="inlineStr">
        <ns0:is>
          <ns0:t>https://palaciobravenida.pt/localizacao/</ns0:t>
        </ns0:is>
      </ns0:c>
    </ns0:row>
    <ns0:row r="212">
      <ns0:c r="A212" s="71" t="s">
        <ns0:v>203</ns0:v>
      </ns0:c>
      <ns0:c r="B212" s="71" t="s">
        <ns0:v>218</ns0:v>
      </ns0:c>
      <ns0:c r="C212" s="71">
        <ns0:v>4</ns0:v>
      </ns0:c>
      <ns0:c r="D212" s="71" t="s">
        <ns0:v>104</ns0:v>
      </ns0:c>
      <ns0:c r="E212" s="74">
        <ns0:v>2</ns0:v>
      </ns0:c>
      <ns0:c r="F212" s="72">
        <ns0:v>161.07</ns0:v>
      </ns0:c>
      <ns0:c r="G212" s="72">
        <ns0:v>41.1</ns0:v>
      </ns0:c>
      <ns0:c r="H212" s="72">
        <ns0:v>202.17</ns0:v>
      </ns0:c>
      <ns0:c r="I212" s="73">
        <ns0:v>845900</ns0:v>
      </ns0:c>
      <ns0:c r="J212" s="71">
        <ns0:v>2026</ns0:v>
      </ns0:c>
      <ns0:c r="K212" s="73">
        <ns0:v>5251.7538958216928</ns0:v>
      </ns0:c>
      <ns0:c r="L212" s="73">
        <ns0:v>4184.1024880051446</ns0:v>
      </ns0:c>
      <ns0:c r="M212" s="74" t="str">
        <ns0:f t="shared" si="33"/>
        <ns0:v>Ativo</ns0:v>
      </ns0:c>
      <ns0:c r="N212" s="74"/>
      <ns0:c r="O212" s="74"/>
      <ns0:c r="P212" s="77"/>
      <ns0:c r="Q212" s="74" t="s">
        <ns0:v>178</ns0:v>
      </ns0:c>
      <ns0:c r="R212" s="74"/>
      <ns0:c r="S212" s="74"/>
      <ns0:c r="T212" s="74"/>
      <ns0:c r="U212" s="74"/>
      <ns0:c r="V212" s="74"/>
      <ns0:c r="W212" s="76">
        <ns0:f t="shared" si="40"/>
        <ns0:v>0.7</ns0:v>
      </ns0:c>
      <ns0:c r="X212" s="74" t="str">
        <ns0:f t="shared" si="41"/>
        <ns0:v>B · Benchmark local</ns0:v>
      </ns0:c>
      <ns0:c r="Y212" s="74"/>
      <ns0:c r="Z212" s="74"/>
      <ns0:c r="AA212" s="74"/>
      <ns0:c r="AB212" s="74"/>
      <ns0:c r="AQ212" s="74" t="inlineStr">
        <ns0:is>
          <ns0:t>Faro</ns0:t>
        </ns0:is>
      </ns0:c>
      <ns0:c r="AR212" s="74" t="inlineStr">
        <ns0:is>
          <ns0:t>https://palaciobravenida.pt/localizacao/</ns0:t>
        </ns0:is>
      </ns0:c>
    </ns0:row>
    <ns0:row r="213">
      <ns0:c r="A213" s="71" t="s">
        <ns0:v>203</ns0:v>
      </ns0:c>
      <ns0:c r="B213" s="71" t="s">
        <ns0:v>219</ns0:v>
      </ns0:c>
      <ns0:c r="C213" s="71">
        <ns0:v>4</ns0:v>
      </ns0:c>
      <ns0:c r="D213" s="71" t="s">
        <ns0:v>64</ns0:v>
      </ns0:c>
      <ns0:c r="E213" s="74">
        <ns0:v>2</ns0:v>
      </ns0:c>
      <ns0:c r="F213" s="72">
        <ns0:v>130.81</ns0:v>
      </ns0:c>
      <ns0:c r="G213" s="72">
        <ns0:v>22.05</ns0:v>
      </ns0:c>
      <ns0:c r="H213" s="72">
        <ns0:v>152.86000000000001</ns0:v>
      </ns0:c>
      <ns0:c r="I213" s="73">
        <ns0:v>682000</ns0:v>
      </ns0:c>
      <ns0:c r="J213" s="71">
        <ns0:v>2026</ns0:v>
      </ns0:c>
      <ns0:c r="K213" s="73">
        <ns0:v>5213.6686797645443</ns0:v>
      </ns0:c>
      <ns0:c r="L213" s="73">
        <ns0:v>4461.598848619652</ns0:v>
      </ns0:c>
      <ns0:c r="M213" s="74" t="str">
        <ns0:f t="shared" si="33"/>
        <ns0:v>Ativo</ns0:v>
      </ns0:c>
      <ns0:c r="N213" s="74"/>
      <ns0:c r="O213" s="74"/>
      <ns0:c r="P213" s="77"/>
      <ns0:c r="Q213" s="74" t="s">
        <ns0:v>178</ns0:v>
      </ns0:c>
      <ns0:c r="R213" s="74"/>
      <ns0:c r="S213" s="74"/>
      <ns0:c r="T213" s="74"/>
      <ns0:c r="U213" s="74"/>
      <ns0:c r="V213" s="74"/>
      <ns0:c r="W213" s="76">
        <ns0:f t="shared" si="40"/>
        <ns0:v>0.7</ns0:v>
      </ns0:c>
      <ns0:c r="X213" s="74" t="str">
        <ns0:f t="shared" si="41"/>
        <ns0:v>B · Benchmark local</ns0:v>
      </ns0:c>
      <ns0:c r="Y213" s="74"/>
      <ns0:c r="Z213" s="74"/>
      <ns0:c r="AA213" s="74"/>
      <ns0:c r="AB213" s="74"/>
      <ns0:c r="AQ213" s="74" t="inlineStr">
        <ns0:is>
          <ns0:t>Faro</ns0:t>
        </ns0:is>
      </ns0:c>
      <ns0:c r="AR213" s="74" t="inlineStr">
        <ns0:is>
          <ns0:t>https://palaciobravenida.pt/localizacao/</ns0:t>
        </ns0:is>
      </ns0:c>
    </ns0:row>
    <ns0:row r="214">
      <ns0:c r="A214" s="71" t="s">
        <ns0:v>203</ns0:v>
      </ns0:c>
      <ns0:c r="B214" s="71" t="s">
        <ns0:v>220</ns0:v>
      </ns0:c>
      <ns0:c r="C214" s="71">
        <ns0:v>4</ns0:v>
      </ns0:c>
      <ns0:c r="D214" s="71" t="s">
        <ns0:v>31</ns0:v>
      </ns0:c>
      <ns0:c r="E214" s="74">
        <ns0:v>3</ns0:v>
      </ns0:c>
      <ns0:c r="F214" s="72">
        <ns0:v>107.34</ns0:v>
      </ns0:c>
      <ns0:c r="G214" s="72">
        <ns0:v>24.78</ns0:v>
      </ns0:c>
      <ns0:c r="H214" s="72">
        <ns0:v>132.12</ns0:v>
      </ns0:c>
      <ns0:c r="I214" s="73">
        <ns0:v>557750</ns0:v>
      </ns0:c>
      <ns0:c r="J214" s="71">
        <ns0:v>2026</ns0:v>
      </ns0:c>
      <ns0:c r="K214" s="73">
        <ns0:v>5196.1058319359045</ns0:v>
      </ns0:c>
      <ns0:c r="L214" s="73">
        <ns0:v>4221.5410233121402</ns0:v>
      </ns0:c>
      <ns0:c r="M214" s="74" t="str">
        <ns0:f t="shared" si="33"/>
        <ns0:v>Ativo</ns0:v>
      </ns0:c>
      <ns0:c r="N214" s="74"/>
      <ns0:c r="O214" s="74"/>
      <ns0:c r="P214" s="77"/>
      <ns0:c r="Q214" s="74" t="s">
        <ns0:v>178</ns0:v>
      </ns0:c>
      <ns0:c r="R214" s="74"/>
      <ns0:c r="S214" s="74"/>
      <ns0:c r="T214" s="74"/>
      <ns0:c r="U214" s="74"/>
      <ns0:c r="V214" s="74"/>
      <ns0:c r="W214" s="76">
        <ns0:f t="shared" si="40"/>
        <ns0:v>0.7</ns0:v>
      </ns0:c>
      <ns0:c r="X214" s="74" t="str">
        <ns0:f t="shared" si="41"/>
        <ns0:v>B · Benchmark local</ns0:v>
      </ns0:c>
      <ns0:c r="Y214" s="74"/>
      <ns0:c r="Z214" s="74"/>
      <ns0:c r="AA214" s="74"/>
      <ns0:c r="AB214" s="74"/>
      <ns0:c r="AQ214" s="74" t="inlineStr">
        <ns0:is>
          <ns0:t>Faro</ns0:t>
        </ns0:is>
      </ns0:c>
      <ns0:c r="AR214" s="74" t="inlineStr">
        <ns0:is>
          <ns0:t>https://palaciobravenida.pt/localizacao/</ns0:t>
        </ns0:is>
      </ns0:c>
    </ns0:row>
    <ns0:row r="215">
      <ns0:c r="A215" s="71" t="s">
        <ns0:v>203</ns0:v>
      </ns0:c>
      <ns0:c r="B215" s="71" t="s">
        <ns0:v>221</ns0:v>
      </ns0:c>
      <ns0:c r="C215" s="71">
        <ns0:v>4</ns0:v>
      </ns0:c>
      <ns0:c r="D215" s="71" t="s">
        <ns0:v>207</ns0:v>
      </ns0:c>
      <ns0:c r="E215" s="74">
        <ns0:v>2</ns0:v>
      </ns0:c>
      <ns0:c r="F215" s="72">
        <ns0:v>109.82</ns0:v>
      </ns0:c>
      <ns0:c r="G215" s="72">
        <ns0:v>9.52</ns0:v>
      </ns0:c>
      <ns0:c r="H215" s="72">
        <ns0:v>119.33999999999999</ns0:v>
      </ns0:c>
      <ns0:c r="I215" s="73">
        <ns0:v>510720</ns0:v>
      </ns0:c>
      <ns0:c r="J215" s="71">
        <ns0:v>2026</ns0:v>
      </ns0:c>
      <ns0:c r="K215" s="73">
        <ns0:v>4650.5190311418692</ns0:v>
      </ns0:c>
      <ns0:c r="L215" s="73">
        <ns0:v>4279.5374560080445</ns0:v>
      </ns0:c>
      <ns0:c r="M215" s="74" t="str">
        <ns0:f t="shared" si="33"/>
        <ns0:v>Ativo</ns0:v>
      </ns0:c>
      <ns0:c r="N215" s="74"/>
      <ns0:c r="O215" s="74"/>
      <ns0:c r="P215" s="77"/>
      <ns0:c r="Q215" s="74" t="s">
        <ns0:v>178</ns0:v>
      </ns0:c>
      <ns0:c r="R215" s="74"/>
      <ns0:c r="S215" s="74"/>
      <ns0:c r="T215" s="74"/>
      <ns0:c r="U215" s="74"/>
      <ns0:c r="V215" s="74"/>
      <ns0:c r="W215" s="76">
        <ns0:f t="shared" si="40"/>
        <ns0:v>0.7</ns0:v>
      </ns0:c>
      <ns0:c r="X215" s="74" t="str">
        <ns0:f t="shared" si="41"/>
        <ns0:v>B · Benchmark local</ns0:v>
      </ns0:c>
      <ns0:c r="Y215" s="74"/>
      <ns0:c r="Z215" s="74"/>
      <ns0:c r="AA215" s="74"/>
      <ns0:c r="AB215" s="74"/>
      <ns0:c r="AQ215" s="74" t="inlineStr">
        <ns0:is>
          <ns0:t>Faro</ns0:t>
        </ns0:is>
      </ns0:c>
      <ns0:c r="AR215" s="74" t="inlineStr">
        <ns0:is>
          <ns0:t>https://palaciobravenida.pt/localizacao/</ns0:t>
        </ns0:is>
      </ns0:c>
    </ns0:row>
    <ns0:row r="216">
      <ns0:c r="A216" s="71" t="s">
        <ns0:v>203</ns0:v>
      </ns0:c>
      <ns0:c r="B216" s="71" t="s">
        <ns0:v>222</ns0:v>
      </ns0:c>
      <ns0:c r="C216" s="71">
        <ns0:v>4</ns0:v>
      </ns0:c>
      <ns0:c r="D216" s="71" t="s">
        <ns0:v>64</ns0:v>
      </ns0:c>
      <ns0:c r="E216" s="74">
        <ns0:v>2</ns0:v>
      </ns0:c>
      <ns0:c r="F216" s="72">
        <ns0:v>122.15</ns0:v>
      </ns0:c>
      <ns0:c r="G216" s="72">
        <ns0:v>28.36</ns0:v>
      </ns0:c>
      <ns0:c r="H216" s="72">
        <ns0:v>150.51</ns0:v>
      </ns0:c>
      <ns0:c r="I216" s="73">
        <ns0:v>654500</ns0:v>
      </ns0:c>
      <ns0:c r="J216" s="71">
        <ns0:v>2026</ns0:v>
      </ns0:c>
      <ns0:c r="K216" s="73">
        <ns0:v>5358.1661891117474</ns0:v>
      </ns0:c>
      <ns0:c r="L216" s="73">
        <ns0:v>4348.5482692179921</ns0:v>
      </ns0:c>
      <ns0:c r="M216" s="74" t="str">
        <ns0:f t="shared" si="33"/>
        <ns0:v>Ativo</ns0:v>
      </ns0:c>
      <ns0:c r="N216" s="74"/>
      <ns0:c r="O216" s="74"/>
      <ns0:c r="P216" s="77"/>
      <ns0:c r="Q216" s="74" t="s">
        <ns0:v>178</ns0:v>
      </ns0:c>
      <ns0:c r="R216" s="74"/>
      <ns0:c r="S216" s="74"/>
      <ns0:c r="T216" s="74"/>
      <ns0:c r="U216" s="74"/>
      <ns0:c r="V216" s="74"/>
      <ns0:c r="W216" s="76">
        <ns0:f t="shared" si="40"/>
        <ns0:v>0.7</ns0:v>
      </ns0:c>
      <ns0:c r="X216" s="74" t="str">
        <ns0:f t="shared" si="41"/>
        <ns0:v>B · Benchmark local</ns0:v>
      </ns0:c>
      <ns0:c r="Y216" s="74"/>
      <ns0:c r="Z216" s="74"/>
      <ns0:c r="AA216" s="74"/>
      <ns0:c r="AB216" s="74"/>
      <ns0:c r="AQ216" s="74" t="inlineStr">
        <ns0:is>
          <ns0:t>Faro</ns0:t>
        </ns0:is>
      </ns0:c>
      <ns0:c r="AR216" s="74" t="inlineStr">
        <ns0:is>
          <ns0:t>https://palaciobravenida.pt/localizacao/</ns0:t>
        </ns0:is>
      </ns0:c>
    </ns0:row>
    <ns0:row r="217">
      <ns0:c r="A217" s="71" t="s">
        <ns0:v>203</ns0:v>
      </ns0:c>
      <ns0:c r="B217" s="71" t="s">
        <ns0:v>223</ns0:v>
      </ns0:c>
      <ns0:c r="C217" s="71">
        <ns0:v>5</ns0:v>
      </ns0:c>
      <ns0:c r="D217" s="71" t="s">
        <ns0:v>104</ns0:v>
      </ns0:c>
      <ns0:c r="E217" s="74">
        <ns0:v>2</ns0:v>
      </ns0:c>
      <ns0:c r="F217" s="72">
        <ns0:v>161.07</ns0:v>
      </ns0:c>
      <ns0:c r="G217" s="72">
        <ns0:v>41.1</ns0:v>
      </ns0:c>
      <ns0:c r="H217" s="72">
        <ns0:v>202.17</ns0:v>
      </ns0:c>
      <ns0:c r="I217" s="73">
        <ns0:v>867900</ns0:v>
      </ns0:c>
      <ns0:c r="J217" s="71">
        <ns0:v>2026</ns0:v>
      </ns0:c>
      <ns0:c r="K217" s="73">
        <ns0:v>5388.3404730862358</ns0:v>
      </ns0:c>
      <ns0:c r="L217" s="73">
        <ns0:v>4292.9217984864226</ns0:v>
      </ns0:c>
      <ns0:c r="M217" s="74" t="str">
        <ns0:f t="shared" si="33"/>
        <ns0:v>Ativo</ns0:v>
      </ns0:c>
      <ns0:c r="N217" s="74"/>
      <ns0:c r="O217" s="74"/>
      <ns0:c r="P217" s="77"/>
      <ns0:c r="Q217" s="74" t="s">
        <ns0:v>178</ns0:v>
      </ns0:c>
      <ns0:c r="R217" s="74"/>
      <ns0:c r="S217" s="74"/>
      <ns0:c r="T217" s="74"/>
      <ns0:c r="U217" s="74"/>
      <ns0:c r="V217" s="74"/>
      <ns0:c r="W217" s="76">
        <ns0:f t="shared" si="40"/>
        <ns0:v>0.7</ns0:v>
      </ns0:c>
      <ns0:c r="X217" s="74" t="str">
        <ns0:f t="shared" si="41"/>
        <ns0:v>B · Benchmark local</ns0:v>
      </ns0:c>
      <ns0:c r="Y217" s="74"/>
      <ns0:c r="Z217" s="74"/>
      <ns0:c r="AA217" s="74"/>
      <ns0:c r="AB217" s="74"/>
      <ns0:c r="AQ217" s="74" t="inlineStr">
        <ns0:is>
          <ns0:t>Faro</ns0:t>
        </ns0:is>
      </ns0:c>
      <ns0:c r="AR217" s="74" t="inlineStr">
        <ns0:is>
          <ns0:t>https://palaciobravenida.pt/localizacao/</ns0:t>
        </ns0:is>
      </ns0:c>
    </ns0:row>
    <ns0:row r="218">
      <ns0:c r="A218" s="71" t="s">
        <ns0:v>203</ns0:v>
      </ns0:c>
      <ns0:c r="B218" s="71" t="s">
        <ns0:v>224</ns0:v>
      </ns0:c>
      <ns0:c r="C218" s="71">
        <ns0:v>5</ns0:v>
      </ns0:c>
      <ns0:c r="D218" s="71" t="s">
        <ns0:v>64</ns0:v>
      </ns0:c>
      <ns0:c r="E218" s="74">
        <ns0:v>2</ns0:v>
      </ns0:c>
      <ns0:c r="F218" s="72">
        <ns0:v>130.81</ns0:v>
      </ns0:c>
      <ns0:c r="G218" s="72">
        <ns0:v>22.05</ns0:v>
      </ns0:c>
      <ns0:c r="H218" s="72">
        <ns0:v>152.86000000000001</ns0:v>
      </ns0:c>
      <ns0:c r="I218" s="73">
        <ns0:v>720500</ns0:v>
      </ns0:c>
      <ns0:c r="J218" s="71">
        <ns0:v>2026</ns0:v>
      </ns0:c>
      <ns0:c r="K218" s="73">
        <ns0:v>5507.9886858802847</ns0:v>
      </ns0:c>
      <ns0:c r="L218" s="73">
        <ns0:v>4713.4632997514063</ns0:v>
      </ns0:c>
      <ns0:c r="M218" s="74" t="str">
        <ns0:f t="shared" si="33"/>
        <ns0:v>Ativo</ns0:v>
      </ns0:c>
      <ns0:c r="N218" s="74"/>
      <ns0:c r="O218" s="74"/>
      <ns0:c r="P218" s="77"/>
      <ns0:c r="Q218" s="74" t="s">
        <ns0:v>178</ns0:v>
      </ns0:c>
      <ns0:c r="R218" s="74"/>
      <ns0:c r="S218" s="74"/>
      <ns0:c r="T218" s="74"/>
      <ns0:c r="U218" s="74"/>
      <ns0:c r="V218" s="74"/>
      <ns0:c r="W218" s="76">
        <ns0:f t="shared" si="40"/>
        <ns0:v>0.7</ns0:v>
      </ns0:c>
      <ns0:c r="X218" s="74" t="str">
        <ns0:f t="shared" si="41"/>
        <ns0:v>B · Benchmark local</ns0:v>
      </ns0:c>
      <ns0:c r="Y218" s="74"/>
      <ns0:c r="Z218" s="74"/>
      <ns0:c r="AA218" s="74"/>
      <ns0:c r="AB218" s="74"/>
      <ns0:c r="AQ218" s="74" t="inlineStr">
        <ns0:is>
          <ns0:t>Faro</ns0:t>
        </ns0:is>
      </ns0:c>
      <ns0:c r="AR218" s="74" t="inlineStr">
        <ns0:is>
          <ns0:t>https://palaciobravenida.pt/localizacao/</ns0:t>
        </ns0:is>
      </ns0:c>
    </ns0:row>
    <ns0:row r="219">
      <ns0:c r="A219" s="71" t="s">
        <ns0:v>203</ns0:v>
      </ns0:c>
      <ns0:c r="B219" s="71" t="s">
        <ns0:v>225</ns0:v>
      </ns0:c>
      <ns0:c r="C219" s="71">
        <ns0:v>5</ns0:v>
      </ns0:c>
      <ns0:c r="D219" s="71" t="s">
        <ns0:v>31</ns0:v>
      </ns0:c>
      <ns0:c r="E219" s="74">
        <ns0:v>3</ns0:v>
      </ns0:c>
      <ns0:c r="F219" s="72">
        <ns0:v>99.21</ns0:v>
      </ns0:c>
      <ns0:c r="G219" s="72">
        <ns0:v>28.64</ns0:v>
      </ns0:c>
      <ns0:c r="H219" s="72">
        <ns0:v>127.85</ns0:v>
      </ns0:c>
      <ns0:c r="I219" s="73">
        <ns0:v>534750</ns0:v>
      </ns0:c>
      <ns0:c r="J219" s="71">
        <ns0:v>2026</ns0:v>
      </ns0:c>
      <ns0:c r="K219" s="73">
        <ns0:v>5390.0816449954646</ns0:v>
      </ns0:c>
      <ns0:c r="L219" s="73">
        <ns0:v>4182.6359014470081</ns0:v>
      </ns0:c>
      <ns0:c r="M219" s="74" t="str">
        <ns0:f t="shared" si="33"/>
        <ns0:v>Ativo</ns0:v>
      </ns0:c>
      <ns0:c r="N219" s="74"/>
      <ns0:c r="O219" s="74"/>
      <ns0:c r="P219" s="77"/>
      <ns0:c r="Q219" s="74" t="s">
        <ns0:v>178</ns0:v>
      </ns0:c>
      <ns0:c r="R219" s="74"/>
      <ns0:c r="S219" s="74"/>
      <ns0:c r="T219" s="74"/>
      <ns0:c r="U219" s="74"/>
      <ns0:c r="V219" s="74"/>
      <ns0:c r="W219" s="76">
        <ns0:f t="shared" si="40"/>
        <ns0:v>0.7</ns0:v>
      </ns0:c>
      <ns0:c r="X219" s="74" t="str">
        <ns0:f t="shared" si="41"/>
        <ns0:v>B · Benchmark local</ns0:v>
      </ns0:c>
      <ns0:c r="Y219" s="74"/>
      <ns0:c r="Z219" s="74"/>
      <ns0:c r="AA219" s="74"/>
      <ns0:c r="AB219" s="74"/>
      <ns0:c r="AQ219" s="74" t="inlineStr">
        <ns0:is>
          <ns0:t>Faro</ns0:t>
        </ns0:is>
      </ns0:c>
      <ns0:c r="AR219" s="74" t="inlineStr">
        <ns0:is>
          <ns0:t>https://palaciobravenida.pt/localizacao/</ns0:t>
        </ns0:is>
      </ns0:c>
    </ns0:row>
    <ns0:row r="220">
      <ns0:c r="A220" s="71" t="s">
        <ns0:v>203</ns0:v>
      </ns0:c>
      <ns0:c r="B220" s="71" t="s">
        <ns0:v>226</ns0:v>
      </ns0:c>
      <ns0:c r="C220" s="71">
        <ns0:v>5</ns0:v>
      </ns0:c>
      <ns0:c r="D220" s="71" t="s">
        <ns0:v>31</ns0:v>
      </ns0:c>
      <ns0:c r="E220" s="74">
        <ns0:v>3</ns0:v>
      </ns0:c>
      <ns0:c r="F220" s="72">
        <ns0:v>99.9</ns0:v>
      </ns0:c>
      <ns0:c r="G220" s="72">
        <ns0:v>28.82</ns0:v>
      </ns0:c>
      <ns0:c r="H220" s="72">
        <ns0:v>128.72</ns0:v>
      </ns0:c>
      <ns0:c r="I220" s="73">
        <ns0:v>534750</ns0:v>
      </ns0:c>
      <ns0:c r="J220" s="71">
        <ns0:v>2026</ns0:v>
      </ns0:c>
      <ns0:c r="K220" s="73">
        <ns0:v>5352.8528528528523</ns0:v>
      </ns0:c>
      <ns0:c r="L220" s="73">
        <ns0:v>4154.3660658794279</ns0:v>
      </ns0:c>
      <ns0:c r="M220" s="74" t="str">
        <ns0:f t="shared" si="33"/>
        <ns0:v>Ativo</ns0:v>
      </ns0:c>
      <ns0:c r="N220" s="74"/>
      <ns0:c r="O220" s="74"/>
      <ns0:c r="P220" s="77"/>
      <ns0:c r="Q220" s="74" t="s">
        <ns0:v>178</ns0:v>
      </ns0:c>
      <ns0:c r="R220" s="74"/>
      <ns0:c r="S220" s="74"/>
      <ns0:c r="T220" s="74"/>
      <ns0:c r="U220" s="74"/>
      <ns0:c r="V220" s="74"/>
      <ns0:c r="W220" s="76">
        <ns0:f t="shared" si="40"/>
        <ns0:v>0.7</ns0:v>
      </ns0:c>
      <ns0:c r="X220" s="74" t="str">
        <ns0:f t="shared" si="41"/>
        <ns0:v>B · Benchmark local</ns0:v>
      </ns0:c>
      <ns0:c r="Y220" s="74"/>
      <ns0:c r="Z220" s="74"/>
      <ns0:c r="AA220" s="74"/>
      <ns0:c r="AB220" s="74"/>
      <ns0:c r="AQ220" s="74" t="inlineStr">
        <ns0:is>
          <ns0:t>Faro</ns0:t>
        </ns0:is>
      </ns0:c>
      <ns0:c r="AR220" s="74" t="inlineStr">
        <ns0:is>
          <ns0:t>https://palaciobravenida.pt/localizacao/</ns0:t>
        </ns0:is>
      </ns0:c>
    </ns0:row>
    <ns0:row r="221">
      <ns0:c r="A221" s="71" t="s">
        <ns0:v>203</ns0:v>
      </ns0:c>
      <ns0:c r="B221" s="71" t="s">
        <ns0:v>227</ns0:v>
      </ns0:c>
      <ns0:c r="C221" s="71">
        <ns0:v>5</ns0:v>
      </ns0:c>
      <ns0:c r="D221" s="71" t="s">
        <ns0:v>64</ns0:v>
      </ns0:c>
      <ns0:c r="E221" s="74">
        <ns0:v>2</ns0:v>
      </ns0:c>
      <ns0:c r="F221" s="72">
        <ns0:v>122.15</ns0:v>
      </ns0:c>
      <ns0:c r="G221" s="72">
        <ns0:v>28.36</ns0:v>
      </ns0:c>
      <ns0:c r="H221" s="72">
        <ns0:v>150.51</ns0:v>
      </ns0:c>
      <ns0:c r="I221" s="73">
        <ns0:v>676500</ns0:v>
      </ns0:c>
      <ns0:c r="J221" s="71">
        <ns0:v>2026</ns0:v>
      </ns0:c>
      <ns0:c r="K221" s="73">
        <ns0:v>5538.2726156365125</ns0:v>
      </ns0:c>
      <ns0:c r="L221" s="73">
        <ns0:v>4494.7179589396055</ns0:v>
      </ns0:c>
      <ns0:c r="M221" s="74" t="str">
        <ns0:f t="shared" si="33"/>
        <ns0:v>Ativo</ns0:v>
      </ns0:c>
      <ns0:c r="N221" s="74"/>
      <ns0:c r="O221" s="74"/>
      <ns0:c r="P221" s="77"/>
      <ns0:c r="Q221" s="74" t="s">
        <ns0:v>178</ns0:v>
      </ns0:c>
      <ns0:c r="R221" s="74"/>
      <ns0:c r="S221" s="74"/>
      <ns0:c r="T221" s="74"/>
      <ns0:c r="U221" s="74"/>
      <ns0:c r="V221" s="74"/>
      <ns0:c r="W221" s="76">
        <ns0:f t="shared" si="40"/>
        <ns0:v>0.7</ns0:v>
      </ns0:c>
      <ns0:c r="X221" s="74" t="str">
        <ns0:f t="shared" si="41"/>
        <ns0:v>B · Benchmark local</ns0:v>
      </ns0:c>
      <ns0:c r="Y221" s="74"/>
      <ns0:c r="Z221" s="74"/>
      <ns0:c r="AA221" s="74"/>
      <ns0:c r="AB221" s="74"/>
      <ns0:c r="AQ221" s="74" t="inlineStr">
        <ns0:is>
          <ns0:t>Faro</ns0:t>
        </ns0:is>
      </ns0:c>
      <ns0:c r="AR221" s="74" t="inlineStr">
        <ns0:is>
          <ns0:t>https://palaciobravenida.pt/localizacao/</ns0:t>
        </ns0:is>
      </ns0:c>
    </ns0:row>
    <ns0:row r="222">
      <ns0:c r="A222" s="71" t="s">
        <ns0:v>203</ns0:v>
      </ns0:c>
      <ns0:c r="B222" s="71" t="s">
        <ns0:v>228</ns0:v>
      </ns0:c>
      <ns0:c r="C222" s="71">
        <ns0:v>6</ns0:v>
      </ns0:c>
      <ns0:c r="D222" s="71" t="s">
        <ns0:v>104</ns0:v>
      </ns0:c>
      <ns0:c r="E222" s="74">
        <ns0:v>2</ns0:v>
      </ns0:c>
      <ns0:c r="F222" s="72">
        <ns0:v>161.07</ns0:v>
      </ns0:c>
      <ns0:c r="G222" s="72">
        <ns0:v>41.1</ns0:v>
      </ns0:c>
      <ns0:c r="H222" s="72">
        <ns0:v>202.17</ns0:v>
      </ns0:c>
      <ns0:c r="I222" s="73">
        <ns0:v>907500</ns0:v>
      </ns0:c>
      <ns0:c r="J222" s="71">
        <ns0:v>2026</ns0:v>
      </ns0:c>
      <ns0:c r="K222" s="73">
        <ns0:v>5634.196312162414</ns0:v>
      </ns0:c>
      <ns0:c r="L222" s="73">
        <ns0:v>4488.7965573527235</ns0:v>
      </ns0:c>
      <ns0:c r="M222" s="74" t="str">
        <ns0:f t="shared" si="33"/>
        <ns0:v>Ativo</ns0:v>
      </ns0:c>
      <ns0:c r="N222" s="74"/>
      <ns0:c r="O222" s="74"/>
      <ns0:c r="P222" s="77"/>
      <ns0:c r="Q222" s="74" t="s">
        <ns0:v>178</ns0:v>
      </ns0:c>
      <ns0:c r="R222" s="74"/>
      <ns0:c r="S222" s="74"/>
      <ns0:c r="T222" s="74"/>
      <ns0:c r="U222" s="74"/>
      <ns0:c r="V222" s="74"/>
      <ns0:c r="W222" s="76">
        <ns0:f t="shared" si="40"/>
        <ns0:v>0.7</ns0:v>
      </ns0:c>
      <ns0:c r="X222" s="74" t="str">
        <ns0:f t="shared" si="41"/>
        <ns0:v>B · Benchmark local</ns0:v>
      </ns0:c>
      <ns0:c r="Y222" s="74"/>
      <ns0:c r="Z222" s="74"/>
      <ns0:c r="AA222" s="74"/>
      <ns0:c r="AB222" s="74"/>
      <ns0:c r="AQ222" s="74" t="inlineStr">
        <ns0:is>
          <ns0:t>Faro</ns0:t>
        </ns0:is>
      </ns0:c>
      <ns0:c r="AR222" s="74" t="inlineStr">
        <ns0:is>
          <ns0:t>https://palaciobravenida.pt/localizacao/</ns0:t>
        </ns0:is>
      </ns0:c>
    </ns0:row>
    <ns0:row r="223">
      <ns0:c r="A223" s="71" t="s">
        <ns0:v>203</ns0:v>
      </ns0:c>
      <ns0:c r="B223" s="71" t="s">
        <ns0:v>229</ns0:v>
      </ns0:c>
      <ns0:c r="C223" s="71">
        <ns0:v>6</ns0:v>
      </ns0:c>
      <ns0:c r="D223" s="71" t="s">
        <ns0:v>64</ns0:v>
      </ns0:c>
      <ns0:c r="E223" s="74">
        <ns0:v>2</ns0:v>
      </ns0:c>
      <ns0:c r="F223" s="72">
        <ns0:v>130.81</ns0:v>
      </ns0:c>
      <ns0:c r="G223" s="72">
        <ns0:v>22.05</ns0:v>
      </ns0:c>
      <ns0:c r="H223" s="72">
        <ns0:v>152.86000000000001</ns0:v>
      </ns0:c>
      <ns0:c r="I223" s="73">
        <ns0:v>753500</ns0:v>
      </ns0:c>
      <ns0:c r="J223" s="71">
        <ns0:v>2026</ns0:v>
      </ns0:c>
      <ns0:c r="K223" s="73">
        <ns0:v>5760.2629768366332</ns0:v>
      </ns0:c>
      <ns0:c r="L223" s="73">
        <ns0:v>4929.3471150071955</ns0:v>
      </ns0:c>
      <ns0:c r="M223" s="74" t="str">
        <ns0:f t="shared" si="33"/>
        <ns0:v>Ativo</ns0:v>
      </ns0:c>
      <ns0:c r="N223" s="74"/>
      <ns0:c r="O223" s="74"/>
      <ns0:c r="P223" s="77"/>
      <ns0:c r="Q223" s="74" t="s">
        <ns0:v>178</ns0:v>
      </ns0:c>
      <ns0:c r="R223" s="74"/>
      <ns0:c r="S223" s="74"/>
      <ns0:c r="T223" s="74"/>
      <ns0:c r="U223" s="74"/>
      <ns0:c r="V223" s="74"/>
      <ns0:c r="W223" s="76">
        <ns0:f t="shared" si="40"/>
        <ns0:v>0.7</ns0:v>
      </ns0:c>
      <ns0:c r="X223" s="74" t="str">
        <ns0:f t="shared" si="41"/>
        <ns0:v>B · Benchmark local</ns0:v>
      </ns0:c>
      <ns0:c r="Y223" s="74"/>
      <ns0:c r="Z223" s="74"/>
      <ns0:c r="AA223" s="74"/>
      <ns0:c r="AB223" s="74"/>
      <ns0:c r="AQ223" s="74" t="inlineStr">
        <ns0:is>
          <ns0:t>Faro</ns0:t>
        </ns0:is>
      </ns0:c>
      <ns0:c r="AR223" s="74" t="inlineStr">
        <ns0:is>
          <ns0:t>https://palaciobravenida.pt/localizacao/</ns0:t>
        </ns0:is>
      </ns0:c>
    </ns0:row>
    <ns0:row r="224">
      <ns0:c r="A224" s="71" t="s">
        <ns0:v>203</ns0:v>
      </ns0:c>
      <ns0:c r="B224" s="71" t="s">
        <ns0:v>230</ns0:v>
      </ns0:c>
      <ns0:c r="C224" s="71">
        <ns0:v>6</ns0:v>
      </ns0:c>
      <ns0:c r="D224" s="71" t="s">
        <ns0:v>31</ns0:v>
      </ns0:c>
      <ns0:c r="E224" s="74">
        <ns0:v>3</ns0:v>
      </ns0:c>
      <ns0:c r="F224" s="72">
        <ns0:v>99.21</ns0:v>
      </ns0:c>
      <ns0:c r="G224" s="72">
        <ns0:v>28.64</ns0:v>
      </ns0:c>
      <ns0:c r="H224" s="72">
        <ns0:v>127.85</ns0:v>
      </ns0:c>
      <ns0:c r="I224" s="73">
        <ns0:v>552000</ns0:v>
      </ns0:c>
      <ns0:c r="J224" s="71">
        <ns0:v>2026</ns0:v>
      </ns0:c>
      <ns0:c r="K224" s="73">
        <ns0:v>5563.9552464469307</ns0:v>
      </ns0:c>
      <ns0:c r="L224" s="73">
        <ns0:v>4317.5596402033634</ns0:v>
      </ns0:c>
      <ns0:c r="M224" s="74" t="str">
        <ns0:f t="shared" si="33"/>
        <ns0:v>Ativo</ns0:v>
      </ns0:c>
      <ns0:c r="N224" s="74"/>
      <ns0:c r="O224" s="74"/>
      <ns0:c r="P224" s="77"/>
      <ns0:c r="Q224" s="74" t="s">
        <ns0:v>178</ns0:v>
      </ns0:c>
      <ns0:c r="R224" s="74"/>
      <ns0:c r="S224" s="74"/>
      <ns0:c r="T224" s="74"/>
      <ns0:c r="U224" s="74"/>
      <ns0:c r="V224" s="74"/>
      <ns0:c r="W224" s="76">
        <ns0:f t="shared" si="40"/>
        <ns0:v>0.7</ns0:v>
      </ns0:c>
      <ns0:c r="X224" s="74" t="str">
        <ns0:f t="shared" si="41"/>
        <ns0:v>B · Benchmark local</ns0:v>
      </ns0:c>
      <ns0:c r="Y224" s="74"/>
      <ns0:c r="Z224" s="74"/>
      <ns0:c r="AA224" s="74"/>
      <ns0:c r="AB224" s="74"/>
      <ns0:c r="AQ224" s="74" t="inlineStr">
        <ns0:is>
          <ns0:t>Faro</ns0:t>
        </ns0:is>
      </ns0:c>
      <ns0:c r="AR224" s="74" t="inlineStr">
        <ns0:is>
          <ns0:t>https://palaciobravenida.pt/localizacao/</ns0:t>
        </ns0:is>
      </ns0:c>
    </ns0:row>
    <ns0:row r="225">
      <ns0:c r="A225" s="71" t="s">
        <ns0:v>203</ns0:v>
      </ns0:c>
      <ns0:c r="B225" s="71" t="s">
        <ns0:v>231</ns0:v>
      </ns0:c>
      <ns0:c r="C225" s="71">
        <ns0:v>6</ns0:v>
      </ns0:c>
      <ns0:c r="D225" s="71" t="s">
        <ns0:v>31</ns0:v>
      </ns0:c>
      <ns0:c r="E225" s="74">
        <ns0:v>3</ns0:v>
      </ns0:c>
      <ns0:c r="F225" s="72">
        <ns0:v>99.9</ns0:v>
      </ns0:c>
      <ns0:c r="G225" s="72">
        <ns0:v>28.82</ns0:v>
      </ns0:c>
      <ns0:c r="H225" s="72">
        <ns0:v>128.72</ns0:v>
      </ns0:c>
      <ns0:c r="I225" s="73">
        <ns0:v>552000</ns0:v>
      </ns0:c>
      <ns0:c r="J225" s="71">
        <ns0:v>2026</ns0:v>
      </ns0:c>
      <ns0:c r="K225" s="73">
        <ns0:v>5525.5255255255252</ns0:v>
      </ns0:c>
      <ns0:c r="L225" s="73">
        <ns0:v>4288.3778744561841</ns0:v>
      </ns0:c>
      <ns0:c r="M225" s="74" t="str">
        <ns0:f t="shared" si="33"/>
        <ns0:v>Ativo</ns0:v>
      </ns0:c>
      <ns0:c r="N225" s="74"/>
      <ns0:c r="O225" s="74"/>
      <ns0:c r="P225" s="77"/>
      <ns0:c r="Q225" s="74" t="s">
        <ns0:v>178</ns0:v>
      </ns0:c>
      <ns0:c r="R225" s="74"/>
      <ns0:c r="S225" s="74"/>
      <ns0:c r="T225" s="74"/>
      <ns0:c r="U225" s="74"/>
      <ns0:c r="V225" s="74"/>
      <ns0:c r="W225" s="76">
        <ns0:f t="shared" si="40"/>
        <ns0:v>0.7</ns0:v>
      </ns0:c>
      <ns0:c r="X225" s="74" t="str">
        <ns0:f t="shared" si="41"/>
        <ns0:v>B · Benchmark local</ns0:v>
      </ns0:c>
      <ns0:c r="Y225" s="74"/>
      <ns0:c r="Z225" s="74"/>
      <ns0:c r="AA225" s="74"/>
      <ns0:c r="AB225" s="74"/>
      <ns0:c r="AQ225" s="74" t="inlineStr">
        <ns0:is>
          <ns0:t>Faro</ns0:t>
        </ns0:is>
      </ns0:c>
      <ns0:c r="AR225" s="74" t="inlineStr">
        <ns0:is>
          <ns0:t>https://palaciobravenida.pt/localizacao/</ns0:t>
        </ns0:is>
      </ns0:c>
    </ns0:row>
    <ns0:row r="226">
      <ns0:c r="A226" s="71" t="s">
        <ns0:v>203</ns0:v>
      </ns0:c>
      <ns0:c r="B226" s="71" t="s">
        <ns0:v>232</ns0:v>
      </ns0:c>
      <ns0:c r="C226" s="71">
        <ns0:v>6</ns0:v>
      </ns0:c>
      <ns0:c r="D226" s="71" t="s">
        <ns0:v>64</ns0:v>
      </ns0:c>
      <ns0:c r="E226" s="74">
        <ns0:v>2</ns0:v>
      </ns0:c>
      <ns0:c r="F226" s="72">
        <ns0:v>122.15</ns0:v>
      </ns0:c>
      <ns0:c r="G226" s="72">
        <ns0:v>28.36</ns0:v>
      </ns0:c>
      <ns0:c r="H226" s="72">
        <ns0:v>150.51</ns0:v>
      </ns0:c>
      <ns0:c r="I226" s="73">
        <ns0:v>709500</ns0:v>
      </ns0:c>
      <ns0:c r="J226" s="71">
        <ns0:v>2026</ns0:v>
      </ns0:c>
      <ns0:c r="K226" s="73">
        <ns0:v>5808.4322554236587</ns0:v>
      </ns0:c>
      <ns0:c r="L226" s="73">
        <ns0:v>4713.9724935220256</ns0:v>
      </ns0:c>
      <ns0:c r="M226" s="74" t="str">
        <ns0:f t="shared" ref="M226:M289" si="42">IF(A226="The View","Projeto",IF(J226&gt;=2026,"Ativo",IF(J226=2025,"Rever","Histórico")))</ns0:f>
        <ns0:v>Ativo</ns0:v>
      </ns0:c>
      <ns0:c r="N226" s="74"/>
      <ns0:c r="O226" s="74"/>
      <ns0:c r="P226" s="77"/>
      <ns0:c r="Q226" s="74" t="s">
        <ns0:v>178</ns0:v>
      </ns0:c>
      <ns0:c r="R226" s="74"/>
      <ns0:c r="S226" s="74"/>
      <ns0:c r="T226" s="74"/>
      <ns0:c r="U226" s="74"/>
      <ns0:c r="V226" s="74"/>
      <ns0:c r="W226" s="76">
        <ns0:f t="shared" si="40"/>
        <ns0:v>0.7</ns0:v>
      </ns0:c>
      <ns0:c r="X226" s="74" t="str">
        <ns0:f t="shared" si="41"/>
        <ns0:v>B · Benchmark local</ns0:v>
      </ns0:c>
      <ns0:c r="Y226" s="74"/>
      <ns0:c r="Z226" s="74"/>
      <ns0:c r="AA226" s="74"/>
      <ns0:c r="AB226" s="74"/>
      <ns0:c r="AQ226" s="74" t="inlineStr">
        <ns0:is>
          <ns0:t>Faro</ns0:t>
        </ns0:is>
      </ns0:c>
      <ns0:c r="AR226" s="74" t="inlineStr">
        <ns0:is>
          <ns0:t>https://palaciobravenida.pt/localizacao/</ns0:t>
        </ns0:is>
      </ns0:c>
    </ns0:row>
    <ns0:row r="227">
      <ns0:c r="A227" s="71" t="s">
        <ns0:v>203</ns0:v>
      </ns0:c>
      <ns0:c r="B227" s="71" t="s">
        <ns0:v>233</ns0:v>
      </ns0:c>
      <ns0:c r="C227" s="71">
        <ns0:v>7</ns0:v>
      </ns0:c>
      <ns0:c r="D227" s="71" t="s">
        <ns0:v>64</ns0:v>
      </ns0:c>
      <ns0:c r="E227" s="74">
        <ns0:v>2</ns0:v>
      </ns0:c>
      <ns0:c r="F227" s="72">
        <ns0:v>130.81</ns0:v>
      </ns0:c>
      <ns0:c r="G227" s="72">
        <ns0:v>22.05</ns0:v>
      </ns0:c>
      <ns0:c r="H227" s="72">
        <ns0:v>152.86000000000001</ns0:v>
      </ns0:c>
      <ns0:c r="I227" s="73">
        <ns0:v>768900</ns0:v>
      </ns0:c>
      <ns0:c r="J227" s="71">
        <ns0:v>2026</ns0:v>
      </ns0:c>
      <ns0:c r="K227" s="73">
        <ns0:v>5877.9909792829294</ns0:v>
      </ns0:c>
      <ns0:c r="L227" s="73">
        <ns0:v>5030.0928954598976</ns0:v>
      </ns0:c>
      <ns0:c r="M227" s="74" t="str">
        <ns0:f t="shared" si="42"/>
        <ns0:v>Ativo</ns0:v>
      </ns0:c>
      <ns0:c r="N227" s="74"/>
      <ns0:c r="O227" s="74"/>
      <ns0:c r="P227" s="77"/>
      <ns0:c r="Q227" s="74" t="s">
        <ns0:v>178</ns0:v>
      </ns0:c>
      <ns0:c r="R227" s="74"/>
      <ns0:c r="S227" s="74"/>
      <ns0:c r="T227" s="74"/>
      <ns0:c r="U227" s="74"/>
      <ns0:c r="V227" s="74"/>
      <ns0:c r="W227" s="76">
        <ns0:f t="shared" si="40"/>
        <ns0:v>0.7</ns0:v>
      </ns0:c>
      <ns0:c r="X227" s="74" t="str">
        <ns0:f t="shared" si="41"/>
        <ns0:v>B · Benchmark local</ns0:v>
      </ns0:c>
      <ns0:c r="Y227" s="74"/>
      <ns0:c r="Z227" s="74"/>
      <ns0:c r="AA227" s="74"/>
      <ns0:c r="AB227" s="74"/>
      <ns0:c r="AQ227" s="74" t="inlineStr">
        <ns0:is>
          <ns0:t>Faro</ns0:t>
        </ns0:is>
      </ns0:c>
      <ns0:c r="AR227" s="74" t="inlineStr">
        <ns0:is>
          <ns0:t>https://palaciobravenida.pt/localizacao/</ns0:t>
        </ns0:is>
      </ns0:c>
    </ns0:row>
    <ns0:row r="228">
      <ns0:c r="A228" s="71" t="s">
        <ns0:v>203</ns0:v>
      </ns0:c>
      <ns0:c r="B228" s="71" t="s">
        <ns0:v>234</ns0:v>
      </ns0:c>
      <ns0:c r="C228" s="71">
        <ns0:v>7</ns0:v>
      </ns0:c>
      <ns0:c r="D228" s="71" t="s">
        <ns0:v>31</ns0:v>
      </ns0:c>
      <ns0:c r="E228" s="74">
        <ns0:v>3</ns0:v>
      </ns0:c>
      <ns0:c r="F228" s="72">
        <ns0:v>99.21</ns0:v>
      </ns0:c>
      <ns0:c r="G228" s="72">
        <ns0:v>28.64</ns0:v>
      </ns0:c>
      <ns0:c r="H228" s="72">
        <ns0:v>127.85</ns0:v>
      </ns0:c>
      <ns0:c r="I228" s="73">
        <ns0:v>573850</ns0:v>
      </ns0:c>
      <ns0:c r="J228" s="71">
        <ns0:v>2026</ns0:v>
      </ns0:c>
      <ns0:c r="K228" s="73">
        <ns0:v>5784.1951416187885</ns0:v>
      </ns0:c>
      <ns0:c r="L228" s="73">
        <ns0:v>4488.4630426280801</ns0:v>
      </ns0:c>
      <ns0:c r="M228" s="74" t="str">
        <ns0:f t="shared" si="42"/>
        <ns0:v>Ativo</ns0:v>
      </ns0:c>
      <ns0:c r="N228" s="74"/>
      <ns0:c r="O228" s="74"/>
      <ns0:c r="P228" s="77"/>
      <ns0:c r="Q228" s="74" t="s">
        <ns0:v>178</ns0:v>
      </ns0:c>
      <ns0:c r="R228" s="74"/>
      <ns0:c r="S228" s="74"/>
      <ns0:c r="T228" s="74"/>
      <ns0:c r="U228" s="74"/>
      <ns0:c r="V228" s="74"/>
      <ns0:c r="W228" s="76">
        <ns0:f t="shared" si="40"/>
        <ns0:v>0.7</ns0:v>
      </ns0:c>
      <ns0:c r="X228" s="74" t="str">
        <ns0:f t="shared" si="41"/>
        <ns0:v>B · Benchmark local</ns0:v>
      </ns0:c>
      <ns0:c r="Y228" s="74"/>
      <ns0:c r="Z228" s="74"/>
      <ns0:c r="AA228" s="74"/>
      <ns0:c r="AB228" s="74"/>
      <ns0:c r="AQ228" s="74" t="inlineStr">
        <ns0:is>
          <ns0:t>Faro</ns0:t>
        </ns0:is>
      </ns0:c>
      <ns0:c r="AR228" s="74" t="inlineStr">
        <ns0:is>
          <ns0:t>https://palaciobravenida.pt/localizacao/</ns0:t>
        </ns0:is>
      </ns0:c>
    </ns0:row>
    <ns0:row r="229">
      <ns0:c r="A229" s="71" t="s">
        <ns0:v>203</ns0:v>
      </ns0:c>
      <ns0:c r="B229" s="71" t="s">
        <ns0:v>235</ns0:v>
      </ns0:c>
      <ns0:c r="C229" s="71">
        <ns0:v>7</ns0:v>
      </ns0:c>
      <ns0:c r="D229" s="71" t="s">
        <ns0:v>31</ns0:v>
      </ns0:c>
      <ns0:c r="E229" s="74">
        <ns0:v>3</ns0:v>
      </ns0:c>
      <ns0:c r="F229" s="72">
        <ns0:v>99.9</ns0:v>
      </ns0:c>
      <ns0:c r="G229" s="72">
        <ns0:v>28.82</ns0:v>
      </ns0:c>
      <ns0:c r="H229" s="72">
        <ns0:v>128.72</ns0:v>
      </ns0:c>
      <ns0:c r="I229" s="73">
        <ns0:v>573850</ns0:v>
      </ns0:c>
      <ns0:c r="J229" s="71">
        <ns0:v>2026</ns0:v>
      </ns0:c>
      <ns0:c r="K229" s="73">
        <ns0:v>5744.2442442442443</ns0:v>
      </ns0:c>
      <ns0:c r="L229" s="73">
        <ns0:v>4458.1261653200745</ns0:v>
      </ns0:c>
      <ns0:c r="M229" s="74" t="str">
        <ns0:f t="shared" si="42"/>
        <ns0:v>Ativo</ns0:v>
      </ns0:c>
      <ns0:c r="N229" s="74"/>
      <ns0:c r="O229" s="74"/>
      <ns0:c r="P229" s="77"/>
      <ns0:c r="Q229" s="74" t="s">
        <ns0:v>178</ns0:v>
      </ns0:c>
      <ns0:c r="R229" s="74"/>
      <ns0:c r="S229" s="74"/>
      <ns0:c r="T229" s="74"/>
      <ns0:c r="U229" s="74"/>
      <ns0:c r="V229" s="74"/>
      <ns0:c r="W229" s="76">
        <ns0:f t="shared" si="40"/>
        <ns0:v>0.7</ns0:v>
      </ns0:c>
      <ns0:c r="X229" s="74" t="str">
        <ns0:f t="shared" si="41"/>
        <ns0:v>B · Benchmark local</ns0:v>
      </ns0:c>
      <ns0:c r="Y229" s="74"/>
      <ns0:c r="Z229" s="74"/>
      <ns0:c r="AA229" s="74"/>
      <ns0:c r="AB229" s="74"/>
      <ns0:c r="AQ229" s="74" t="inlineStr">
        <ns0:is>
          <ns0:t>Faro</ns0:t>
        </ns0:is>
      </ns0:c>
      <ns0:c r="AR229" s="74" t="inlineStr">
        <ns0:is>
          <ns0:t>https://palaciobravenida.pt/localizacao/</ns0:t>
        </ns0:is>
      </ns0:c>
    </ns0:row>
    <ns0:row r="230">
      <ns0:c r="A230" s="71" t="s">
        <ns0:v>236</ns0:v>
      </ns0:c>
      <ns0:c r="B230" s="71" t="s">
        <ns0:v>237</ns0:v>
      </ns0:c>
      <ns0:c r="C230" s="71">
        <ns0:v>0</ns0:v>
      </ns0:c>
      <ns0:c r="D230" s="71" t="s">
        <ns0:v>64</ns0:v>
      </ns0:c>
      <ns0:c r="E230" s="74">
        <ns0:v>2</ns0:v>
      </ns0:c>
      <ns0:c r="F230" s="72">
        <ns0:v>121.75</ns0:v>
      </ns0:c>
      <ns0:c r="G230" s="72">
        <ns0:v>36.15</ns0:v>
      </ns0:c>
      <ns0:c r="H230" s="72">
        <ns0:v>166.6</ns0:v>
      </ns0:c>
      <ns0:c r="I230" s="73">
        <ns0:v>530000</ns0:v>
      </ns0:c>
      <ns0:c r="J230" s="71">
        <ns0:v>2026</ns0:v>
      </ns0:c>
      <ns0:c r="K230" s="73" t="n">
        <ns0:f t="shared" ref="K230:K293" si="43">IFERROR(I230/F230,"")</ns0:f>
        <ns0:v>4353.182751540041</ns0:v>
      </ns0:c>
      <ns0:c r="L230" s="73" t="n">
        <ns0:f t="shared" ref="L230:L293" si="44">IFERROR(I230/H230,"")</ns0:f>
        <ns0:v>3181.2725090036015</ns0:v>
      </ns0:c>
      <ns0:c r="M230" s="74" t="str">
        <ns0:f t="shared" si="42"/>
        <ns0:v>Ativo</ns0:v>
      </ns0:c>
      <ns0:c r="N230" s="74"/>
      <ns0:c r="O230" s="74"/>
      <ns0:c r="P230" s="77"/>
      <ns0:c r="Q230" s="74" t="s">
        <ns0:v>238</ns0:v>
      </ns0:c>
      <ns0:c r="R230" s="74"/>
      <ns0:c r="S230" s="74"/>
      <ns0:c r="T230" s="74"/>
      <ns0:c r="U230" s="74"/>
      <ns0:c r="V230" s="74"/>
      <ns0:c r="W230" s="76">
        <ns0:f t="shared" si="40"/>
        <ns0:v>1</ns0:v>
      </ns0:c>
      <ns0:c r="X230" s="74" t="str">
        <ns0:f t="shared" si="41"/>
        <ns0:v>A · Premium ativo</ns0:v>
      </ns0:c>
      <ns0:c r="Y230" s="74"/>
      <ns0:c r="Z230" s="74"/>
      <ns0:c r="AA230" s="74"/>
      <ns0:c r="AB230" s="74"/>
      <ns0:c r="AQ230" s="74" t="inlineStr">
        <ns0:is>
          <ns0:t>Faro</ns0:t>
        </ns0:is>
      </ns0:c>
      <ns0:c r="AR230" s="74" t="inlineStr">
        <ns0:is>
          <ns0:t>https://libertas.pt/portfolio/</ns0:t>
        </ns0:is>
      </ns0:c>
    </ns0:row>
    <ns0:row r="231">
      <ns0:c r="A231" s="71" t="s">
        <ns0:v>236</ns0:v>
      </ns0:c>
      <ns0:c r="B231" s="71" t="s">
        <ns0:v>239</ns0:v>
      </ns0:c>
      <ns0:c r="C231" s="71">
        <ns0:v>0</ns0:v>
      </ns0:c>
      <ns0:c r="D231" s="71" t="s">
        <ns0:v>42</ns0:v>
      </ns0:c>
      <ns0:c r="E231" s="74">
        <ns0:v>2</ns0:v>
      </ns0:c>
      <ns0:c r="F231" s="72">
        <ns0:v>59.01</ns0:v>
      </ns0:c>
      <ns0:c r="G231" s="72">
        <ns0:v>46.6</ns0:v>
      </ns0:c>
      <ns0:c r="H231" s="72">
        <ns0:v>107.31</ns0:v>
      </ns0:c>
      <ns0:c r="I231" s="73">
        <ns0:v>329000</ns0:v>
      </ns0:c>
      <ns0:c r="J231" s="71">
        <ns0:v>2026</ns0:v>
      </ns0:c>
      <ns0:c r="K231" s="73">
        <ns0:f t="shared" si="43"/>
        <ns0:v>5575.3262158956113</ns0:v>
      </ns0:c>
      <ns0:c r="L231" s="73">
        <ns0:f t="shared" si="44"/>
        <ns0:v>3065.8838878016959</ns0:v>
      </ns0:c>
      <ns0:c r="M231" s="74" t="str">
        <ns0:f t="shared" si="42"/>
        <ns0:v>Ativo</ns0:v>
      </ns0:c>
      <ns0:c r="N231" s="74"/>
      <ns0:c r="O231" s="74"/>
      <ns0:c r="P231" s="77"/>
      <ns0:c r="Q231" s="74" t="s">
        <ns0:v>238</ns0:v>
      </ns0:c>
      <ns0:c r="R231" s="74"/>
      <ns0:c r="S231" s="74"/>
      <ns0:c r="T231" s="74"/>
      <ns0:c r="U231" s="74"/>
      <ns0:c r="V231" s="74"/>
      <ns0:c r="W231" s="76">
        <ns0:f t="shared" si="40"/>
        <ns0:v>1</ns0:v>
      </ns0:c>
      <ns0:c r="X231" s="74" t="str">
        <ns0:f t="shared" si="41"/>
        <ns0:v>A · Premium ativo</ns0:v>
      </ns0:c>
      <ns0:c r="Y231" s="74"/>
      <ns0:c r="Z231" s="74"/>
      <ns0:c r="AA231" s="74"/>
      <ns0:c r="AB231" s="74"/>
      <ns0:c r="AQ231" s="74" t="inlineStr">
        <ns0:is>
          <ns0:t>Faro</ns0:t>
        </ns0:is>
      </ns0:c>
      <ns0:c r="AR231" s="74" t="inlineStr">
        <ns0:is>
          <ns0:t>https://libertas.pt/portfolio/</ns0:t>
        </ns0:is>
      </ns0:c>
    </ns0:row>
    <ns0:row r="232">
      <ns0:c r="A232" s="71" t="s">
        <ns0:v>236</ns0:v>
      </ns0:c>
      <ns0:c r="B232" s="71" t="s">
        <ns0:v>240</ns0:v>
      </ns0:c>
      <ns0:c r="C232" s="71">
        <ns0:v>1</ns0:v>
      </ns0:c>
      <ns0:c r="D232" s="71" t="s">
        <ns0:v>64</ns0:v>
      </ns0:c>
      <ns0:c r="E232" s="74">
        <ns0:v>2</ns0:v>
      </ns0:c>
      <ns0:c r="F232" s="72">
        <ns0:v>137.16</ns0:v>
      </ns0:c>
      <ns0:c r="G232" s="72">
        <ns0:v>30.73</ns0:v>
      </ns0:c>
      <ns0:c r="H232" s="72">
        <ns0:v>173.69</ns0:v>
      </ns0:c>
      <ns0:c r="I232" s="73">
        <ns0:v>610000</ns0:v>
      </ns0:c>
      <ns0:c r="J232" s="71">
        <ns0:v>2026</ns0:v>
      </ns0:c>
      <ns0:c r="K232" s="73">
        <ns0:f t="shared" si="43"/>
        <ns0:v>4447.3607465733448</ns0:v>
      </ns0:c>
      <ns0:c r="L232" s="73">
        <ns0:f t="shared" si="44"/>
        <ns0:v>3512.0041453163681</ns0:v>
      </ns0:c>
      <ns0:c r="M232" s="74" t="str">
        <ns0:f t="shared" si="42"/>
        <ns0:v>Ativo</ns0:v>
      </ns0:c>
      <ns0:c r="N232" s="74"/>
      <ns0:c r="O232" s="74"/>
      <ns0:c r="P232" s="77"/>
      <ns0:c r="Q232" s="74" t="s">
        <ns0:v>238</ns0:v>
      </ns0:c>
      <ns0:c r="R232" s="74"/>
      <ns0:c r="S232" s="74"/>
      <ns0:c r="T232" s="74"/>
      <ns0:c r="U232" s="74"/>
      <ns0:c r="V232" s="74"/>
      <ns0:c r="W232" s="76">
        <ns0:f t="shared" si="40"/>
        <ns0:v>1</ns0:v>
      </ns0:c>
      <ns0:c r="X232" s="74" t="str">
        <ns0:f t="shared" si="41"/>
        <ns0:v>A · Premium ativo</ns0:v>
      </ns0:c>
      <ns0:c r="Y232" s="74"/>
      <ns0:c r="Z232" s="74"/>
      <ns0:c r="AA232" s="74"/>
      <ns0:c r="AB232" s="74"/>
      <ns0:c r="AQ232" s="74" t="inlineStr">
        <ns0:is>
          <ns0:t>Faro</ns0:t>
        </ns0:is>
      </ns0:c>
      <ns0:c r="AR232" s="74" t="inlineStr">
        <ns0:is>
          <ns0:t>https://libertas.pt/portfolio/</ns0:t>
        </ns0:is>
      </ns0:c>
    </ns0:row>
    <ns0:row r="233">
      <ns0:c r="A233" s="71" t="s">
        <ns0:v>236</ns0:v>
      </ns0:c>
      <ns0:c r="B233" s="71" t="s">
        <ns0:v>241</ns0:v>
      </ns0:c>
      <ns0:c r="C233" s="71">
        <ns0:v>1</ns0:v>
      </ns0:c>
      <ns0:c r="D233" s="71" t="s">
        <ns0:v>42</ns0:v>
      </ns0:c>
      <ns0:c r="E233" s="74">
        <ns0:v>2</ns0:v>
      </ns0:c>
      <ns0:c r="F233" s="72">
        <ns0:v>59.01</ns0:v>
      </ns0:c>
      <ns0:c r="G233" s="72">
        <ns0:v>20.11</ns0:v>
      </ns0:c>
      <ns0:c r="H233" s="72">
        <ns0:v>81.89</ns0:v>
      </ns0:c>
      <ns0:c r="I233" s="73">
        <ns0:v>329000</ns0:v>
      </ns0:c>
      <ns0:c r="J233" s="71">
        <ns0:v>2026</ns0:v>
      </ns0:c>
      <ns0:c r="K233" s="73">
        <ns0:f t="shared" si="43"/>
        <ns0:v>5575.3262158956113</ns0:v>
      </ns0:c>
      <ns0:c r="L233" s="73">
        <ns0:f t="shared" si="44"/>
        <ns0:v>4017.5845646599096</ns0:v>
      </ns0:c>
      <ns0:c r="M233" s="74" t="str">
        <ns0:f t="shared" si="42"/>
        <ns0:v>Ativo</ns0:v>
      </ns0:c>
      <ns0:c r="N233" s="74"/>
      <ns0:c r="O233" s="74"/>
      <ns0:c r="P233" s="77"/>
      <ns0:c r="Q233" s="74" t="s">
        <ns0:v>238</ns0:v>
      </ns0:c>
      <ns0:c r="R233" s="74"/>
      <ns0:c r="S233" s="74"/>
      <ns0:c r="T233" s="74"/>
      <ns0:c r="U233" s="74"/>
      <ns0:c r="V233" s="74"/>
      <ns0:c r="W233" s="76">
        <ns0:f t="shared" si="40"/>
        <ns0:v>1</ns0:v>
      </ns0:c>
      <ns0:c r="X233" s="74" t="str">
        <ns0:f t="shared" si="41"/>
        <ns0:v>A · Premium ativo</ns0:v>
      </ns0:c>
      <ns0:c r="Y233" s="74"/>
      <ns0:c r="Z233" s="74"/>
      <ns0:c r="AA233" s="74"/>
      <ns0:c r="AB233" s="74"/>
      <ns0:c r="AQ233" s="74" t="inlineStr">
        <ns0:is>
          <ns0:t>Faro</ns0:t>
        </ns0:is>
      </ns0:c>
      <ns0:c r="AR233" s="74" t="inlineStr">
        <ns0:is>
          <ns0:t>https://libertas.pt/portfolio/</ns0:t>
        </ns0:is>
      </ns0:c>
    </ns0:row>
    <ns0:row r="234">
      <ns0:c r="A234" s="71" t="s">
        <ns0:v>236</ns0:v>
      </ns0:c>
      <ns0:c r="B234" s="71" t="s">
        <ns0:v>242</ns0:v>
      </ns0:c>
      <ns0:c r="C234" s="71">
        <ns0:v>2</ns0:v>
      </ns0:c>
      <ns0:c r="D234" s="71" t="s">
        <ns0:v>64</ns0:v>
      </ns0:c>
      <ns0:c r="E234" s="74">
        <ns0:v>2</ns0:v>
      </ns0:c>
      <ns0:c r="F234" s="72">
        <ns0:v>137.16</ns0:v>
      </ns0:c>
      <ns0:c r="G234" s="72">
        <ns0:v>44.72</ns0:v>
      </ns0:c>
      <ns0:c r="H234" s="72">
        <ns0:v>228.78</ns0:v>
      </ns0:c>
      <ns0:c r="I234" s="73">
        <ns0:v>658000</ns0:v>
      </ns0:c>
      <ns0:c r="J234" s="71">
        <ns0:v>2026</ns0:v>
      </ns0:c>
      <ns0:c r="K234" s="73">
        <ns0:f t="shared" si="43"/>
        <ns0:v>4797.3170020414118</ns0:v>
      </ns0:c>
      <ns0:c r="L234" s="73">
        <ns0:f t="shared" si="44"/>
        <ns0:v>2876.1255354489031</ns0:v>
      </ns0:c>
      <ns0:c r="M234" s="74" t="str">
        <ns0:f t="shared" si="42"/>
        <ns0:v>Ativo</ns0:v>
      </ns0:c>
      <ns0:c r="N234" s="74"/>
      <ns0:c r="O234" s="74"/>
      <ns0:c r="P234" s="77"/>
      <ns0:c r="Q234" s="74" t="s">
        <ns0:v>238</ns0:v>
      </ns0:c>
      <ns0:c r="R234" s="74"/>
      <ns0:c r="S234" s="74"/>
      <ns0:c r="T234" s="74"/>
      <ns0:c r="U234" s="74"/>
      <ns0:c r="V234" s="74"/>
      <ns0:c r="W234" s="76">
        <ns0:f t="shared" si="40"/>
        <ns0:v>1</ns0:v>
      </ns0:c>
      <ns0:c r="X234" s="74" t="str">
        <ns0:f t="shared" si="41"/>
        <ns0:v>A · Premium ativo</ns0:v>
      </ns0:c>
      <ns0:c r="Y234" s="74"/>
      <ns0:c r="Z234" s="74"/>
      <ns0:c r="AA234" s="74"/>
      <ns0:c r="AB234" s="74"/>
      <ns0:c r="AQ234" s="74" t="inlineStr">
        <ns0:is>
          <ns0:t>Faro</ns0:t>
        </ns0:is>
      </ns0:c>
      <ns0:c r="AR234" s="74" t="inlineStr">
        <ns0:is>
          <ns0:t>https://libertas.pt/portfolio/</ns0:t>
        </ns0:is>
      </ns0:c>
    </ns0:row>
    <ns0:row r="235">
      <ns0:c r="A235" s="71" t="s">
        <ns0:v>236</ns0:v>
      </ns0:c>
      <ns0:c r="B235" s="71" t="s">
        <ns0:v>243</ns0:v>
      </ns0:c>
      <ns0:c r="C235" s="71">
        <ns0:v>2</ns0:v>
      </ns0:c>
      <ns0:c r="D235" s="71" t="s">
        <ns0:v>42</ns0:v>
      </ns0:c>
      <ns0:c r="E235" s="74">
        <ns0:v>2</ns0:v>
      </ns0:c>
      <ns0:c r="F235" s="72">
        <ns0:v>59.01</ns0:v>
      </ns0:c>
      <ns0:c r="G235" s="72">
        <ns0:v>20.58</ns0:v>
      </ns0:c>
      <ns0:c r="H235" s="72">
        <ns0:v>82.3</ns0:v>
      </ns0:c>
      <ns0:c r="I235" s="73">
        <ns0:v>335000</ns0:v>
      </ns0:c>
      <ns0:c r="J235" s="71">
        <ns0:v>2026</ns0:v>
      </ns0:c>
      <ns0:c r="K235" s="73">
        <ns0:f t="shared" si="43"/>
        <ns0:v>5677.0038976444675</ns0:v>
      </ns0:c>
      <ns0:c r="L235" s="73">
        <ns0:f t="shared" si="44"/>
        <ns0:v>4070.4738760631835</ns0:v>
      </ns0:c>
      <ns0:c r="M235" s="74" t="str">
        <ns0:f t="shared" si="42"/>
        <ns0:v>Ativo</ns0:v>
      </ns0:c>
      <ns0:c r="N235" s="74"/>
      <ns0:c r="O235" s="74"/>
      <ns0:c r="P235" s="77"/>
      <ns0:c r="Q235" s="74" t="s">
        <ns0:v>238</ns0:v>
      </ns0:c>
      <ns0:c r="R235" s="74"/>
      <ns0:c r="S235" s="74"/>
      <ns0:c r="T235" s="74"/>
      <ns0:c r="U235" s="74"/>
      <ns0:c r="V235" s="74"/>
      <ns0:c r="W235" s="76">
        <ns0:f t="shared" si="40"/>
        <ns0:v>1</ns0:v>
      </ns0:c>
      <ns0:c r="X235" s="74" t="str">
        <ns0:f t="shared" si="41"/>
        <ns0:v>A · Premium ativo</ns0:v>
      </ns0:c>
      <ns0:c r="Y235" s="74"/>
      <ns0:c r="Z235" s="74"/>
      <ns0:c r="AA235" s="74"/>
      <ns0:c r="AB235" s="74"/>
      <ns0:c r="AQ235" s="74" t="inlineStr">
        <ns0:is>
          <ns0:t>Faro</ns0:t>
        </ns0:is>
      </ns0:c>
      <ns0:c r="AR235" s="74" t="inlineStr">
        <ns0:is>
          <ns0:t>https://libertas.pt/portfolio/</ns0:t>
        </ns0:is>
      </ns0:c>
    </ns0:row>
    <ns0:row r="236">
      <ns0:c r="A236" s="71" t="s">
        <ns0:v>236</ns0:v>
      </ns0:c>
      <ns0:c r="B236" s="71" t="s">
        <ns0:v>244</ns0:v>
      </ns0:c>
      <ns0:c r="C236" s="71">
        <ns0:v>2</ns0:v>
      </ns0:c>
      <ns0:c r="D236" s="71" t="s">
        <ns0:v>31</ns0:v>
      </ns0:c>
      <ns0:c r="E236" s="74">
        <ns0:v>2</ns0:v>
      </ns0:c>
      <ns0:c r="F236" s="72">
        <ns0:v>93.06</ns0:v>
      </ns0:c>
      <ns0:c r="G236" s="72">
        <ns0:v>24.81</ns0:v>
      </ns0:c>
      <ns0:c r="H236" s="72">
        <ns0:v>121.17</ns0:v>
      </ns0:c>
      <ns0:c r="I236" s="73">
        <ns0:v>498000</ns0:v>
      </ns0:c>
      <ns0:c r="J236" s="71">
        <ns0:v>2026</ns0:v>
      </ns0:c>
      <ns0:c r="K236" s="73">
        <ns0:f t="shared" si="43"/>
        <ns0:v>5351.3862024500322</ns0:v>
      </ns0:c>
      <ns0:c r="L236" s="73">
        <ns0:f t="shared" si="44"/>
        <ns0:v>4109.9282000495168</ns0:v>
      </ns0:c>
      <ns0:c r="M236" s="74" t="str">
        <ns0:f t="shared" si="42"/>
        <ns0:v>Ativo</ns0:v>
      </ns0:c>
      <ns0:c r="N236" s="74"/>
      <ns0:c r="O236" s="74"/>
      <ns0:c r="P236" s="77"/>
      <ns0:c r="Q236" s="74" t="s">
        <ns0:v>238</ns0:v>
      </ns0:c>
      <ns0:c r="R236" s="74"/>
      <ns0:c r="S236" s="74"/>
      <ns0:c r="T236" s="74"/>
      <ns0:c r="U236" s="74"/>
      <ns0:c r="V236" s="74"/>
      <ns0:c r="W236" s="76">
        <ns0:f t="shared" si="40"/>
        <ns0:v>1</ns0:v>
      </ns0:c>
      <ns0:c r="X236" s="74" t="str">
        <ns0:f t="shared" si="41"/>
        <ns0:v>A · Premium ativo</ns0:v>
      </ns0:c>
      <ns0:c r="Y236" s="74"/>
      <ns0:c r="Z236" s="74"/>
      <ns0:c r="AA236" s="74"/>
      <ns0:c r="AB236" s="74"/>
      <ns0:c r="AQ236" s="74" t="inlineStr">
        <ns0:is>
          <ns0:t>Faro</ns0:t>
        </ns0:is>
      </ns0:c>
      <ns0:c r="AR236" s="74" t="inlineStr">
        <ns0:is>
          <ns0:t>https://libertas.pt/portfolio/</ns0:t>
        </ns0:is>
      </ns0:c>
    </ns0:row>
    <ns0:row r="237">
      <ns0:c r="A237" s="71" t="s">
        <ns0:v>236</ns0:v>
      </ns0:c>
      <ns0:c r="B237" s="71" t="s">
        <ns0:v>245</ns0:v>
      </ns0:c>
      <ns0:c r="C237" s="71">
        <ns0:v>3</ns0:v>
      </ns0:c>
      <ns0:c r="D237" s="71" t="s">
        <ns0:v>64</ns0:v>
      </ns0:c>
      <ns0:c r="E237" s="74">
        <ns0:v>2</ns0:v>
      </ns0:c>
      <ns0:c r="F237" s="72">
        <ns0:v>137.16</ns0:v>
      </ns0:c>
      <ns0:c r="G237" s="72">
        <ns0:v>44.94</ns0:v>
      </ns0:c>
      <ns0:c r="H237" s="72">
        <ns0:v>229.7</ns0:v>
      </ns0:c>
      <ns0:c r="I237" s="73">
        <ns0:v>680000</ns0:v>
      </ns0:c>
      <ns0:c r="J237" s="71">
        <ns0:v>2026</ns0:v>
      </ns0:c>
      <ns0:c r="K237" s="73">
        <ns0:f t="shared" si="43"/>
        <ns0:v>4957.7136191309419</ns0:v>
      </ns0:c>
      <ns0:c r="L237" s="73">
        <ns0:f t="shared" si="44"/>
        <ns0:v>2960.383108402264</ns0:v>
      </ns0:c>
      <ns0:c r="M237" s="74" t="str">
        <ns0:f t="shared" si="42"/>
        <ns0:v>Ativo</ns0:v>
      </ns0:c>
      <ns0:c r="N237" s="74"/>
      <ns0:c r="O237" s="74"/>
      <ns0:c r="P237" s="77"/>
      <ns0:c r="Q237" s="74" t="s">
        <ns0:v>238</ns0:v>
      </ns0:c>
      <ns0:c r="R237" s="74"/>
      <ns0:c r="S237" s="74"/>
      <ns0:c r="T237" s="74"/>
      <ns0:c r="U237" s="74"/>
      <ns0:c r="V237" s="74"/>
      <ns0:c r="W237" s="76">
        <ns0:f t="shared" si="40"/>
        <ns0:v>1</ns0:v>
      </ns0:c>
      <ns0:c r="X237" s="74" t="str">
        <ns0:f t="shared" si="41"/>
        <ns0:v>A · Premium ativo</ns0:v>
      </ns0:c>
      <ns0:c r="Y237" s="74"/>
      <ns0:c r="Z237" s="74"/>
      <ns0:c r="AA237" s="74"/>
      <ns0:c r="AB237" s="74"/>
      <ns0:c r="AQ237" s="74" t="inlineStr">
        <ns0:is>
          <ns0:t>Faro</ns0:t>
        </ns0:is>
      </ns0:c>
      <ns0:c r="AR237" s="74" t="inlineStr">
        <ns0:is>
          <ns0:t>https://libertas.pt/portfolio/</ns0:t>
        </ns0:is>
      </ns0:c>
    </ns0:row>
    <ns0:row r="238">
      <ns0:c r="A238" s="71" t="s">
        <ns0:v>236</ns0:v>
      </ns0:c>
      <ns0:c r="B238" s="71" t="s">
        <ns0:v>246</ns0:v>
      </ns0:c>
      <ns0:c r="C238" s="71">
        <ns0:v>3</ns0:v>
      </ns0:c>
      <ns0:c r="D238" s="71" t="s">
        <ns0:v>42</ns0:v>
      </ns0:c>
      <ns0:c r="E238" s="74">
        <ns0:v>2</ns0:v>
      </ns0:c>
      <ns0:c r="F238" s="72">
        <ns0:v>59.01</ns0:v>
      </ns0:c>
      <ns0:c r="G238" s="72">
        <ns0:v>20.11</ns0:v>
      </ns0:c>
      <ns0:c r="H238" s="72">
        <ns0:v>81.89</ns0:v>
      </ns0:c>
      <ns0:c r="I238" s="73">
        <ns0:v>345000</ns0:v>
      </ns0:c>
      <ns0:c r="J238" s="71">
        <ns0:v>2026</ns0:v>
      </ns0:c>
      <ns0:c r="K238" s="73">
        <ns0:f t="shared" si="43"/>
        <ns0:v>5846.4667005592273</ns0:v>
      </ns0:c>
      <ns0:c r="L238" s="73">
        <ns0:f t="shared" si="44"/>
        <ns0:v>4212.9686164366831</ns0:v>
      </ns0:c>
      <ns0:c r="M238" s="74" t="str">
        <ns0:f t="shared" si="42"/>
        <ns0:v>Ativo</ns0:v>
      </ns0:c>
      <ns0:c r="N238" s="74"/>
      <ns0:c r="O238" s="74"/>
      <ns0:c r="P238" s="77"/>
      <ns0:c r="Q238" s="74" t="s">
        <ns0:v>238</ns0:v>
      </ns0:c>
      <ns0:c r="R238" s="74"/>
      <ns0:c r="S238" s="74"/>
      <ns0:c r="T238" s="74"/>
      <ns0:c r="U238" s="74"/>
      <ns0:c r="V238" s="74"/>
      <ns0:c r="W238" s="76" t="n">
        <ns0:f t="shared" ref="W238:W301" si="45">IF(A238="The View",1,MAX(0.25,MIN(1,IF(J238&gt;=2026,1,IF(J238=2025,0.8,IF(J238=2024,0.45,0.3)))*IF(Q238="Premium waterfront/marina",1,IF(Q238="Benchmark local",0.7,0.6))*IF(M238="Vendido",0.65,IF(M238="Reservado",0.8,IF(M238="Histórico",0.55,1))))))</ns0:f>
        <ns0:v>1</ns0:v>
      </ns0:c>
      <ns0:c r="X238" s="74" t="str">
        <ns0:f t="shared" ref="X238:X301" si="46">IF(A238="The View","Projeto",IF(W238&gt;=0.85,"A · Premium ativo",IF(W238&gt;=0.55,"B · Benchmark local","C · Histórico/secundário")))</ns0:f>
        <ns0:v>A · Premium ativo</ns0:v>
      </ns0:c>
      <ns0:c r="Y238" s="74"/>
      <ns0:c r="Z238" s="74"/>
      <ns0:c r="AA238" s="74"/>
      <ns0:c r="AB238" s="74"/>
      <ns0:c r="AQ238" s="74" t="inlineStr">
        <ns0:is>
          <ns0:t>Faro</ns0:t>
        </ns0:is>
      </ns0:c>
      <ns0:c r="AR238" s="74" t="inlineStr">
        <ns0:is>
          <ns0:t>https://libertas.pt/portfolio/</ns0:t>
        </ns0:is>
      </ns0:c>
    </ns0:row>
    <ns0:row r="239">
      <ns0:c r="A239" s="71" t="s">
        <ns0:v>236</ns0:v>
      </ns0:c>
      <ns0:c r="B239" s="71" t="s">
        <ns0:v>247</ns0:v>
      </ns0:c>
      <ns0:c r="C239" s="71">
        <ns0:v>3</ns0:v>
      </ns0:c>
      <ns0:c r="D239" s="71" t="s">
        <ns0:v>31</ns0:v>
      </ns0:c>
      <ns0:c r="E239" s="74">
        <ns0:v>2</ns0:v>
      </ns0:c>
      <ns0:c r="F239" s="72">
        <ns0:v>93.06</ns0:v>
      </ns0:c>
      <ns0:c r="G239" s="72">
        <ns0:v>24.81</ns0:v>
      </ns0:c>
      <ns0:c r="H239" s="72">
        <ns0:v>120.97</ns0:v>
      </ns0:c>
      <ns0:c r="I239" s="73">
        <ns0:v>509000</ns0:v>
      </ns0:c>
      <ns0:c r="J239" s="71">
        <ns0:v>2026</ns0:v>
      </ns0:c>
      <ns0:c r="K239" s="73">
        <ns0:f t="shared" si="43"/>
        <ns0:v>5469.5895121427038</ns0:v>
      </ns0:c>
      <ns0:c r="L239" s="73">
        <ns0:f t="shared" si="44"/>
        <ns0:v>4207.6547904439121</ns0:v>
      </ns0:c>
      <ns0:c r="M239" s="74" t="str">
        <ns0:f t="shared" si="42"/>
        <ns0:v>Ativo</ns0:v>
      </ns0:c>
      <ns0:c r="N239" s="74"/>
      <ns0:c r="O239" s="74"/>
      <ns0:c r="P239" s="77"/>
      <ns0:c r="Q239" s="74" t="s">
        <ns0:v>238</ns0:v>
      </ns0:c>
      <ns0:c r="R239" s="74"/>
      <ns0:c r="S239" s="74"/>
      <ns0:c r="T239" s="74"/>
      <ns0:c r="U239" s="74"/>
      <ns0:c r="V239" s="74"/>
      <ns0:c r="W239" s="76">
        <ns0:f t="shared" si="45"/>
        <ns0:v>1</ns0:v>
      </ns0:c>
      <ns0:c r="X239" s="74" t="str">
        <ns0:f t="shared" si="46"/>
        <ns0:v>A · Premium ativo</ns0:v>
      </ns0:c>
      <ns0:c r="Y239" s="74"/>
      <ns0:c r="Z239" s="74"/>
      <ns0:c r="AA239" s="74"/>
      <ns0:c r="AB239" s="74"/>
      <ns0:c r="AQ239" s="74" t="inlineStr">
        <ns0:is>
          <ns0:t>Faro</ns0:t>
        </ns0:is>
      </ns0:c>
      <ns0:c r="AR239" s="74" t="inlineStr">
        <ns0:is>
          <ns0:t>https://libertas.pt/portfolio/</ns0:t>
        </ns0:is>
      </ns0:c>
    </ns0:row>
    <ns0:row r="240">
      <ns0:c r="A240" s="71" t="s">
        <ns0:v>236</ns0:v>
      </ns0:c>
      <ns0:c r="B240" s="71" t="s">
        <ns0:v>248</ns0:v>
      </ns0:c>
      <ns0:c r="C240" s="71">
        <ns0:v>4</ns0:v>
      </ns0:c>
      <ns0:c r="D240" s="71" t="s">
        <ns0:v>64</ns0:v>
      </ns0:c>
      <ns0:c r="E240" s="74">
        <ns0:v>2</ns0:v>
      </ns0:c>
      <ns0:c r="F240" s="72">
        <ns0:v>137.16</ns0:v>
      </ns0:c>
      <ns0:c r="G240" s="72">
        <ns0:v>44.72</ns0:v>
      </ns0:c>
      <ns0:c r="H240" s="72">
        <ns0:v>231.18</ns0:v>
      </ns0:c>
      <ns0:c r="I240" s="73">
        <ns0:v>690000</ns0:v>
      </ns0:c>
      <ns0:c r="J240" s="71">
        <ns0:v>2026</ns0:v>
      </ns0:c>
      <ns0:c r="K240" s="73">
        <ns0:f t="shared" si="43"/>
        <ns0:v>5030.6211723534561</ns0:v>
      </ns0:c>
      <ns0:c r="L240" s="73">
        <ns0:f t="shared" si="44"/>
        <ns0:v>2984.6872566831039</ns0:v>
      </ns0:c>
      <ns0:c r="M240" s="74" t="str">
        <ns0:f t="shared" si="42"/>
        <ns0:v>Ativo</ns0:v>
      </ns0:c>
      <ns0:c r="N240" s="74"/>
      <ns0:c r="O240" s="74"/>
      <ns0:c r="P240" s="77"/>
      <ns0:c r="Q240" s="74" t="s">
        <ns0:v>238</ns0:v>
      </ns0:c>
      <ns0:c r="R240" s="74"/>
      <ns0:c r="S240" s="74"/>
      <ns0:c r="T240" s="74"/>
      <ns0:c r="U240" s="74"/>
      <ns0:c r="V240" s="74"/>
      <ns0:c r="W240" s="76">
        <ns0:f t="shared" si="45"/>
        <ns0:v>1</ns0:v>
      </ns0:c>
      <ns0:c r="X240" s="74" t="str">
        <ns0:f t="shared" si="46"/>
        <ns0:v>A · Premium ativo</ns0:v>
      </ns0:c>
      <ns0:c r="Y240" s="74"/>
      <ns0:c r="Z240" s="74"/>
      <ns0:c r="AA240" s="74"/>
      <ns0:c r="AB240" s="74"/>
      <ns0:c r="AQ240" s="74" t="inlineStr">
        <ns0:is>
          <ns0:t>Faro</ns0:t>
        </ns0:is>
      </ns0:c>
      <ns0:c r="AR240" s="74" t="inlineStr">
        <ns0:is>
          <ns0:t>https://libertas.pt/portfolio/</ns0:t>
        </ns0:is>
      </ns0:c>
    </ns0:row>
    <ns0:row r="241">
      <ns0:c r="A241" s="71" t="s">
        <ns0:v>236</ns0:v>
      </ns0:c>
      <ns0:c r="B241" s="71" t="s">
        <ns0:v>249</ns0:v>
      </ns0:c>
      <ns0:c r="C241" s="71">
        <ns0:v>4</ns0:v>
      </ns0:c>
      <ns0:c r="D241" s="71" t="s">
        <ns0:v>42</ns0:v>
      </ns0:c>
      <ns0:c r="E241" s="74">
        <ns0:v>2</ns0:v>
      </ns0:c>
      <ns0:c r="F241" s="72">
        <ns0:v>59.01</ns0:v>
      </ns0:c>
      <ns0:c r="G241" s="72">
        <ns0:v>20.58</ns0:v>
      </ns0:c>
      <ns0:c r="H241" s="72">
        <ns0:v>82.39</ns0:v>
      </ns0:c>
      <ns0:c r="I241" s="73">
        <ns0:v>355000</ns0:v>
      </ns0:c>
      <ns0:c r="J241" s="71">
        <ns0:v>2026</ns0:v>
      </ns0:c>
      <ns0:c r="K241" s="73">
        <ns0:f t="shared" si="43"/>
        <ns0:v>6015.929503473988</ns0:v>
      </ns0:c>
      <ns0:c r="L241" s="73">
        <ns0:f t="shared" si="44"/>
        <ns0:v>4308.7753368127196</ns0:v>
      </ns0:c>
      <ns0:c r="M241" s="74" t="str">
        <ns0:f t="shared" si="42"/>
        <ns0:v>Ativo</ns0:v>
      </ns0:c>
      <ns0:c r="N241" s="74"/>
      <ns0:c r="O241" s="74"/>
      <ns0:c r="P241" s="77"/>
      <ns0:c r="Q241" s="74" t="s">
        <ns0:v>238</ns0:v>
      </ns0:c>
      <ns0:c r="R241" s="74"/>
      <ns0:c r="S241" s="74"/>
      <ns0:c r="T241" s="74"/>
      <ns0:c r="U241" s="74"/>
      <ns0:c r="V241" s="74"/>
      <ns0:c r="W241" s="76">
        <ns0:f t="shared" si="45"/>
        <ns0:v>1</ns0:v>
      </ns0:c>
      <ns0:c r="X241" s="74" t="str">
        <ns0:f t="shared" si="46"/>
        <ns0:v>A · Premium ativo</ns0:v>
      </ns0:c>
      <ns0:c r="Y241" s="74"/>
      <ns0:c r="Z241" s="74"/>
      <ns0:c r="AA241" s="74"/>
      <ns0:c r="AB241" s="74"/>
      <ns0:c r="AQ241" s="74" t="inlineStr">
        <ns0:is>
          <ns0:t>Faro</ns0:t>
        </ns0:is>
      </ns0:c>
      <ns0:c r="AR241" s="74" t="inlineStr">
        <ns0:is>
          <ns0:t>https://libertas.pt/portfolio/</ns0:t>
        </ns0:is>
      </ns0:c>
    </ns0:row>
    <ns0:row r="242">
      <ns0:c r="A242" s="71" t="s">
        <ns0:v>236</ns0:v>
      </ns0:c>
      <ns0:c r="B242" s="71" t="s">
        <ns0:v>250</ns0:v>
      </ns0:c>
      <ns0:c r="C242" s="71">
        <ns0:v>4</ns0:v>
      </ns0:c>
      <ns0:c r="D242" s="71" t="s">
        <ns0:v>31</ns0:v>
      </ns0:c>
      <ns0:c r="E242" s="74">
        <ns0:v>2</ns0:v>
      </ns0:c>
      <ns0:c r="F242" s="72">
        <ns0:v>93.06</ns0:v>
      </ns0:c>
      <ns0:c r="G242" s="72">
        <ns0:v>24.81</ns0:v>
      </ns0:c>
      <ns0:c r="H242" s="72">
        <ns0:v>122.27</ns0:v>
      </ns0:c>
      <ns0:c r="I242" s="73">
        <ns0:v>520000</ns0:v>
      </ns0:c>
      <ns0:c r="J242" s="71">
        <ns0:v>2026</ns0:v>
      </ns0:c>
      <ns0:c r="K242" s="73">
        <ns0:f t="shared" si="43"/>
        <ns0:v>5587.7928218353745</ns0:v>
      </ns0:c>
      <ns0:c r="L242" s="73">
        <ns0:f t="shared" si="44"/>
        <ns0:v>4252.8829639322812</ns0:v>
      </ns0:c>
      <ns0:c r="M242" s="74" t="str">
        <ns0:f t="shared" si="42"/>
        <ns0:v>Ativo</ns0:v>
      </ns0:c>
      <ns0:c r="N242" s="74"/>
      <ns0:c r="O242" s="74"/>
      <ns0:c r="P242" s="77"/>
      <ns0:c r="Q242" s="74" t="s">
        <ns0:v>238</ns0:v>
      </ns0:c>
      <ns0:c r="R242" s="74"/>
      <ns0:c r="S242" s="74"/>
      <ns0:c r="T242" s="74"/>
      <ns0:c r="U242" s="74"/>
      <ns0:c r="V242" s="74"/>
      <ns0:c r="W242" s="76">
        <ns0:f t="shared" si="45"/>
        <ns0:v>1</ns0:v>
      </ns0:c>
      <ns0:c r="X242" s="74" t="str">
        <ns0:f t="shared" si="46"/>
        <ns0:v>A · Premium ativo</ns0:v>
      </ns0:c>
      <ns0:c r="Y242" s="74"/>
      <ns0:c r="Z242" s="74"/>
      <ns0:c r="AA242" s="74"/>
      <ns0:c r="AB242" s="74"/>
      <ns0:c r="AQ242" s="74" t="inlineStr">
        <ns0:is>
          <ns0:t>Faro</ns0:t>
        </ns0:is>
      </ns0:c>
      <ns0:c r="AR242" s="74" t="inlineStr">
        <ns0:is>
          <ns0:t>https://libertas.pt/portfolio/</ns0:t>
        </ns0:is>
      </ns0:c>
    </ns0:row>
    <ns0:row r="243">
      <ns0:c r="A243" s="71" t="s">
        <ns0:v>236</ns0:v>
      </ns0:c>
      <ns0:c r="B243" s="71" t="s">
        <ns0:v>251</ns0:v>
      </ns0:c>
      <ns0:c r="C243" s="71">
        <ns0:v>5</ns0:v>
      </ns0:c>
      <ns0:c r="D243" s="71" t="s">
        <ns0:v>252</ns0:v>
      </ns0:c>
      <ns0:c r="E243" s="74">
        <ns0:v>2</ns0:v>
      </ns0:c>
      <ns0:c r="F243" s="72">
        <ns0:v>161.78</ns0:v>
      </ns0:c>
      <ns0:c r="G243" s="72">
        <ns0:v>227.4</ns0:v>
      </ns0:c>
      <ns0:c r="H243" s="72">
        <ns0:v>439.78</ns0:v>
      </ns0:c>
      <ns0:c r="I243" s="73">
        <ns0:v>1002000</ns0:v>
      </ns0:c>
      <ns0:c r="J243" s="71">
        <ns0:v>2026</ns0:v>
      </ns0:c>
      <ns0:c r="K243" s="73">
        <ns0:f t="shared" si="43"/>
        <ns0:v>6193.5962418098652</ns0:v>
      </ns0:c>
      <ns0:c r="L243" s="73">
        <ns0:f t="shared" si="44"/>
        <ns0:v>2278.411933239347</ns0:v>
      </ns0:c>
      <ns0:c r="M243" s="74" t="str">
        <ns0:f t="shared" si="42"/>
        <ns0:v>Ativo</ns0:v>
      </ns0:c>
      <ns0:c r="N243" s="74"/>
      <ns0:c r="O243" s="74"/>
      <ns0:c r="P243" s="77"/>
      <ns0:c r="Q243" s="74" t="s">
        <ns0:v>238</ns0:v>
      </ns0:c>
      <ns0:c r="R243" s="74"/>
      <ns0:c r="S243" s="74"/>
      <ns0:c r="T243" s="74"/>
      <ns0:c r="U243" s="74"/>
      <ns0:c r="V243" s="74"/>
      <ns0:c r="W243" s="76">
        <ns0:f t="shared" si="45"/>
        <ns0:v>1</ns0:v>
      </ns0:c>
      <ns0:c r="X243" s="74" t="str">
        <ns0:f t="shared" si="46"/>
        <ns0:v>A · Premium ativo</ns0:v>
      </ns0:c>
      <ns0:c r="Y243" s="74"/>
      <ns0:c r="Z243" s="74"/>
      <ns0:c r="AA243" s="74"/>
      <ns0:c r="AB243" s="74"/>
      <ns0:c r="AQ243" s="74" t="inlineStr">
        <ns0:is>
          <ns0:t>Faro</ns0:t>
        </ns0:is>
      </ns0:c>
      <ns0:c r="AR243" s="74" t="inlineStr">
        <ns0:is>
          <ns0:t>https://libertas.pt/portfolio/</ns0:t>
        </ns0:is>
      </ns0:c>
    </ns0:row>
    <ns0:row r="244">
      <ns0:c r="A244" s="71" t="s">
        <ns0:v>236</ns0:v>
      </ns0:c>
      <ns0:c r="B244" s="71" t="s">
        <ns0:v>253</ns0:v>
      </ns0:c>
      <ns0:c r="C244" s="71">
        <ns0:v>5</ns0:v>
      </ns0:c>
      <ns0:c r="D244" s="71" t="s">
        <ns0:v>252</ns0:v>
      </ns0:c>
      <ns0:c r="E244" s="74">
        <ns0:v>2</ns0:v>
      </ns0:c>
      <ns0:c r="F244" s="72">
        <ns0:v>128.44999999999999</ns0:v>
      </ns0:c>
      <ns0:c r="G244" s="72">
        <ns0:v>201.33</ns0:v>
      </ns0:c>
      <ns0:c r="H244" s="72">
        <ns0:v>330.58</ns0:v>
      </ns0:c>
      <ns0:c r="I244" s="73">
        <ns0:v>843000</ns0:v>
      </ns0:c>
      <ns0:c r="J244" s="71">
        <ns0:v>2026</ns0:v>
      </ns0:c>
      <ns0:c r="K244" s="73">
        <ns0:f t="shared" si="43"/>
        <ns0:v>6562.8649279875444</ns0:v>
      </ns0:c>
      <ns0:c r="L244" s="73">
        <ns0:f t="shared" si="44"/>
        <ns0:v>2550.063524714139</ns0:v>
      </ns0:c>
      <ns0:c r="M244" s="74" t="str">
        <ns0:f t="shared" si="42"/>
        <ns0:v>Ativo</ns0:v>
      </ns0:c>
      <ns0:c r="N244" s="74"/>
      <ns0:c r="O244" s="74"/>
      <ns0:c r="P244" s="77"/>
      <ns0:c r="Q244" s="74" t="s">
        <ns0:v>238</ns0:v>
      </ns0:c>
      <ns0:c r="R244" s="74"/>
      <ns0:c r="S244" s="74"/>
      <ns0:c r="T244" s="74"/>
      <ns0:c r="U244" s="74"/>
      <ns0:c r="V244" s="74"/>
      <ns0:c r="W244" s="76">
        <ns0:f t="shared" si="45"/>
        <ns0:v>1</ns0:v>
      </ns0:c>
      <ns0:c r="X244" s="74" t="str">
        <ns0:f t="shared" si="46"/>
        <ns0:v>A · Premium ativo</ns0:v>
      </ns0:c>
      <ns0:c r="Y244" s="74"/>
      <ns0:c r="Z244" s="74"/>
      <ns0:c r="AA244" s="74"/>
      <ns0:c r="AB244" s="74"/>
      <ns0:c r="AQ244" s="74" t="inlineStr">
        <ns0:is>
          <ns0:t>Faro</ns0:t>
        </ns0:is>
      </ns0:c>
      <ns0:c r="AR244" s="74" t="inlineStr">
        <ns0:is>
          <ns0:t>https://libertas.pt/portfolio/</ns0:t>
        </ns0:is>
      </ns0:c>
    </ns0:row>
    <ns0:row r="245">
      <ns0:c r="A245" s="71" t="s">
        <ns0:v>236</ns0:v>
      </ns0:c>
      <ns0:c r="B245" s="71" t="s">
        <ns0:v>254</ns0:v>
      </ns0:c>
      <ns0:c r="C245" s="71">
        <ns0:v>0</ns0:v>
      </ns0:c>
      <ns0:c r="D245" s="71" t="s">
        <ns0:v>31</ns0:v>
      </ns0:c>
      <ns0:c r="E245" s="74">
        <ns0:v>2</ns0:v>
      </ns0:c>
      <ns0:c r="F245" s="72">
        <ns0:v>87.11</ns0:v>
      </ns0:c>
      <ns0:c r="G245" s="72">
        <ns0:v>37.89</ns0:v>
      </ns0:c>
      <ns0:c r="H245" s="72">
        <ns0:v>127.7</ns0:v>
      </ns0:c>
      <ns0:c r="I245" s="73">
        <ns0:v>461000</ns0:v>
      </ns0:c>
      <ns0:c r="J245" s="71">
        <ns0:v>2026</ns0:v>
      </ns0:c>
      <ns0:c r="K245" s="73">
        <ns0:f t="shared" si="43"/>
        <ns0:v>5292.1593387670764</ns0:v>
      </ns0:c>
      <ns0:c r="L245" s="73">
        <ns0:f t="shared" si="44"/>
        <ns0:v>3610.0234925606892</ns0:v>
      </ns0:c>
      <ns0:c r="M245" s="74" t="str">
        <ns0:f t="shared" si="42"/>
        <ns0:v>Ativo</ns0:v>
      </ns0:c>
      <ns0:c r="N245" s="74"/>
      <ns0:c r="O245" s="74"/>
      <ns0:c r="P245" s="77"/>
      <ns0:c r="Q245" s="74" t="s">
        <ns0:v>238</ns0:v>
      </ns0:c>
      <ns0:c r="R245" s="74"/>
      <ns0:c r="S245" s="74"/>
      <ns0:c r="T245" s="74"/>
      <ns0:c r="U245" s="74"/>
      <ns0:c r="V245" s="74"/>
      <ns0:c r="W245" s="76">
        <ns0:f t="shared" si="45"/>
        <ns0:v>1</ns0:v>
      </ns0:c>
      <ns0:c r="X245" s="74" t="str">
        <ns0:f t="shared" si="46"/>
        <ns0:v>A · Premium ativo</ns0:v>
      </ns0:c>
      <ns0:c r="Y245" s="74"/>
      <ns0:c r="Z245" s="74"/>
      <ns0:c r="AA245" s="74"/>
      <ns0:c r="AB245" s="74"/>
      <ns0:c r="AQ245" s="74" t="inlineStr">
        <ns0:is>
          <ns0:t>Faro</ns0:t>
        </ns0:is>
      </ns0:c>
      <ns0:c r="AR245" s="74" t="inlineStr">
        <ns0:is>
          <ns0:t>https://libertas.pt/portfolio/</ns0:t>
        </ns0:is>
      </ns0:c>
    </ns0:row>
    <ns0:row r="246">
      <ns0:c r="A246" s="71" t="s">
        <ns0:v>236</ns0:v>
      </ns0:c>
      <ns0:c r="B246" s="71" t="s">
        <ns0:v>255</ns0:v>
      </ns0:c>
      <ns0:c r="C246" s="71">
        <ns0:v>1</ns0:v>
      </ns0:c>
      <ns0:c r="D246" s="71" t="s">
        <ns0:v>31</ns0:v>
      </ns0:c>
      <ns0:c r="E246" s="74">
        <ns0:v>2</ns0:v>
      </ns0:c>
      <ns0:c r="F246" s="72">
        <ns0:v>87.11</ns0:v>
      </ns0:c>
      <ns0:c r="G246" s="72">
        <ns0:v>11.2</ns0:v>
      </ns0:c>
      <ns0:c r="H246" s="72">
        <ns0:v>101.01</ns0:v>
      </ns0:c>
      <ns0:c r="I246" s="73">
        <ns0:v>446000</ns0:v>
      </ns0:c>
      <ns0:c r="J246" s="71">
        <ns0:v>2026</ns0:v>
      </ns0:c>
      <ns0:c r="K246" s="73">
        <ns0:f t="shared" si="43"/>
        <ns0:v>5119.9632648375618</ns0:v>
      </ns0:c>
      <ns0:c r="L246" s="73">
        <ns0:f t="shared" si="44"/>
        <ns0:v>4415.404415404415</ns0:v>
      </ns0:c>
      <ns0:c r="M246" s="74" t="str">
        <ns0:f t="shared" si="42"/>
        <ns0:v>Ativo</ns0:v>
      </ns0:c>
      <ns0:c r="N246" s="74"/>
      <ns0:c r="O246" s="74"/>
      <ns0:c r="P246" s="77"/>
      <ns0:c r="Q246" s="74" t="s">
        <ns0:v>238</ns0:v>
      </ns0:c>
      <ns0:c r="R246" s="74"/>
      <ns0:c r="S246" s="74"/>
      <ns0:c r="T246" s="74"/>
      <ns0:c r="U246" s="74"/>
      <ns0:c r="V246" s="74"/>
      <ns0:c r="W246" s="76">
        <ns0:f t="shared" si="45"/>
        <ns0:v>1</ns0:v>
      </ns0:c>
      <ns0:c r="X246" s="74" t="str">
        <ns0:f t="shared" si="46"/>
        <ns0:v>A · Premium ativo</ns0:v>
      </ns0:c>
      <ns0:c r="Y246" s="74"/>
      <ns0:c r="Z246" s="74"/>
      <ns0:c r="AA246" s="74"/>
      <ns0:c r="AB246" s="74"/>
      <ns0:c r="AQ246" s="74" t="inlineStr">
        <ns0:is>
          <ns0:t>Faro</ns0:t>
        </ns0:is>
      </ns0:c>
      <ns0:c r="AR246" s="74" t="inlineStr">
        <ns0:is>
          <ns0:t>https://libertas.pt/portfolio/</ns0:t>
        </ns0:is>
      </ns0:c>
    </ns0:row>
    <ns0:row r="247">
      <ns0:c r="A247" s="71" t="s">
        <ns0:v>236</ns0:v>
      </ns0:c>
      <ns0:c r="B247" s="71" t="s">
        <ns0:v>256</ns0:v>
      </ns0:c>
      <ns0:c r="C247" s="71">
        <ns0:v>2</ns0:v>
      </ns0:c>
      <ns0:c r="D247" s="71" t="s">
        <ns0:v>31</ns0:v>
      </ns0:c>
      <ns0:c r="E247" s="74">
        <ns0:v>2</ns0:v>
      </ns0:c>
      <ns0:c r="F247" s="72">
        <ns0:v>87.11</ns0:v>
      </ns0:c>
      <ns0:c r="G247" s="72">
        <ns0:v>23.58</ns0:v>
      </ns0:c>
      <ns0:c r="H247" s="72">
        <ns0:v>113.46</ns0:v>
      </ns0:c>
      <ns0:c r="I247" s="73">
        <ns0:v>467000</ns0:v>
      </ns0:c>
      <ns0:c r="J247" s="71">
        <ns0:v>2026</ns0:v>
      </ns0:c>
      <ns0:c r="K247" s="73">
        <ns0:f t="shared" si="43"/>
        <ns0:v>5361.0377683388815</ns0:v>
      </ns0:c>
      <ns0:c r="L247" s="73">
        <ns0:f t="shared" si="44"/>
        <ns0:v>4115.9880133967918</ns0:v>
      </ns0:c>
      <ns0:c r="M247" s="74" t="str">
        <ns0:f t="shared" si="42"/>
        <ns0:v>Ativo</ns0:v>
      </ns0:c>
      <ns0:c r="N247" s="74"/>
      <ns0:c r="O247" s="74"/>
      <ns0:c r="P247" s="77"/>
      <ns0:c r="Q247" s="74" t="s">
        <ns0:v>238</ns0:v>
      </ns0:c>
      <ns0:c r="R247" s="74"/>
      <ns0:c r="S247" s="74"/>
      <ns0:c r="T247" s="74"/>
      <ns0:c r="U247" s="74"/>
      <ns0:c r="V247" s="74"/>
      <ns0:c r="W247" s="76">
        <ns0:f t="shared" si="45"/>
        <ns0:v>1</ns0:v>
      </ns0:c>
      <ns0:c r="X247" s="74" t="str">
        <ns0:f t="shared" si="46"/>
        <ns0:v>A · Premium ativo</ns0:v>
      </ns0:c>
      <ns0:c r="Y247" s="74"/>
      <ns0:c r="Z247" s="74"/>
      <ns0:c r="AA247" s="74"/>
      <ns0:c r="AB247" s="74"/>
      <ns0:c r="AQ247" s="74" t="inlineStr">
        <ns0:is>
          <ns0:t>Faro</ns0:t>
        </ns0:is>
      </ns0:c>
      <ns0:c r="AR247" s="74" t="inlineStr">
        <ns0:is>
          <ns0:t>https://libertas.pt/portfolio/</ns0:t>
        </ns0:is>
      </ns0:c>
    </ns0:row>
    <ns0:row r="248">
      <ns0:c r="A248" s="71" t="s">
        <ns0:v>236</ns0:v>
      </ns0:c>
      <ns0:c r="B248" s="71" t="s">
        <ns0:v>257</ns0:v>
      </ns0:c>
      <ns0:c r="C248" s="71">
        <ns0:v>2</ns0:v>
      </ns0:c>
      <ns0:c r="D248" s="71" t="s">
        <ns0:v>31</ns0:v>
      </ns0:c>
      <ns0:c r="E248" s="74">
        <ns0:v>2</ns0:v>
      </ns0:c>
      <ns0:c r="F248" s="72">
        <ns0:v>82.28</ns0:v>
      </ns0:c>
      <ns0:c r="G248" s="72">
        <ns0:v>31.7</ns0:v>
      </ns0:c>
      <ns0:c r="H248" s="72">
        <ns0:v>116.78</ns0:v>
      </ns0:c>
      <ns0:c r="I248" s="73">
        <ns0:v>451000</ns0:v>
      </ns0:c>
      <ns0:c r="J248" s="71">
        <ns0:v>2026</ns0:v>
      </ns0:c>
      <ns0:c r="K248" s="73">
        <ns0:f t="shared" si="43"/>
        <ns0:v>5481.2834224598928</ns0:v>
      </ns0:c>
      <ns0:c r="L248" s="73">
        <ns0:f t="shared" si="44"/>
        <ns0:v>3861.9626648398698</ns0:v>
      </ns0:c>
      <ns0:c r="M248" s="74" t="str">
        <ns0:f t="shared" si="42"/>
        <ns0:v>Ativo</ns0:v>
      </ns0:c>
      <ns0:c r="N248" s="74"/>
      <ns0:c r="O248" s="74"/>
      <ns0:c r="P248" s="77"/>
      <ns0:c r="Q248" s="74" t="s">
        <ns0:v>238</ns0:v>
      </ns0:c>
      <ns0:c r="R248" s="74"/>
      <ns0:c r="S248" s="74"/>
      <ns0:c r="T248" s="74"/>
      <ns0:c r="U248" s="74"/>
      <ns0:c r="V248" s="74"/>
      <ns0:c r="W248" s="76">
        <ns0:f t="shared" si="45"/>
        <ns0:v>1</ns0:v>
      </ns0:c>
      <ns0:c r="X248" s="74" t="str">
        <ns0:f t="shared" si="46"/>
        <ns0:v>A · Premium ativo</ns0:v>
      </ns0:c>
      <ns0:c r="Y248" s="74"/>
      <ns0:c r="Z248" s="74"/>
      <ns0:c r="AA248" s="74"/>
      <ns0:c r="AB248" s="74"/>
      <ns0:c r="AQ248" s="74" t="inlineStr">
        <ns0:is>
          <ns0:t>Faro</ns0:t>
        </ns0:is>
      </ns0:c>
      <ns0:c r="AR248" s="74" t="inlineStr">
        <ns0:is>
          <ns0:t>https://libertas.pt/portfolio/</ns0:t>
        </ns0:is>
      </ns0:c>
    </ns0:row>
    <ns0:row r="249">
      <ns0:c r="A249" s="71" t="s">
        <ns0:v>236</ns0:v>
      </ns0:c>
      <ns0:c r="B249" s="71" t="s">
        <ns0:v>258</ns0:v>
      </ns0:c>
      <ns0:c r="C249" s="71">
        <ns0:v>3</ns0:v>
      </ns0:c>
      <ns0:c r="D249" s="71" t="s">
        <ns0:v>31</ns0:v>
      </ns0:c>
      <ns0:c r="E249" s="74">
        <ns0:v>2</ns0:v>
      </ns0:c>
      <ns0:c r="F249" s="72">
        <ns0:v>87.11</ns0:v>
      </ns0:c>
      <ns0:c r="G249" s="72">
        <ns0:v>23.66</ns0:v>
      </ns0:c>
      <ns0:c r="H249" s="72">
        <ns0:v>113.77</ns0:v>
      </ns0:c>
      <ns0:c r="I249" s="73">
        <ns0:v>478000</ns0:v>
      </ns0:c>
      <ns0:c r="J249" s="71">
        <ns0:v>2026</ns0:v>
      </ns0:c>
      <ns0:c r="K249" s="73">
        <ns0:f t="shared" si="43"/>
        <ns0:v>5487.3148892205254</ns0:v>
      </ns0:c>
      <ns0:c r="L249" s="73">
        <ns0:f t="shared" si="44"/>
        <ns0:v>4201.4590841170784</ns0:v>
      </ns0:c>
      <ns0:c r="M249" s="74" t="str">
        <ns0:f t="shared" si="42"/>
        <ns0:v>Ativo</ns0:v>
      </ns0:c>
      <ns0:c r="N249" s="74"/>
      <ns0:c r="O249" s="74"/>
      <ns0:c r="P249" s="77"/>
      <ns0:c r="Q249" s="74" t="s">
        <ns0:v>238</ns0:v>
      </ns0:c>
      <ns0:c r="R249" s="74"/>
      <ns0:c r="S249" s="74"/>
      <ns0:c r="T249" s="74"/>
      <ns0:c r="U249" s="74"/>
      <ns0:c r="V249" s="74"/>
      <ns0:c r="W249" s="76">
        <ns0:f t="shared" si="45"/>
        <ns0:v>1</ns0:v>
      </ns0:c>
      <ns0:c r="X249" s="74" t="str">
        <ns0:f t="shared" si="46"/>
        <ns0:v>A · Premium ativo</ns0:v>
      </ns0:c>
      <ns0:c r="Y249" s="74"/>
      <ns0:c r="Z249" s="74"/>
      <ns0:c r="AA249" s="74"/>
      <ns0:c r="AB249" s="74"/>
      <ns0:c r="AQ249" s="74" t="inlineStr">
        <ns0:is>
          <ns0:t>Faro</ns0:t>
        </ns0:is>
      </ns0:c>
      <ns0:c r="AR249" s="74" t="inlineStr">
        <ns0:is>
          <ns0:t>https://libertas.pt/portfolio/</ns0:t>
        </ns0:is>
      </ns0:c>
    </ns0:row>
    <ns0:row r="250">
      <ns0:c r="A250" s="71" t="s">
        <ns0:v>236</ns0:v>
      </ns0:c>
      <ns0:c r="B250" s="71" t="s">
        <ns0:v>259</ns0:v>
      </ns0:c>
      <ns0:c r="C250" s="71">
        <ns0:v>3</ns0:v>
      </ns0:c>
      <ns0:c r="D250" s="71" t="s">
        <ns0:v>31</ns0:v>
      </ns0:c>
      <ns0:c r="E250" s="74">
        <ns0:v>2</ns0:v>
      </ns0:c>
      <ns0:c r="F250" s="72">
        <ns0:v>82.28</ns0:v>
      </ns0:c>
      <ns0:c r="G250" s="72">
        <ns0:v>31.75</ns0:v>
      </ns0:c>
      <ns0:c r="H250" s="72">
        <ns0:v>116.83</ns0:v>
      </ns0:c>
      <ns0:c r="I250" s="73">
        <ns0:v>461000</ns0:v>
      </ns0:c>
      <ns0:c r="J250" s="71">
        <ns0:v>2026</ns0:v>
      </ns0:c>
      <ns0:c r="K250" s="73">
        <ns0:f t="shared" si="43"/>
        <ns0:v>5602.8196402527956</ns0:v>
      </ns0:c>
      <ns0:c r="L250" s="73">
        <ns0:f t="shared" si="44"/>
        <ns0:v>3945.9043054010099</ns0:v>
      </ns0:c>
      <ns0:c r="M250" s="74" t="str">
        <ns0:f t="shared" si="42"/>
        <ns0:v>Ativo</ns0:v>
      </ns0:c>
      <ns0:c r="N250" s="74"/>
      <ns0:c r="O250" s="74"/>
      <ns0:c r="P250" s="77"/>
      <ns0:c r="Q250" s="74" t="s">
        <ns0:v>238</ns0:v>
      </ns0:c>
      <ns0:c r="R250" s="74"/>
      <ns0:c r="S250" s="74"/>
      <ns0:c r="T250" s="74"/>
      <ns0:c r="U250" s="74"/>
      <ns0:c r="V250" s="74"/>
      <ns0:c r="W250" s="76">
        <ns0:f t="shared" si="45"/>
        <ns0:v>1</ns0:v>
      </ns0:c>
      <ns0:c r="X250" s="74" t="str">
        <ns0:f t="shared" si="46"/>
        <ns0:v>A · Premium ativo</ns0:v>
      </ns0:c>
      <ns0:c r="Y250" s="74"/>
      <ns0:c r="Z250" s="74"/>
      <ns0:c r="AA250" s="74"/>
      <ns0:c r="AB250" s="74"/>
      <ns0:c r="AQ250" s="74" t="inlineStr">
        <ns0:is>
          <ns0:t>Faro</ns0:t>
        </ns0:is>
      </ns0:c>
      <ns0:c r="AR250" s="74" t="inlineStr">
        <ns0:is>
          <ns0:t>https://libertas.pt/portfolio/</ns0:t>
        </ns0:is>
      </ns0:c>
    </ns0:row>
    <ns0:row r="251">
      <ns0:c r="A251" s="71" t="s">
        <ns0:v>236</ns0:v>
      </ns0:c>
      <ns0:c r="B251" s="71" t="s">
        <ns0:v>260</ns0:v>
      </ns0:c>
      <ns0:c r="C251" s="71">
        <ns0:v>4</ns0:v>
      </ns0:c>
      <ns0:c r="D251" s="71" t="s">
        <ns0:v>31</ns0:v>
      </ns0:c>
      <ns0:c r="E251" s="74">
        <ns0:v>2</ns0:v>
      </ns0:c>
      <ns0:c r="F251" s="72">
        <ns0:v>87.11</ns0:v>
      </ns0:c>
      <ns0:c r="G251" s="72">
        <ns0:v>23.58</ns0:v>
      </ns0:c>
      <ns0:c r="H251" s="72">
        <ns0:v>114.09</ns0:v>
      </ns0:c>
      <ns0:c r="I251" s="73">
        <ns0:v>483000</ns0:v>
      </ns0:c>
      <ns0:c r="J251" s="71">
        <ns0:v>2026</ns0:v>
      </ns0:c>
      <ns0:c r="K251" s="73">
        <ns0:f t="shared" si="43"/>
        <ns0:v>5544.7135805303642</ns0:v>
      </ns0:c>
      <ns0:c r="L251" s="73">
        <ns0:f t="shared" si="44"/>
        <ns0:v>4233.4998685248484</ns0:v>
      </ns0:c>
      <ns0:c r="M251" s="74" t="str">
        <ns0:f t="shared" si="42"/>
        <ns0:v>Ativo</ns0:v>
      </ns0:c>
      <ns0:c r="N251" s="74"/>
      <ns0:c r="O251" s="74"/>
      <ns0:c r="P251" s="77"/>
      <ns0:c r="Q251" s="74" t="s">
        <ns0:v>238</ns0:v>
      </ns0:c>
      <ns0:c r="R251" s="74"/>
      <ns0:c r="S251" s="74"/>
      <ns0:c r="T251" s="74"/>
      <ns0:c r="U251" s="74"/>
      <ns0:c r="V251" s="74"/>
      <ns0:c r="W251" s="76">
        <ns0:f t="shared" si="45"/>
        <ns0:v>1</ns0:v>
      </ns0:c>
      <ns0:c r="X251" s="74" t="str">
        <ns0:f t="shared" si="46"/>
        <ns0:v>A · Premium ativo</ns0:v>
      </ns0:c>
      <ns0:c r="Y251" s="74"/>
      <ns0:c r="Z251" s="74"/>
      <ns0:c r="AA251" s="74"/>
      <ns0:c r="AB251" s="74"/>
      <ns0:c r="AQ251" s="74" t="inlineStr">
        <ns0:is>
          <ns0:t>Faro</ns0:t>
        </ns0:is>
      </ns0:c>
      <ns0:c r="AR251" s="74" t="inlineStr">
        <ns0:is>
          <ns0:t>https://libertas.pt/portfolio/</ns0:t>
        </ns0:is>
      </ns0:c>
    </ns0:row>
    <ns0:row r="252">
      <ns0:c r="A252" s="71" t="s">
        <ns0:v>236</ns0:v>
      </ns0:c>
      <ns0:c r="B252" s="71" t="s">
        <ns0:v>261</ns0:v>
      </ns0:c>
      <ns0:c r="C252" s="71">
        <ns0:v>4</ns0:v>
      </ns0:c>
      <ns0:c r="D252" s="71" t="s">
        <ns0:v>31</ns0:v>
      </ns0:c>
      <ns0:c r="E252" s="74">
        <ns0:v>2</ns0:v>
      </ns0:c>
      <ns0:c r="F252" s="72">
        <ns0:v>82.28</ns0:v>
      </ns0:c>
      <ns0:c r="G252" s="72">
        <ns0:v>31.7</ns0:v>
      </ns0:c>
      <ns0:c r="H252" s="72">
        <ns0:v>116.75</ns0:v>
      </ns0:c>
      <ns0:c r="I252" s="73">
        <ns0:v>472000</ns0:v>
      </ns0:c>
      <ns0:c r="J252" s="71">
        <ns0:v>2026</ns0:v>
      </ns0:c>
      <ns0:c r="K252" s="73">
        <ns0:f t="shared" si="43"/>
        <ns0:v>5736.5094798249875</ns0:v>
      </ns0:c>
      <ns0:c r="L252" s="73">
        <ns0:f t="shared" si="44"/>
        <ns0:v>4042.8265524625267</ns0:v>
      </ns0:c>
      <ns0:c r="M252" s="74" t="str">
        <ns0:f t="shared" si="42"/>
        <ns0:v>Ativo</ns0:v>
      </ns0:c>
      <ns0:c r="N252" s="74"/>
      <ns0:c r="O252" s="74"/>
      <ns0:c r="P252" s="77"/>
      <ns0:c r="Q252" s="74" t="s">
        <ns0:v>238</ns0:v>
      </ns0:c>
      <ns0:c r="R252" s="74"/>
      <ns0:c r="S252" s="74"/>
      <ns0:c r="T252" s="74"/>
      <ns0:c r="U252" s="74"/>
      <ns0:c r="V252" s="74"/>
      <ns0:c r="W252" s="76">
        <ns0:f t="shared" si="45"/>
        <ns0:v>1</ns0:v>
      </ns0:c>
      <ns0:c r="X252" s="74" t="str">
        <ns0:f t="shared" si="46"/>
        <ns0:v>A · Premium ativo</ns0:v>
      </ns0:c>
      <ns0:c r="Y252" s="74"/>
      <ns0:c r="Z252" s="74"/>
      <ns0:c r="AA252" s="74"/>
      <ns0:c r="AB252" s="74"/>
      <ns0:c r="AQ252" s="74" t="inlineStr">
        <ns0:is>
          <ns0:t>Faro</ns0:t>
        </ns0:is>
      </ns0:c>
      <ns0:c r="AR252" s="74" t="inlineStr">
        <ns0:is>
          <ns0:t>https://libertas.pt/portfolio/</ns0:t>
        </ns0:is>
      </ns0:c>
    </ns0:row>
    <ns0:row r="253">
      <ns0:c r="A253" s="71" t="s">
        <ns0:v>236</ns0:v>
      </ns0:c>
      <ns0:c r="B253" s="71" t="s">
        <ns0:v>262</ns0:v>
      </ns0:c>
      <ns0:c r="C253" s="71">
        <ns0:v>5</ns0:v>
      </ns0:c>
      <ns0:c r="D253" s="71" t="s">
        <ns0:v>31</ns0:v>
      </ns0:c>
      <ns0:c r="E253" s="74">
        <ns0:v>2</ns0:v>
      </ns0:c>
      <ns0:c r="F253" s="72">
        <ns0:v>87.11</ns0:v>
      </ns0:c>
      <ns0:c r="G253" s="72">
        <ns0:v>66.34</ns0:v>
      </ns0:c>
      <ns0:c r="H253" s="72">
        <ns0:v>159</ns0:v>
      </ns0:c>
      <ns0:c r="I253" s="73">
        <ns0:v>631000</ns0:v>
      </ns0:c>
      <ns0:c r="J253" s="71">
        <ns0:v>2026</ns0:v>
      </ns0:c>
      <ns0:c r="K253" s="73">
        <ns0:f t="shared" si="43"/>
        <ns0:v>7243.7148433015727</ns0:v>
      </ns0:c>
      <ns0:c r="L253" s="73">
        <ns0:f t="shared" si="44"/>
        <ns0:v>3968.5534591194969</ns0:v>
      </ns0:c>
      <ns0:c r="M253" s="74" t="str">
        <ns0:f t="shared" si="42"/>
        <ns0:v>Ativo</ns0:v>
      </ns0:c>
      <ns0:c r="N253" s="74"/>
      <ns0:c r="O253" s="74"/>
      <ns0:c r="P253" s="77"/>
      <ns0:c r="Q253" s="74" t="s">
        <ns0:v>238</ns0:v>
      </ns0:c>
      <ns0:c r="R253" s="74"/>
      <ns0:c r="S253" s="74"/>
      <ns0:c r="T253" s="74"/>
      <ns0:c r="U253" s="74"/>
      <ns0:c r="V253" s="74"/>
      <ns0:c r="W253" s="76">
        <ns0:f t="shared" si="45"/>
        <ns0:v>1</ns0:v>
      </ns0:c>
      <ns0:c r="X253" s="74" t="str">
        <ns0:f t="shared" si="46"/>
        <ns0:v>A · Premium ativo</ns0:v>
      </ns0:c>
      <ns0:c r="Y253" s="74"/>
      <ns0:c r="Z253" s="74"/>
      <ns0:c r="AA253" s="74"/>
      <ns0:c r="AB253" s="74"/>
      <ns0:c r="AQ253" s="74" t="inlineStr">
        <ns0:is>
          <ns0:t>Faro</ns0:t>
        </ns0:is>
      </ns0:c>
      <ns0:c r="AR253" s="74" t="inlineStr">
        <ns0:is>
          <ns0:t>https://libertas.pt/portfolio/</ns0:t>
        </ns0:is>
      </ns0:c>
    </ns0:row>
    <ns0:row r="254">
      <ns0:c r="A254" s="71" t="s">
        <ns0:v>236</ns0:v>
      </ns0:c>
      <ns0:c r="B254" s="71" t="s">
        <ns0:v>263</ns0:v>
      </ns0:c>
      <ns0:c r="C254" s="71">
        <ns0:v>5</ns0:v>
      </ns0:c>
      <ns0:c r="D254" s="71" t="s">
        <ns0:v>31</ns0:v>
      </ns0:c>
      <ns0:c r="E254" s="74">
        <ns0:v>2</ns0:v>
      </ns0:c>
      <ns0:c r="F254" s="72">
        <ns0:v>82.28</ns0:v>
      </ns0:c>
      <ns0:c r="G254" s="72">
        <ns0:v>31.75</ns0:v>
      </ns0:c>
      <ns0:c r="H254" s="72">
        <ns0:v>117.33</ns0:v>
      </ns0:c>
      <ns0:c r="I254" s="73">
        <ns0:v>488000</ns0:v>
      </ns0:c>
      <ns0:c r="J254" s="71">
        <ns0:v>2026</ns0:v>
      </ns0:c>
      <ns0:c r="K254" s="73">
        <ns0:f t="shared" si="43"/>
        <ns0:v>5930.9674282936312</ns0:v>
      </ns0:c>
      <ns0:c r="L254" s="73">
        <ns0:f t="shared" si="44"/>
        <ns0:v>4159.2090684394443</ns0:v>
      </ns0:c>
      <ns0:c r="M254" s="74" t="str">
        <ns0:f t="shared" si="42"/>
        <ns0:v>Ativo</ns0:v>
      </ns0:c>
      <ns0:c r="N254" s="74"/>
      <ns0:c r="O254" s="74"/>
      <ns0:c r="P254" s="77"/>
      <ns0:c r="Q254" s="74" t="s">
        <ns0:v>238</ns0:v>
      </ns0:c>
      <ns0:c r="R254" s="74"/>
      <ns0:c r="S254" s="74"/>
      <ns0:c r="T254" s="74"/>
      <ns0:c r="U254" s="74"/>
      <ns0:c r="V254" s="74"/>
      <ns0:c r="W254" s="76">
        <ns0:f t="shared" si="45"/>
        <ns0:v>1</ns0:v>
      </ns0:c>
      <ns0:c r="X254" s="74" t="str">
        <ns0:f t="shared" si="46"/>
        <ns0:v>A · Premium ativo</ns0:v>
      </ns0:c>
      <ns0:c r="Y254" s="74"/>
      <ns0:c r="Z254" s="74"/>
      <ns0:c r="AA254" s="74"/>
      <ns0:c r="AB254" s="74"/>
      <ns0:c r="AQ254" s="74" t="inlineStr">
        <ns0:is>
          <ns0:t>Faro</ns0:t>
        </ns0:is>
      </ns0:c>
      <ns0:c r="AR254" s="74" t="inlineStr">
        <ns0:is>
          <ns0:t>https://libertas.pt/portfolio/</ns0:t>
        </ns0:is>
      </ns0:c>
    </ns0:row>
    <ns0:row r="255">
      <ns0:c r="A255" s="71" t="s">
        <ns0:v>236</ns0:v>
      </ns0:c>
      <ns0:c r="B255" s="71" t="s">
        <ns0:v>264</ns0:v>
      </ns0:c>
      <ns0:c r="C255" s="71">
        <ns0:v>0</ns0:v>
      </ns0:c>
      <ns0:c r="D255" s="71" t="s">
        <ns0:v>64</ns0:v>
      </ns0:c>
      <ns0:c r="E255" s="74">
        <ns0:v>2</ns0:v>
      </ns0:c>
      <ns0:c r="F255" s="72">
        <ns0:v>125.2</ns0:v>
      </ns0:c>
      <ns0:c r="G255" s="72">
        <ns0:v>50.68</ns0:v>
      </ns0:c>
      <ns0:c r="H255" s="72">
        <ns0:v>179.68</ns0:v>
      </ns0:c>
      <ns0:c r="I255" s="73">
        <ns0:v>546000</ns0:v>
      </ns0:c>
      <ns0:c r="J255" s="71">
        <ns0:v>2026</ns0:v>
      </ns0:c>
      <ns0:c r="K255" s="73">
        <ns0:f t="shared" si="43"/>
        <ns0:v>4361.0223642172523</ns0:v>
      </ns0:c>
      <ns0:c r="L255" s="73">
        <ns0:f t="shared" si="44"/>
        <ns0:v>3038.7355298308103</ns0:v>
      </ns0:c>
      <ns0:c r="M255" s="74" t="str">
        <ns0:f t="shared" si="42"/>
        <ns0:v>Ativo</ns0:v>
      </ns0:c>
      <ns0:c r="N255" s="74"/>
      <ns0:c r="O255" s="74"/>
      <ns0:c r="P255" s="77"/>
      <ns0:c r="Q255" s="74" t="s">
        <ns0:v>238</ns0:v>
      </ns0:c>
      <ns0:c r="R255" s="74"/>
      <ns0:c r="S255" s="74"/>
      <ns0:c r="T255" s="74"/>
      <ns0:c r="U255" s="74"/>
      <ns0:c r="V255" s="74"/>
      <ns0:c r="W255" s="76">
        <ns0:f t="shared" si="45"/>
        <ns0:v>1</ns0:v>
      </ns0:c>
      <ns0:c r="X255" s="74" t="str">
        <ns0:f t="shared" si="46"/>
        <ns0:v>A · Premium ativo</ns0:v>
      </ns0:c>
      <ns0:c r="Y255" s="74"/>
      <ns0:c r="Z255" s="74"/>
      <ns0:c r="AA255" s="74"/>
      <ns0:c r="AB255" s="74"/>
      <ns0:c r="AQ255" s="74" t="inlineStr">
        <ns0:is>
          <ns0:t>Faro</ns0:t>
        </ns0:is>
      </ns0:c>
      <ns0:c r="AR255" s="74" t="inlineStr">
        <ns0:is>
          <ns0:t>https://libertas.pt/portfolio/</ns0:t>
        </ns0:is>
      </ns0:c>
    </ns0:row>
    <ns0:row r="256">
      <ns0:c r="A256" s="71" t="s">
        <ns0:v>236</ns0:v>
      </ns0:c>
      <ns0:c r="B256" s="71" t="s">
        <ns0:v>265</ns0:v>
      </ns0:c>
      <ns0:c r="C256" s="71">
        <ns0:v>0</ns0:v>
      </ns0:c>
      <ns0:c r="D256" s="71" t="s">
        <ns0:v>42</ns0:v>
      </ns0:c>
      <ns0:c r="E256" s="74">
        <ns0:v>2</ns0:v>
      </ns0:c>
      <ns0:c r="F256" s="72">
        <ns0:v>69.72</ns0:v>
      </ns0:c>
      <ns0:c r="G256" s="72">
        <ns0:v>42.37</ns0:v>
      </ns0:c>
      <ns0:c r="H256" s="72">
        <ns0:v>114.86</ns0:v>
      </ns0:c>
      <ns0:c r="I256" s="73">
        <ns0:v>341000</ns0:v>
      </ns0:c>
      <ns0:c r="J256" s="71">
        <ns0:v>2026</ns0:v>
      </ns0:c>
      <ns0:c r="K256" s="73">
        <ns0:f t="shared" si="43"/>
        <ns0:v>4890.992541594951</ns0:v>
      </ns0:c>
      <ns0:c r="L256" s="73">
        <ns0:f t="shared" si="44"/>
        <ns0:v>2968.8316211039528</ns0:v>
      </ns0:c>
      <ns0:c r="M256" s="74" t="str">
        <ns0:f t="shared" si="42"/>
        <ns0:v>Ativo</ns0:v>
      </ns0:c>
      <ns0:c r="N256" s="74"/>
      <ns0:c r="O256" s="74"/>
      <ns0:c r="P256" s="77"/>
      <ns0:c r="Q256" s="74" t="s">
        <ns0:v>238</ns0:v>
      </ns0:c>
      <ns0:c r="R256" s="74"/>
      <ns0:c r="S256" s="74"/>
      <ns0:c r="T256" s="74"/>
      <ns0:c r="U256" s="74"/>
      <ns0:c r="V256" s="74"/>
      <ns0:c r="W256" s="76">
        <ns0:f t="shared" si="45"/>
        <ns0:v>1</ns0:v>
      </ns0:c>
      <ns0:c r="X256" s="74" t="str">
        <ns0:f t="shared" si="46"/>
        <ns0:v>A · Premium ativo</ns0:v>
      </ns0:c>
      <ns0:c r="Y256" s="74"/>
      <ns0:c r="Z256" s="74"/>
      <ns0:c r="AA256" s="74"/>
      <ns0:c r="AB256" s="74"/>
      <ns0:c r="AQ256" s="74" t="inlineStr">
        <ns0:is>
          <ns0:t>Faro</ns0:t>
        </ns0:is>
      </ns0:c>
      <ns0:c r="AR256" s="74" t="inlineStr">
        <ns0:is>
          <ns0:t>https://libertas.pt/portfolio/</ns0:t>
        </ns0:is>
      </ns0:c>
    </ns0:row>
    <ns0:row r="257">
      <ns0:c r="A257" s="71" t="s">
        <ns0:v>236</ns0:v>
      </ns0:c>
      <ns0:c r="B257" s="71" t="s">
        <ns0:v>266</ns0:v>
      </ns0:c>
      <ns0:c r="C257" s="71">
        <ns0:v>1</ns0:v>
      </ns0:c>
      <ns0:c r="D257" s="71" t="s">
        <ns0:v>64</ns0:v>
      </ns0:c>
      <ns0:c r="E257" s="74">
        <ns0:v>2</ns0:v>
      </ns0:c>
      <ns0:c r="F257" s="72">
        <ns0:v>125.2</ns0:v>
      </ns0:c>
      <ns0:c r="G257" s="72">
        <ns0:v>36.85</ns0:v>
      </ns0:c>
      <ns0:c r="H257" s="72">
        <ns0:v>170.75</ns0:v>
      </ns0:c>
      <ns0:c r="I257" s="73">
        <ns0:v>573000</ns0:v>
      </ns0:c>
      <ns0:c r="J257" s="71">
        <ns0:v>2026</ns0:v>
      </ns0:c>
      <ns0:c r="K257" s="73">
        <ns0:f t="shared" si="43"/>
        <ns0:v>4576.6773162939298</ns0:v>
      </ns0:c>
      <ns0:c r="L257" s="73">
        <ns0:f t="shared" si="44"/>
        <ns0:v>3355.7833089311857</ns0:v>
      </ns0:c>
      <ns0:c r="M257" s="74" t="str">
        <ns0:f t="shared" si="42"/>
        <ns0:v>Ativo</ns0:v>
      </ns0:c>
      <ns0:c r="N257" s="74"/>
      <ns0:c r="O257" s="74"/>
      <ns0:c r="P257" s="77"/>
      <ns0:c r="Q257" s="74" t="s">
        <ns0:v>238</ns0:v>
      </ns0:c>
      <ns0:c r="R257" s="74"/>
      <ns0:c r="S257" s="74"/>
      <ns0:c r="T257" s="74"/>
      <ns0:c r="U257" s="74"/>
      <ns0:c r="V257" s="74"/>
      <ns0:c r="W257" s="76">
        <ns0:f t="shared" si="45"/>
        <ns0:v>1</ns0:v>
      </ns0:c>
      <ns0:c r="X257" s="74" t="str">
        <ns0:f t="shared" si="46"/>
        <ns0:v>A · Premium ativo</ns0:v>
      </ns0:c>
      <ns0:c r="Y257" s="74"/>
      <ns0:c r="Z257" s="74"/>
      <ns0:c r="AA257" s="74"/>
      <ns0:c r="AB257" s="74"/>
      <ns0:c r="AQ257" s="74" t="inlineStr">
        <ns0:is>
          <ns0:t>Faro</ns0:t>
        </ns0:is>
      </ns0:c>
      <ns0:c r="AR257" s="74" t="inlineStr">
        <ns0:is>
          <ns0:t>https://libertas.pt/portfolio/</ns0:t>
        </ns0:is>
      </ns0:c>
    </ns0:row>
    <ns0:row r="258">
      <ns0:c r="A258" s="71" t="s">
        <ns0:v>236</ns0:v>
      </ns0:c>
      <ns0:c r="B258" s="71" t="s">
        <ns0:v>267</ns0:v>
      </ns0:c>
      <ns0:c r="C258" s="71">
        <ns0:v>1</ns0:v>
      </ns0:c>
      <ns0:c r="D258" s="71" t="s">
        <ns0:v>31</ns0:v>
      </ns0:c>
      <ns0:c r="E258" s="74">
        <ns0:v>2</ns0:v>
      </ns0:c>
      <ns0:c r="F258" s="72">
        <ns0:v>86.2</ns0:v>
      </ns0:c>
      <ns0:c r="G258" s="72">
        <ns0:v>24.33</ns0:v>
      </ns0:c>
      <ns0:c r="H258" s="72">
        <ns0:v>113.23</ns0:v>
      </ns0:c>
      <ns0:c r="I258" s="73">
        <ns0:v>450000</ns0:v>
      </ns0:c>
      <ns0:c r="J258" s="71">
        <ns0:v>2026</ns0:v>
      </ns0:c>
      <ns0:c r="K258" s="73">
        <ns0:f t="shared" si="43"/>
        <ns0:v>5220.4176334106724</ns0:v>
      </ns0:c>
      <ns0:c r="L258" s="73">
        <ns0:f t="shared" si="44"/>
        <ns0:v>3974.211781330036</ns0:v>
      </ns0:c>
      <ns0:c r="M258" s="74" t="str">
        <ns0:f t="shared" si="42"/>
        <ns0:v>Ativo</ns0:v>
      </ns0:c>
      <ns0:c r="N258" s="74"/>
      <ns0:c r="O258" s="74"/>
      <ns0:c r="P258" s="77"/>
      <ns0:c r="Q258" s="74" t="s">
        <ns0:v>238</ns0:v>
      </ns0:c>
      <ns0:c r="R258" s="74"/>
      <ns0:c r="S258" s="74"/>
      <ns0:c r="T258" s="74"/>
      <ns0:c r="U258" s="74"/>
      <ns0:c r="V258" s="74"/>
      <ns0:c r="W258" s="76">
        <ns0:f t="shared" si="45"/>
        <ns0:v>1</ns0:v>
      </ns0:c>
      <ns0:c r="X258" s="74" t="str">
        <ns0:f t="shared" si="46"/>
        <ns0:v>A · Premium ativo</ns0:v>
      </ns0:c>
      <ns0:c r="Y258" s="74"/>
      <ns0:c r="Z258" s="74"/>
      <ns0:c r="AA258" s="74"/>
      <ns0:c r="AB258" s="74"/>
      <ns0:c r="AQ258" s="74" t="inlineStr">
        <ns0:is>
          <ns0:t>Faro</ns0:t>
        </ns0:is>
      </ns0:c>
      <ns0:c r="AR258" s="74" t="inlineStr">
        <ns0:is>
          <ns0:t>https://libertas.pt/portfolio/</ns0:t>
        </ns0:is>
      </ns0:c>
    </ns0:row>
    <ns0:row r="259">
      <ns0:c r="A259" s="71" t="s">
        <ns0:v>236</ns0:v>
      </ns0:c>
      <ns0:c r="B259" s="71" t="s">
        <ns0:v>268</ns0:v>
      </ns0:c>
      <ns0:c r="C259" s="71">
        <ns0:v>2</ns0:v>
      </ns0:c>
      <ns0:c r="D259" s="71" t="s">
        <ns0:v>64</ns0:v>
      </ns0:c>
      <ns0:c r="E259" s="74">
        <ns0:v>2</ns0:v>
      </ns0:c>
      <ns0:c r="F259" s="72">
        <ns0:v>125.2</ns0:v>
      </ns0:c>
      <ns0:c r="G259" s="72">
        <ns0:v>37.46</ns0:v>
      </ns0:c>
      <ns0:c r="H259" s="72">
        <ns0:v>168.28</ns0:v>
      </ns0:c>
      <ns0:c r="I259" s="73">
        <ns0:v>589000</ns0:v>
      </ns0:c>
      <ns0:c r="J259" s="71">
        <ns0:v>2026</ns0:v>
      </ns0:c>
      <ns0:c r="K259" s="73">
        <ns0:f t="shared" si="43"/>
        <ns0:v>4704.4728434504796</ns0:v>
      </ns0:c>
      <ns0:c r="L259" s="73">
        <ns0:f t="shared" si="44"/>
        <ns0:v>3500.1188495364868</ns0:v>
      </ns0:c>
      <ns0:c r="M259" s="74" t="str">
        <ns0:f t="shared" si="42"/>
        <ns0:v>Ativo</ns0:v>
      </ns0:c>
      <ns0:c r="N259" s="74"/>
      <ns0:c r="O259" s="74"/>
      <ns0:c r="P259" s="77"/>
      <ns0:c r="Q259" s="74" t="s">
        <ns0:v>238</ns0:v>
      </ns0:c>
      <ns0:c r="R259" s="74"/>
      <ns0:c r="S259" s="74"/>
      <ns0:c r="T259" s="74"/>
      <ns0:c r="U259" s="74"/>
      <ns0:c r="V259" s="74"/>
      <ns0:c r="W259" s="76">
        <ns0:f t="shared" si="45"/>
        <ns0:v>1</ns0:v>
      </ns0:c>
      <ns0:c r="X259" s="74" t="str">
        <ns0:f t="shared" si="46"/>
        <ns0:v>A · Premium ativo</ns0:v>
      </ns0:c>
      <ns0:c r="Y259" s="74"/>
      <ns0:c r="Z259" s="74"/>
      <ns0:c r="AA259" s="74"/>
      <ns0:c r="AB259" s="74"/>
      <ns0:c r="AQ259" s="74" t="inlineStr">
        <ns0:is>
          <ns0:t>Faro</ns0:t>
        </ns0:is>
      </ns0:c>
      <ns0:c r="AR259" s="74" t="inlineStr">
        <ns0:is>
          <ns0:t>https://libertas.pt/portfolio/</ns0:t>
        </ns0:is>
      </ns0:c>
    </ns0:row>
    <ns0:row r="260">
      <ns0:c r="A260" s="71" t="s">
        <ns0:v>236</ns0:v>
      </ns0:c>
      <ns0:c r="B260" s="71" t="s">
        <ns0:v>269</ns0:v>
      </ns0:c>
      <ns0:c r="C260" s="71">
        <ns0:v>2</ns0:v>
      </ns0:c>
      <ns0:c r="D260" s="71" t="s">
        <ns0:v>31</ns0:v>
      </ns0:c>
      <ns0:c r="E260" s="74">
        <ns0:v>2</ns0:v>
      </ns0:c>
      <ns0:c r="F260" s="72">
        <ns0:v>86.2</ns0:v>
      </ns0:c>
      <ns0:c r="G260" s="72">
        <ns0:v>23.77</ns0:v>
      </ns0:c>
      <ns0:c r="H260" s="72">
        <ns0:v>112.67</ns0:v>
      </ns0:c>
      <ns0:c r="I260" s="73">
        <ns0:v>464000</ns0:v>
      </ns0:c>
      <ns0:c r="J260" s="71">
        <ns0:v>2026</ns0:v>
      </ns0:c>
      <ns0:c r="K260" s="73">
        <ns0:f t="shared" si="43"/>
        <ns0:v>5382.8306264501161</ns0:v>
      </ns0:c>
      <ns0:c r="L260" s="73">
        <ns0:f t="shared" si="44"/>
        <ns0:v>4118.2213543977987</ns0:v>
      </ns0:c>
      <ns0:c r="M260" s="74" t="str">
        <ns0:f t="shared" si="42"/>
        <ns0:v>Ativo</ns0:v>
      </ns0:c>
      <ns0:c r="N260" s="74"/>
      <ns0:c r="O260" s="74"/>
      <ns0:c r="P260" s="77"/>
      <ns0:c r="Q260" s="74" t="s">
        <ns0:v>238</ns0:v>
      </ns0:c>
      <ns0:c r="R260" s="74"/>
      <ns0:c r="S260" s="74"/>
      <ns0:c r="T260" s="74"/>
      <ns0:c r="U260" s="74"/>
      <ns0:c r="V260" s="74"/>
      <ns0:c r="W260" s="76">
        <ns0:f t="shared" si="45"/>
        <ns0:v>1</ns0:v>
      </ns0:c>
      <ns0:c r="X260" s="74" t="str">
        <ns0:f t="shared" si="46"/>
        <ns0:v>A · Premium ativo</ns0:v>
      </ns0:c>
      <ns0:c r="Y260" s="74"/>
      <ns0:c r="Z260" s="74"/>
      <ns0:c r="AA260" s="74"/>
      <ns0:c r="AB260" s="74"/>
      <ns0:c r="AQ260" s="74" t="inlineStr">
        <ns0:is>
          <ns0:t>Faro</ns0:t>
        </ns0:is>
      </ns0:c>
      <ns0:c r="AR260" s="74" t="inlineStr">
        <ns0:is>
          <ns0:t>https://libertas.pt/portfolio/</ns0:t>
        </ns0:is>
      </ns0:c>
    </ns0:row>
    <ns0:row r="261">
      <ns0:c r="A261" s="71" t="s">
        <ns0:v>236</ns0:v>
      </ns0:c>
      <ns0:c r="B261" s="71" t="s">
        <ns0:v>270</ns0:v>
      </ns0:c>
      <ns0:c r="C261" s="71">
        <ns0:v>3</ns0:v>
      </ns0:c>
      <ns0:c r="D261" s="71" t="s">
        <ns0:v>64</ns0:v>
      </ns0:c>
      <ns0:c r="E261" s="74">
        <ns0:v>2</ns0:v>
      </ns0:c>
      <ns0:c r="F261" s="72">
        <ns0:v>125.2</ns0:v>
      </ns0:c>
      <ns0:c r="G261" s="72">
        <ns0:v>36.85</ns0:v>
      </ns0:c>
      <ns0:c r="H261" s="72">
        <ns0:v>176.85</ns0:v>
      </ns0:c>
      <ns0:c r="I261" s="73">
        <ns0:v>605000</ns0:v>
      </ns0:c>
      <ns0:c r="J261" s="71">
        <ns0:v>2026</ns0:v>
      </ns0:c>
      <ns0:c r="K261" s="73">
        <ns0:f t="shared" si="43"/>
        <ns0:v>4832.2683706070284</ns0:v>
      </ns0:c>
      <ns0:c r="L261" s="73">
        <ns0:f t="shared" si="44"/>
        <ns0:v>3420.9782301385358</ns0:v>
      </ns0:c>
      <ns0:c r="M261" s="74" t="str">
        <ns0:f t="shared" si="42"/>
        <ns0:v>Ativo</ns0:v>
      </ns0:c>
      <ns0:c r="N261" s="74"/>
      <ns0:c r="O261" s="74"/>
      <ns0:c r="P261" s="77"/>
      <ns0:c r="Q261" s="74" t="s">
        <ns0:v>238</ns0:v>
      </ns0:c>
      <ns0:c r="R261" s="74"/>
      <ns0:c r="S261" s="74"/>
      <ns0:c r="T261" s="74"/>
      <ns0:c r="U261" s="74"/>
      <ns0:c r="V261" s="74"/>
      <ns0:c r="W261" s="76">
        <ns0:f t="shared" si="45"/>
        <ns0:v>1</ns0:v>
      </ns0:c>
      <ns0:c r="X261" s="74" t="str">
        <ns0:f t="shared" si="46"/>
        <ns0:v>A · Premium ativo</ns0:v>
      </ns0:c>
      <ns0:c r="Y261" s="74"/>
      <ns0:c r="Z261" s="74"/>
      <ns0:c r="AA261" s="74"/>
      <ns0:c r="AB261" s="74"/>
      <ns0:c r="AQ261" s="74" t="inlineStr">
        <ns0:is>
          <ns0:t>Faro</ns0:t>
        </ns0:is>
      </ns0:c>
      <ns0:c r="AR261" s="74" t="inlineStr">
        <ns0:is>
          <ns0:t>https://libertas.pt/portfolio/</ns0:t>
        </ns0:is>
      </ns0:c>
    </ns0:row>
    <ns0:row r="262">
      <ns0:c r="A262" s="71" t="s">
        <ns0:v>236</ns0:v>
      </ns0:c>
      <ns0:c r="B262" s="71" t="s">
        <ns0:v>271</ns0:v>
      </ns0:c>
      <ns0:c r="C262" s="71">
        <ns0:v>3</ns0:v>
      </ns0:c>
      <ns0:c r="D262" s="71" t="s">
        <ns0:v>31</ns0:v>
      </ns0:c>
      <ns0:c r="E262" s="74">
        <ns0:v>2</ns0:v>
      </ns0:c>
      <ns0:c r="F262" s="72">
        <ns0:v>86.2</ns0:v>
      </ns0:c>
      <ns0:c r="G262" s="72">
        <ns0:v>24.33</ns0:v>
      </ns0:c>
      <ns0:c r="H262" s="72">
        <ns0:v>113.63</ns0:v>
      </ns0:c>
      <ns0:c r="I262" s="73">
        <ns0:v>475000</ns0:v>
      </ns0:c>
      <ns0:c r="J262" s="71">
        <ns0:v>2026</ns0:v>
      </ns0:c>
      <ns0:c r="K262" s="73">
        <ns0:f t="shared" si="43"/>
        <ns0:v>5510.4408352668215</ns0:v>
      </ns0:c>
      <ns0:c r="L262" s="73">
        <ns0:f t="shared" si="44"/>
        <ns0:v>4180.234093109214</ns0:v>
      </ns0:c>
      <ns0:c r="M262" s="74" t="str">
        <ns0:f t="shared" si="42"/>
        <ns0:v>Ativo</ns0:v>
      </ns0:c>
      <ns0:c r="N262" s="74"/>
      <ns0:c r="O262" s="74"/>
      <ns0:c r="P262" s="77"/>
      <ns0:c r="Q262" s="74" t="s">
        <ns0:v>238</ns0:v>
      </ns0:c>
      <ns0:c r="R262" s="74"/>
      <ns0:c r="S262" s="74"/>
      <ns0:c r="T262" s="74"/>
      <ns0:c r="U262" s="74"/>
      <ns0:c r="V262" s="74"/>
      <ns0:c r="W262" s="76">
        <ns0:f t="shared" si="45"/>
        <ns0:v>1</ns0:v>
      </ns0:c>
      <ns0:c r="X262" s="74" t="str">
        <ns0:f t="shared" si="46"/>
        <ns0:v>A · Premium ativo</ns0:v>
      </ns0:c>
      <ns0:c r="Y262" s="74"/>
      <ns0:c r="Z262" s="74"/>
      <ns0:c r="AA262" s="74"/>
      <ns0:c r="AB262" s="74"/>
      <ns0:c r="AQ262" s="74" t="inlineStr">
        <ns0:is>
          <ns0:t>Faro</ns0:t>
        </ns0:is>
      </ns0:c>
      <ns0:c r="AR262" s="74" t="inlineStr">
        <ns0:is>
          <ns0:t>https://libertas.pt/portfolio/</ns0:t>
        </ns0:is>
      </ns0:c>
    </ns0:row>
    <ns0:row r="263">
      <ns0:c r="A263" s="71" t="s">
        <ns0:v>236</ns0:v>
      </ns0:c>
      <ns0:c r="B263" s="71" t="s">
        <ns0:v>272</ns0:v>
      </ns0:c>
      <ns0:c r="C263" s="71">
        <ns0:v>4</ns0:v>
      </ns0:c>
      <ns0:c r="D263" s="71" t="s">
        <ns0:v>64</ns0:v>
      </ns0:c>
      <ns0:c r="E263" s="74">
        <ns0:v>2</ns0:v>
      </ns0:c>
      <ns0:c r="F263" s="72">
        <ns0:v>125.2</ns0:v>
      </ns0:c>
      <ns0:c r="G263" s="72">
        <ns0:v>37.46</ns0:v>
      </ns0:c>
      <ns0:c r="H263" s="72">
        <ns0:v>168.46</ns0:v>
      </ns0:c>
      <ns0:c r="I263" s="73">
        <ns0:v>621000</ns0:v>
      </ns0:c>
      <ns0:c r="J263" s="71">
        <ns0:v>2026</ns0:v>
      </ns0:c>
      <ns0:c r="K263" s="73">
        <ns0:f t="shared" si="43"/>
        <ns0:v>4960.0638977635781</ns0:v>
      </ns0:c>
      <ns0:c r="L263" s="73">
        <ns0:f t="shared" si="44"/>
        <ns0:v>3686.3350350231508</ns0:v>
      </ns0:c>
      <ns0:c r="M263" s="74" t="str">
        <ns0:f t="shared" si="42"/>
        <ns0:v>Ativo</ns0:v>
      </ns0:c>
      <ns0:c r="N263" s="74"/>
      <ns0:c r="O263" s="74"/>
      <ns0:c r="P263" s="77"/>
      <ns0:c r="Q263" s="74" t="s">
        <ns0:v>238</ns0:v>
      </ns0:c>
      <ns0:c r="R263" s="74"/>
      <ns0:c r="S263" s="74"/>
      <ns0:c r="T263" s="74"/>
      <ns0:c r="U263" s="74"/>
      <ns0:c r="V263" s="74"/>
      <ns0:c r="W263" s="76">
        <ns0:f t="shared" si="45"/>
        <ns0:v>1</ns0:v>
      </ns0:c>
      <ns0:c r="X263" s="74" t="str">
        <ns0:f t="shared" si="46"/>
        <ns0:v>A · Premium ativo</ns0:v>
      </ns0:c>
      <ns0:c r="Y263" s="74"/>
      <ns0:c r="Z263" s="74"/>
      <ns0:c r="AA263" s="74"/>
      <ns0:c r="AB263" s="74"/>
      <ns0:c r="AQ263" s="74" t="inlineStr">
        <ns0:is>
          <ns0:t>Faro</ns0:t>
        </ns0:is>
      </ns0:c>
      <ns0:c r="AR263" s="74" t="inlineStr">
        <ns0:is>
          <ns0:t>https://libertas.pt/portfolio/</ns0:t>
        </ns0:is>
      </ns0:c>
    </ns0:row>
    <ns0:row r="264">
      <ns0:c r="A264" s="71" t="s">
        <ns0:v>236</ns0:v>
      </ns0:c>
      <ns0:c r="B264" s="71" t="s">
        <ns0:v>273</ns0:v>
      </ns0:c>
      <ns0:c r="C264" s="71">
        <ns0:v>4</ns0:v>
      </ns0:c>
      <ns0:c r="D264" s="71" t="s">
        <ns0:v>31</ns0:v>
      </ns0:c>
      <ns0:c r="E264" s="74">
        <ns0:v>2</ns0:v>
      </ns0:c>
      <ns0:c r="F264" s="72">
        <ns0:v>86.2</ns0:v>
      </ns0:c>
      <ns0:c r="G264" s="72">
        <ns0:v>23.77</ns0:v>
      </ns0:c>
      <ns0:c r="H264" s="72">
        <ns0:v>112.97</ns0:v>
      </ns0:c>
      <ns0:c r="I264" s="73">
        <ns0:v>488000</ns0:v>
      </ns0:c>
      <ns0:c r="J264" s="71">
        <ns0:v>2026</ns0:v>
      </ns0:c>
      <ns0:c r="K264" s="73">
        <ns0:f t="shared" si="43"/>
        <ns0:v>5661.252900232018</ns0:v>
      </ns0:c>
      <ns0:c r="L264" s="73">
        <ns0:f t="shared" si="44"/>
        <ns0:v>4319.7309020093835</ns0:v>
      </ns0:c>
      <ns0:c r="M264" s="74" t="str">
        <ns0:f t="shared" si="42"/>
        <ns0:v>Ativo</ns0:v>
      </ns0:c>
      <ns0:c r="N264" s="74"/>
      <ns0:c r="O264" s="74"/>
      <ns0:c r="P264" s="77"/>
      <ns0:c r="Q264" s="74" t="s">
        <ns0:v>238</ns0:v>
      </ns0:c>
      <ns0:c r="R264" s="74"/>
      <ns0:c r="S264" s="74"/>
      <ns0:c r="T264" s="74"/>
      <ns0:c r="U264" s="74"/>
      <ns0:c r="V264" s="74"/>
      <ns0:c r="W264" s="76">
        <ns0:f t="shared" si="45"/>
        <ns0:v>1</ns0:v>
      </ns0:c>
      <ns0:c r="X264" s="74" t="str">
        <ns0:f t="shared" si="46"/>
        <ns0:v>A · Premium ativo</ns0:v>
      </ns0:c>
      <ns0:c r="Y264" s="74"/>
      <ns0:c r="Z264" s="74"/>
      <ns0:c r="AA264" s="74"/>
      <ns0:c r="AB264" s="74"/>
      <ns0:c r="AQ264" s="74" t="inlineStr">
        <ns0:is>
          <ns0:t>Faro</ns0:t>
        </ns0:is>
      </ns0:c>
      <ns0:c r="AR264" s="74" t="inlineStr">
        <ns0:is>
          <ns0:t>https://libertas.pt/portfolio/</ns0:t>
        </ns0:is>
      </ns0:c>
    </ns0:row>
    <ns0:row r="265">
      <ns0:c r="A265" s="71" t="s">
        <ns0:v>236</ns0:v>
      </ns0:c>
      <ns0:c r="B265" s="71" t="s">
        <ns0:v>274</ns0:v>
      </ns0:c>
      <ns0:c r="C265" s="71">
        <ns0:v>5</ns0:v>
      </ns0:c>
      <ns0:c r="D265" s="71" t="s">
        <ns0:v>64</ns0:v>
      </ns0:c>
      <ns0:c r="E265" s="74">
        <ns0:v>2</ns0:v>
      </ns0:c>
      <ns0:c r="F265" s="72">
        <ns0:v>125.2</ns0:v>
      </ns0:c>
      <ns0:c r="G265" s="72">
        <ns0:v>184.35999999999999</ns0:v>
      </ns0:c>
      <ns0:c r="H265" s="72">
        <ns0:v>358.88</ns0:v>
      </ns0:c>
      <ns0:c r="I265" s="73">
        <ns0:v>844000</ns0:v>
      </ns0:c>
      <ns0:c r="J265" s="71">
        <ns0:v>2026</ns0:v>
      </ns0:c>
      <ns0:c r="K265" s="73">
        <ns0:f t="shared" si="43"/>
        <ns0:v>6741.2140575079875</ns0:v>
      </ns0:c>
      <ns0:c r="L265" s="73">
        <ns0:f t="shared" si="44"/>
        <ns0:v>2351.7610343290235</ns0:v>
      </ns0:c>
      <ns0:c r="M265" s="74" t="str">
        <ns0:f t="shared" si="42"/>
        <ns0:v>Ativo</ns0:v>
      </ns0:c>
      <ns0:c r="N265" s="74"/>
      <ns0:c r="O265" s="74"/>
      <ns0:c r="P265" s="77"/>
      <ns0:c r="Q265" s="74" t="s">
        <ns0:v>238</ns0:v>
      </ns0:c>
      <ns0:c r="R265" s="74"/>
      <ns0:c r="S265" s="74"/>
      <ns0:c r="T265" s="74"/>
      <ns0:c r="U265" s="74"/>
      <ns0:c r="V265" s="74"/>
      <ns0:c r="W265" s="76">
        <ns0:f t="shared" si="45"/>
        <ns0:v>1</ns0:v>
      </ns0:c>
      <ns0:c r="X265" s="74" t="str">
        <ns0:f t="shared" si="46"/>
        <ns0:v>A · Premium ativo</ns0:v>
      </ns0:c>
      <ns0:c r="Y265" s="74"/>
      <ns0:c r="Z265" s="74"/>
      <ns0:c r="AA265" s="74"/>
      <ns0:c r="AB265" s="74"/>
      <ns0:c r="AQ265" s="74" t="inlineStr">
        <ns0:is>
          <ns0:t>Faro</ns0:t>
        </ns0:is>
      </ns0:c>
      <ns0:c r="AR265" s="74" t="inlineStr">
        <ns0:is>
          <ns0:t>https://libertas.pt/portfolio/</ns0:t>
        </ns0:is>
      </ns0:c>
    </ns0:row>
    <ns0:row r="266">
      <ns0:c r="A266" s="71" t="s">
        <ns0:v>236</ns0:v>
      </ns0:c>
      <ns0:c r="B266" s="71" t="s">
        <ns0:v>275</ns0:v>
      </ns0:c>
      <ns0:c r="C266" s="71">
        <ns0:v>5</ns0:v>
      </ns0:c>
      <ns0:c r="D266" s="71" t="s">
        <ns0:v>31</ns0:v>
      </ns0:c>
      <ns0:c r="E266" s="74">
        <ns0:v>2</ns0:v>
      </ns0:c>
      <ns0:c r="F266" s="72">
        <ns0:v>86.2</ns0:v>
      </ns0:c>
      <ns0:c r="G266" s="72">
        <ns0:v>88.34</ns0:v>
      </ns0:c>
      <ns0:c r="H266" s="72">
        <ns0:v>179.13</ns0:v>
      </ns0:c>
      <ns0:c r="I266" s="73">
        <ns0:v>658000</ns0:v>
      </ns0:c>
      <ns0:c r="J266" s="71">
        <ns0:v>2026</ns0:v>
      </ns0:c>
      <ns0:c r="K266" s="73">
        <ns0:f t="shared" si="43"/>
        <ns0:v>7633.4106728538281</ns0:v>
      </ns0:c>
      <ns0:c r="L266" s="73">
        <ns0:f t="shared" si="44"/>
        <ns0:v>3673.3098866744822</ns0:v>
      </ns0:c>
      <ns0:c r="M266" s="74" t="str">
        <ns0:f t="shared" si="42"/>
        <ns0:v>Ativo</ns0:v>
      </ns0:c>
      <ns0:c r="N266" s="74"/>
      <ns0:c r="O266" s="74"/>
      <ns0:c r="P266" s="77"/>
      <ns0:c r="Q266" s="74" t="s">
        <ns0:v>238</ns0:v>
      </ns0:c>
      <ns0:c r="R266" s="74"/>
      <ns0:c r="S266" s="74"/>
      <ns0:c r="T266" s="74"/>
      <ns0:c r="U266" s="74"/>
      <ns0:c r="V266" s="74"/>
      <ns0:c r="W266" s="76">
        <ns0:f t="shared" si="45"/>
        <ns0:v>1</ns0:v>
      </ns0:c>
      <ns0:c r="X266" s="74" t="str">
        <ns0:f t="shared" si="46"/>
        <ns0:v>A · Premium ativo</ns0:v>
      </ns0:c>
      <ns0:c r="Y266" s="74"/>
      <ns0:c r="Z266" s="74"/>
      <ns0:c r="AA266" s="74"/>
      <ns0:c r="AB266" s="74"/>
      <ns0:c r="AQ266" s="74" t="inlineStr">
        <ns0:is>
          <ns0:t>Faro</ns0:t>
        </ns0:is>
      </ns0:c>
      <ns0:c r="AR266" s="74" t="inlineStr">
        <ns0:is>
          <ns0:t>https://libertas.pt/portfolio/</ns0:t>
        </ns0:is>
      </ns0:c>
    </ns0:row>
    <ns0:row r="267">
      <ns0:c r="A267" s="71" t="s">
        <ns0:v>236</ns0:v>
      </ns0:c>
      <ns0:c r="B267" s="71" t="s">
        <ns0:v>276</ns0:v>
      </ns0:c>
      <ns0:c r="C267" s="71">
        <ns0:v>0</ns0:v>
      </ns0:c>
      <ns0:c r="D267" s="71" t="s">
        <ns0:v>252</ns0:v>
      </ns0:c>
      <ns0:c r="E267" s="74">
        <ns0:v>2</ns0:v>
      </ns0:c>
      <ns0:c r="F267" s="72">
        <ns0:v>132.11000000000001</ns0:v>
      </ns0:c>
      <ns0:c r="G267" s="72">
        <ns0:v>72.98</ns0:v>
      </ns0:c>
      <ns0:c r="H267" s="72">
        <ns0:v>207.59</ns0:v>
      </ns0:c>
      <ns0:c r="I267" s="73">
        <ns0:v>647000</ns0:v>
      </ns0:c>
      <ns0:c r="J267" s="71">
        <ns0:v>2026</ns0:v>
      </ns0:c>
      <ns0:c r="K267" s="73">
        <ns0:f t="shared" si="43"/>
        <ns0:v>4897.4339565513583</ns0:v>
      </ns0:c>
      <ns0:c r="L267" s="73">
        <ns0:f t="shared" si="44"/>
        <ns0:v>3116.7204585962713</ns0:v>
      </ns0:c>
      <ns0:c r="M267" s="74" t="str">
        <ns0:f t="shared" si="42"/>
        <ns0:v>Ativo</ns0:v>
      </ns0:c>
      <ns0:c r="N267" s="74"/>
      <ns0:c r="O267" s="74"/>
      <ns0:c r="P267" s="77"/>
      <ns0:c r="Q267" s="74" t="s">
        <ns0:v>238</ns0:v>
      </ns0:c>
      <ns0:c r="R267" s="74"/>
      <ns0:c r="S267" s="74"/>
      <ns0:c r="T267" s="74"/>
      <ns0:c r="U267" s="74"/>
      <ns0:c r="V267" s="74"/>
      <ns0:c r="W267" s="76">
        <ns0:f t="shared" si="45"/>
        <ns0:v>1</ns0:v>
      </ns0:c>
      <ns0:c r="X267" s="74" t="str">
        <ns0:f t="shared" si="46"/>
        <ns0:v>A · Premium ativo</ns0:v>
      </ns0:c>
      <ns0:c r="Y267" s="74"/>
      <ns0:c r="Z267" s="74"/>
      <ns0:c r="AA267" s="74"/>
      <ns0:c r="AB267" s="74"/>
      <ns0:c r="AQ267" s="74" t="inlineStr">
        <ns0:is>
          <ns0:t>Faro</ns0:t>
        </ns0:is>
      </ns0:c>
      <ns0:c r="AR267" s="74" t="inlineStr">
        <ns0:is>
          <ns0:t>https://libertas.pt/portfolio/</ns0:t>
        </ns0:is>
      </ns0:c>
    </ns0:row>
    <ns0:row r="268">
      <ns0:c r="A268" s="71" t="s">
        <ns0:v>236</ns0:v>
      </ns0:c>
      <ns0:c r="B268" s="71" t="s">
        <ns0:v>277</ns0:v>
      </ns0:c>
      <ns0:c r="C268" s="71">
        <ns0:v>0</ns0:v>
      </ns0:c>
      <ns0:c r="D268" s="71" t="s">
        <ns0:v>31</ns0:v>
      </ns0:c>
      <ns0:c r="E268" s="74">
        <ns0:v>2</ns0:v>
      </ns0:c>
      <ns0:c r="F268" s="72">
        <ns0:v>104.85</ns0:v>
      </ns0:c>
      <ns0:c r="G268" s="72" t="n">
        <ns0:f>16.63+26.18</ns0:f>
        <ns0:v>42.81</ns0:v>
      </ns0:c>
      <ns0:c r="H268" s="72">
        <ns0:v>150.56</ns0:v>
      </ns0:c>
      <ns0:c r="I268" s="73">
        <ns0:v>504000</ns0:v>
      </ns0:c>
      <ns0:c r="J268" s="71">
        <ns0:v>2026</ns0:v>
      </ns0:c>
      <ns0:c r="K268" s="73">
        <ns0:f t="shared" si="43"/>
        <ns0:v>4806.8669527897</ns0:v>
      </ns0:c>
      <ns0:c r="L268" s="73">
        <ns0:f t="shared" si="44"/>
        <ns0:v>3347.5026567481405</ns0:v>
      </ns0:c>
      <ns0:c r="M268" s="74" t="str">
        <ns0:f t="shared" si="42"/>
        <ns0:v>Ativo</ns0:v>
      </ns0:c>
      <ns0:c r="N268" s="74"/>
      <ns0:c r="O268" s="74"/>
      <ns0:c r="P268" s="77"/>
      <ns0:c r="Q268" s="74" t="s">
        <ns0:v>238</ns0:v>
      </ns0:c>
      <ns0:c r="R268" s="74"/>
      <ns0:c r="S268" s="74"/>
      <ns0:c r="T268" s="74"/>
      <ns0:c r="U268" s="74"/>
      <ns0:c r="V268" s="74"/>
      <ns0:c r="W268" s="76">
        <ns0:f t="shared" si="45"/>
        <ns0:v>1</ns0:v>
      </ns0:c>
      <ns0:c r="X268" s="74" t="str">
        <ns0:f t="shared" si="46"/>
        <ns0:v>A · Premium ativo</ns0:v>
      </ns0:c>
      <ns0:c r="Y268" s="74"/>
      <ns0:c r="Z268" s="74"/>
      <ns0:c r="AA268" s="74"/>
      <ns0:c r="AB268" s="74"/>
      <ns0:c r="AQ268" s="74" t="inlineStr">
        <ns0:is>
          <ns0:t>Faro</ns0:t>
        </ns0:is>
      </ns0:c>
      <ns0:c r="AR268" s="74" t="inlineStr">
        <ns0:is>
          <ns0:t>https://libertas.pt/portfolio/</ns0:t>
        </ns0:is>
      </ns0:c>
    </ns0:row>
    <ns0:row r="269">
      <ns0:c r="A269" s="71" t="s">
        <ns0:v>236</ns0:v>
      </ns0:c>
      <ns0:c r="B269" s="71" t="s">
        <ns0:v>278</ns0:v>
      </ns0:c>
      <ns0:c r="C269" s="71">
        <ns0:v>1</ns0:v>
      </ns0:c>
      <ns0:c r="D269" s="71" t="s">
        <ns0:v>252</ns0:v>
      </ns0:c>
      <ns0:c r="E269" s="74">
        <ns0:v>2</ns0:v>
      </ns0:c>
      <ns0:c r="F269" s="72">
        <ns0:v>134.34</ns0:v>
      </ns0:c>
      <ns0:c r="G269" s="72">
        <ns0:v>47.17</ns0:v>
      </ns0:c>
      <ns0:c r="H269" s="72">
        <ns0:v>185.61</ns0:v>
      </ns0:c>
      <ns0:c r="I269" s="73">
        <ns0:v>652000</ns0:v>
      </ns0:c>
      <ns0:c r="J269" s="71">
        <ns0:v>2026</ns0:v>
      </ns0:c>
      <ns0:c r="K269" s="73">
        <ns0:f t="shared" si="43"/>
        <ns0:v>4853.3571534911416</ns0:v>
      </ns0:c>
      <ns0:c r="L269" s="73">
        <ns0:f t="shared" si="44"/>
        <ns0:v>3512.741770378751</ns0:v>
      </ns0:c>
      <ns0:c r="M269" s="74" t="str">
        <ns0:f t="shared" si="42"/>
        <ns0:v>Ativo</ns0:v>
      </ns0:c>
      <ns0:c r="N269" s="74"/>
      <ns0:c r="O269" s="74"/>
      <ns0:c r="P269" s="77"/>
      <ns0:c r="Q269" s="74" t="s">
        <ns0:v>238</ns0:v>
      </ns0:c>
      <ns0:c r="R269" s="74"/>
      <ns0:c r="S269" s="74"/>
      <ns0:c r="T269" s="74"/>
      <ns0:c r="U269" s="74"/>
      <ns0:c r="V269" s="74"/>
      <ns0:c r="W269" s="76">
        <ns0:f t="shared" si="45"/>
        <ns0:v>1</ns0:v>
      </ns0:c>
      <ns0:c r="X269" s="74" t="str">
        <ns0:f t="shared" si="46"/>
        <ns0:v>A · Premium ativo</ns0:v>
      </ns0:c>
      <ns0:c r="Y269" s="74"/>
      <ns0:c r="Z269" s="74"/>
      <ns0:c r="AA269" s="74"/>
      <ns0:c r="AB269" s="74"/>
      <ns0:c r="AQ269" s="74" t="inlineStr">
        <ns0:is>
          <ns0:t>Faro</ns0:t>
        </ns0:is>
      </ns0:c>
      <ns0:c r="AR269" s="74" t="inlineStr">
        <ns0:is>
          <ns0:t>https://libertas.pt/portfolio/</ns0:t>
        </ns0:is>
      </ns0:c>
    </ns0:row>
    <ns0:row r="270">
      <ns0:c r="A270" s="71" t="s">
        <ns0:v>236</ns0:v>
      </ns0:c>
      <ns0:c r="B270" s="71" t="s">
        <ns0:v>279</ns0:v>
      </ns0:c>
      <ns0:c r="C270" s="71">
        <ns0:v>1</ns0:v>
      </ns0:c>
      <ns0:c r="D270" s="71" t="s">
        <ns0:v>42</ns0:v>
      </ns0:c>
      <ns0:c r="E270" s="74">
        <ns0:v>2</ns0:v>
      </ns0:c>
      <ns0:c r="F270" s="72">
        <ns0:v>59.63</ns0:v>
      </ns0:c>
      <ns0:c r="G270" s="72">
        <ns0:v>15.97</ns0:v>
      </ns0:c>
      <ns0:c r="H270" s="72">
        <ns0:v>78.5</ns0:v>
      </ns0:c>
      <ns0:c r="I270" s="73">
        <ns0:v>329000</ns0:v>
      </ns0:c>
      <ns0:c r="J270" s="71">
        <ns0:v>2026</ns0:v>
      </ns0:c>
      <ns0:c r="K270" s="73">
        <ns0:f t="shared" si="43"/>
        <ns0:v>5517.357035049472</ns0:v>
      </ns0:c>
      <ns0:c r="L270" s="73">
        <ns0:f t="shared" si="44"/>
        <ns0:v>4191.0828025477704</ns0:v>
      </ns0:c>
      <ns0:c r="M270" s="74" t="str">
        <ns0:f t="shared" si="42"/>
        <ns0:v>Ativo</ns0:v>
      </ns0:c>
      <ns0:c r="N270" s="74"/>
      <ns0:c r="O270" s="74"/>
      <ns0:c r="P270" s="77"/>
      <ns0:c r="Q270" s="74" t="s">
        <ns0:v>238</ns0:v>
      </ns0:c>
      <ns0:c r="R270" s="74"/>
      <ns0:c r="S270" s="74"/>
      <ns0:c r="T270" s="74"/>
      <ns0:c r="U270" s="74"/>
      <ns0:c r="V270" s="74"/>
      <ns0:c r="W270" s="76">
        <ns0:f t="shared" si="45"/>
        <ns0:v>1</ns0:v>
      </ns0:c>
      <ns0:c r="X270" s="74" t="str">
        <ns0:f t="shared" si="46"/>
        <ns0:v>A · Premium ativo</ns0:v>
      </ns0:c>
      <ns0:c r="Y270" s="74"/>
      <ns0:c r="Z270" s="74"/>
      <ns0:c r="AA270" s="74"/>
      <ns0:c r="AB270" s="74"/>
      <ns0:c r="AQ270" s="74" t="inlineStr">
        <ns0:is>
          <ns0:t>Faro</ns0:t>
        </ns0:is>
      </ns0:c>
      <ns0:c r="AR270" s="74" t="inlineStr">
        <ns0:is>
          <ns0:t>https://libertas.pt/portfolio/</ns0:t>
        </ns0:is>
      </ns0:c>
    </ns0:row>
    <ns0:row r="271">
      <ns0:c r="A271" s="71" t="s">
        <ns0:v>236</ns0:v>
      </ns0:c>
      <ns0:c r="B271" s="71" t="s">
        <ns0:v>280</ns0:v>
      </ns0:c>
      <ns0:c r="C271" s="71">
        <ns0:v>1</ns0:v>
      </ns0:c>
      <ns0:c r="D271" s="71" t="s">
        <ns0:v>42</ns0:v>
      </ns0:c>
      <ns0:c r="E271" s="74">
        <ns0:v>2</ns0:v>
      </ns0:c>
      <ns0:c r="F271" s="72">
        <ns0:v>62.96</ns0:v>
      </ns0:c>
      <ns0:c r="G271" s="72">
        <ns0:v>16.079999999999998</ns0:v>
      </ns0:c>
      <ns0:c r="H271" s="72">
        <ns0:v>81.64</ns0:v>
      </ns0:c>
      <ns0:c r="I271" s="73">
        <ns0:v>331000</ns0:v>
      </ns0:c>
      <ns0:c r="J271" s="71">
        <ns0:v>2026</ns0:v>
      </ns0:c>
      <ns0:c r="K271" s="73">
        <ns0:f t="shared" si="43"/>
        <ns0:v>5257.3062261753494</ns0:v>
      </ns0:c>
      <ns0:c r="L271" s="73">
        <ns0:f t="shared" si="44"/>
        <ns0:v>4054.3851053405192</ns0:v>
      </ns0:c>
      <ns0:c r="M271" s="74" t="str">
        <ns0:f t="shared" si="42"/>
        <ns0:v>Ativo</ns0:v>
      </ns0:c>
      <ns0:c r="N271" s="74"/>
      <ns0:c r="O271" s="74"/>
      <ns0:c r="P271" s="77"/>
      <ns0:c r="Q271" s="74" t="s">
        <ns0:v>238</ns0:v>
      </ns0:c>
      <ns0:c r="R271" s="74"/>
      <ns0:c r="S271" s="74"/>
      <ns0:c r="T271" s="74"/>
      <ns0:c r="U271" s="74"/>
      <ns0:c r="V271" s="74"/>
      <ns0:c r="W271" s="76">
        <ns0:f t="shared" si="45"/>
        <ns0:v>1</ns0:v>
      </ns0:c>
      <ns0:c r="X271" s="74" t="str">
        <ns0:f t="shared" si="46"/>
        <ns0:v>A · Premium ativo</ns0:v>
      </ns0:c>
      <ns0:c r="Y271" s="74"/>
      <ns0:c r="Z271" s="74"/>
      <ns0:c r="AA271" s="74"/>
      <ns0:c r="AB271" s="74"/>
      <ns0:c r="AQ271" s="74" t="inlineStr">
        <ns0:is>
          <ns0:t>Faro</ns0:t>
        </ns0:is>
      </ns0:c>
      <ns0:c r="AR271" s="74" t="inlineStr">
        <ns0:is>
          <ns0:t>https://libertas.pt/portfolio/</ns0:t>
        </ns0:is>
      </ns0:c>
    </ns0:row>
    <ns0:row r="272">
      <ns0:c r="A272" s="71" t="s">
        <ns0:v>236</ns0:v>
      </ns0:c>
      <ns0:c r="B272" s="71" t="s">
        <ns0:v>281</ns0:v>
      </ns0:c>
      <ns0:c r="C272" s="71">
        <ns0:v>2</ns0:v>
      </ns0:c>
      <ns0:c r="D272" s="71" t="s">
        <ns0:v>252</ns0:v>
      </ns0:c>
      <ns0:c r="E272" s="74">
        <ns0:v>2</ns0:v>
      </ns0:c>
      <ns0:c r="F272" s="72">
        <ns0:v>134.34</ns0:v>
      </ns0:c>
      <ns0:c r="G272" s="72">
        <ns0:v>46.65</ns0:v>
      </ns0:c>
      <ns0:c r="H272" s="72">
        <ns0:v>183.39</ns0:v>
      </ns0:c>
      <ns0:c r="I272" s="73">
        <ns0:v>668000</ns0:v>
      </ns0:c>
      <ns0:c r="J272" s="71">
        <ns0:v>2026</ns0:v>
      </ns0:c>
      <ns0:c r="K272" s="73">
        <ns0:f t="shared" si="43"/>
        <ns0:v>4972.4579425338688</ns0:v>
      </ns0:c>
      <ns0:c r="L272" s="73">
        <ns0:f t="shared" si="44"/>
        <ns0:v>3642.5104967555485</ns0:v>
      </ns0:c>
      <ns0:c r="M272" s="74" t="str">
        <ns0:f t="shared" si="42"/>
        <ns0:v>Ativo</ns0:v>
      </ns0:c>
      <ns0:c r="N272" s="74"/>
      <ns0:c r="O272" s="74"/>
      <ns0:c r="P272" s="77"/>
      <ns0:c r="Q272" s="74" t="s">
        <ns0:v>238</ns0:v>
      </ns0:c>
      <ns0:c r="R272" s="74"/>
      <ns0:c r="S272" s="74"/>
      <ns0:c r="T272" s="74"/>
      <ns0:c r="U272" s="74"/>
      <ns0:c r="V272" s="74"/>
      <ns0:c r="W272" s="76">
        <ns0:f t="shared" si="45"/>
        <ns0:v>1</ns0:v>
      </ns0:c>
      <ns0:c r="X272" s="74" t="str">
        <ns0:f t="shared" si="46"/>
        <ns0:v>A · Premium ativo</ns0:v>
      </ns0:c>
      <ns0:c r="Y272" s="74"/>
      <ns0:c r="Z272" s="74"/>
      <ns0:c r="AA272" s="74"/>
      <ns0:c r="AB272" s="74"/>
      <ns0:c r="AQ272" s="74" t="inlineStr">
        <ns0:is>
          <ns0:t>Faro</ns0:t>
        </ns0:is>
      </ns0:c>
      <ns0:c r="AR272" s="74" t="inlineStr">
        <ns0:is>
          <ns0:t>https://libertas.pt/portfolio/</ns0:t>
        </ns0:is>
      </ns0:c>
    </ns0:row>
    <ns0:row r="273">
      <ns0:c r="A273" s="71" t="s">
        <ns0:v>236</ns0:v>
      </ns0:c>
      <ns0:c r="B273" s="71" t="s">
        <ns0:v>282</ns0:v>
      </ns0:c>
      <ns0:c r="C273" s="71">
        <ns0:v>2</ns0:v>
      </ns0:c>
      <ns0:c r="D273" s="71" t="s">
        <ns0:v>42</ns0:v>
      </ns0:c>
      <ns0:c r="E273" s="74">
        <ns0:v>2</ns0:v>
      </ns0:c>
      <ns0:c r="F273" s="72">
        <ns0:v>59.93</ns0:v>
      </ns0:c>
      <ns0:c r="G273" s="72">
        <ns0:v>16.649999999999999</ns0:v>
      </ns0:c>
      <ns0:c r="H273" s="72">
        <ns0:v>79.08</ns0:v>
      </ns0:c>
      <ns0:c r="I273" s="73">
        <ns0:v>335000</ns0:v>
      </ns0:c>
      <ns0:c r="J273" s="71">
        <ns0:v>2026</ns0:v>
      </ns0:c>
      <ns0:c r="K273" s="73">
        <ns0:f t="shared" si="43"/>
        <ns0:v>5589.8548306357416</ns0:v>
      </ns0:c>
      <ns0:c r="L273" s="73">
        <ns0:f t="shared" si="44"/>
        <ns0:v>4236.216489630754</ns0:v>
      </ns0:c>
      <ns0:c r="M273" s="74" t="str">
        <ns0:f t="shared" si="42"/>
        <ns0:v>Ativo</ns0:v>
      </ns0:c>
      <ns0:c r="N273" s="74"/>
      <ns0:c r="O273" s="74"/>
      <ns0:c r="P273" s="77"/>
      <ns0:c r="Q273" s="74" t="s">
        <ns0:v>238</ns0:v>
      </ns0:c>
      <ns0:c r="R273" s="74"/>
      <ns0:c r="S273" s="74"/>
      <ns0:c r="T273" s="74"/>
      <ns0:c r="U273" s="74"/>
      <ns0:c r="V273" s="74"/>
      <ns0:c r="W273" s="76">
        <ns0:f t="shared" si="45"/>
        <ns0:v>1</ns0:v>
      </ns0:c>
      <ns0:c r="X273" s="74" t="str">
        <ns0:f t="shared" si="46"/>
        <ns0:v>A · Premium ativo</ns0:v>
      </ns0:c>
      <ns0:c r="Y273" s="74"/>
      <ns0:c r="Z273" s="74"/>
      <ns0:c r="AA273" s="74"/>
      <ns0:c r="AB273" s="74"/>
      <ns0:c r="AQ273" s="74" t="inlineStr">
        <ns0:is>
          <ns0:t>Faro</ns0:t>
        </ns0:is>
      </ns0:c>
      <ns0:c r="AR273" s="74" t="inlineStr">
        <ns0:is>
          <ns0:t>https://libertas.pt/portfolio/</ns0:t>
        </ns0:is>
      </ns0:c>
    </ns0:row>
    <ns0:row r="274">
      <ns0:c r="A274" s="71" t="s">
        <ns0:v>236</ns0:v>
      </ns0:c>
      <ns0:c r="B274" s="71" t="s">
        <ns0:v>283</ns0:v>
      </ns0:c>
      <ns0:c r="C274" s="71">
        <ns0:v>2</ns0:v>
      </ns0:c>
      <ns0:c r="D274" s="71" t="s">
        <ns0:v>42</ns0:v>
      </ns0:c>
      <ns0:c r="E274" s="74">
        <ns0:v>2</ns0:v>
      </ns0:c>
      <ns0:c r="F274" s="72">
        <ns0:v>62.96</ns0:v>
      </ns0:c>
      <ns0:c r="G274" s="72">
        <ns0:v>16.079999999999998</ns0:v>
      </ns0:c>
      <ns0:c r="H274" s="72">
        <ns0:v>81.94</ns0:v>
      </ns0:c>
      <ns0:c r="I274" s="73">
        <ns0:v>347000</ns0:v>
      </ns0:c>
      <ns0:c r="J274" s="71">
        <ns0:v>2026</ns0:v>
      </ns0:c>
      <ns0:c r="K274" s="73">
        <ns0:f t="shared" si="43"/>
        <ns0:v>5511.4358322744602</ns0:v>
      </ns0:c>
      <ns0:c r="L274" s="73">
        <ns0:f t="shared" si="44"/>
        <ns0:v>4234.8059555772516</ns0:v>
      </ns0:c>
      <ns0:c r="M274" s="74" t="str">
        <ns0:f t="shared" si="42"/>
        <ns0:v>Ativo</ns0:v>
      </ns0:c>
      <ns0:c r="N274" s="74"/>
      <ns0:c r="O274" s="74"/>
      <ns0:c r="P274" s="77"/>
      <ns0:c r="Q274" s="74" t="s">
        <ns0:v>238</ns0:v>
      </ns0:c>
      <ns0:c r="R274" s="74"/>
      <ns0:c r="S274" s="74"/>
      <ns0:c r="T274" s="74"/>
      <ns0:c r="U274" s="74"/>
      <ns0:c r="V274" s="74"/>
      <ns0:c r="W274" s="76">
        <ns0:f t="shared" si="45"/>
        <ns0:v>1</ns0:v>
      </ns0:c>
      <ns0:c r="X274" s="74" t="str">
        <ns0:f t="shared" si="46"/>
        <ns0:v>A · Premium ativo</ns0:v>
      </ns0:c>
      <ns0:c r="Y274" s="74"/>
      <ns0:c r="Z274" s="74"/>
      <ns0:c r="AA274" s="74"/>
      <ns0:c r="AB274" s="74"/>
      <ns0:c r="AQ274" s="74" t="inlineStr">
        <ns0:is>
          <ns0:t>Faro</ns0:t>
        </ns0:is>
      </ns0:c>
      <ns0:c r="AR274" s="74" t="inlineStr">
        <ns0:is>
          <ns0:t>https://libertas.pt/portfolio/</ns0:t>
        </ns0:is>
      </ns0:c>
    </ns0:row>
    <ns0:row r="275">
      <ns0:c r="A275" s="71" t="s">
        <ns0:v>236</ns0:v>
      </ns0:c>
      <ns0:c r="B275" s="71" t="s">
        <ns0:v>284</ns0:v>
      </ns0:c>
      <ns0:c r="C275" s="71">
        <ns0:v>3</ns0:v>
      </ns0:c>
      <ns0:c r="D275" s="71" t="s">
        <ns0:v>252</ns0:v>
      </ns0:c>
      <ns0:c r="E275" s="74">
        <ns0:v>2</ns0:v>
      </ns0:c>
      <ns0:c r="F275" s="72">
        <ns0:v>134.34</ns0:v>
      </ns0:c>
      <ns0:c r="G275" s="72">
        <ns0:v>47.17</ns0:v>
      </ns0:c>
      <ns0:c r="H275" s="72">
        <ns0:v>224.11</ns0:v>
      </ns0:c>
      <ns0:c r="I275" s="73">
        <ns0:v>700000</ns0:v>
      </ns0:c>
      <ns0:c r="J275" s="71">
        <ns0:v>2026</ns0:v>
      </ns0:c>
      <ns0:c r="K275" s="73">
        <ns0:f t="shared" si="43"/>
        <ns0:v>5210.6595206193242</ns0:v>
      </ns0:c>
      <ns0:c r="L275" s="73">
        <ns0:f t="shared" si="44"/>
        <ns0:v>3123.4661550131632</ns0:v>
      </ns0:c>
      <ns0:c r="M275" s="74" t="str">
        <ns0:f t="shared" si="42"/>
        <ns0:v>Ativo</ns0:v>
      </ns0:c>
      <ns0:c r="N275" s="74"/>
      <ns0:c r="O275" s="74"/>
      <ns0:c r="P275" s="77"/>
      <ns0:c r="Q275" s="74" t="s">
        <ns0:v>238</ns0:v>
      </ns0:c>
      <ns0:c r="R275" s="74"/>
      <ns0:c r="S275" s="74"/>
      <ns0:c r="T275" s="74"/>
      <ns0:c r="U275" s="74"/>
      <ns0:c r="V275" s="74"/>
      <ns0:c r="W275" s="76">
        <ns0:f t="shared" si="45"/>
        <ns0:v>1</ns0:v>
      </ns0:c>
      <ns0:c r="X275" s="74" t="str">
        <ns0:f t="shared" si="46"/>
        <ns0:v>A · Premium ativo</ns0:v>
      </ns0:c>
      <ns0:c r="Y275" s="74"/>
      <ns0:c r="Z275" s="74"/>
      <ns0:c r="AA275" s="74"/>
      <ns0:c r="AB275" s="74"/>
      <ns0:c r="AQ275" s="74" t="inlineStr">
        <ns0:is>
          <ns0:t>Faro</ns0:t>
        </ns0:is>
      </ns0:c>
      <ns0:c r="AR275" s="74" t="inlineStr">
        <ns0:is>
          <ns0:t>https://libertas.pt/portfolio/</ns0:t>
        </ns0:is>
      </ns0:c>
    </ns0:row>
    <ns0:row r="276">
      <ns0:c r="A276" s="71" t="s">
        <ns0:v>236</ns0:v>
      </ns0:c>
      <ns0:c r="B276" s="71" t="s">
        <ns0:v>285</ns0:v>
      </ns0:c>
      <ns0:c r="C276" s="71">
        <ns0:v>3</ns0:v>
      </ns0:c>
      <ns0:c r="D276" s="71" t="s">
        <ns0:v>42</ns0:v>
      </ns0:c>
      <ns0:c r="E276" s="74">
        <ns0:v>2</ns0:v>
      </ns0:c>
      <ns0:c r="F276" s="72">
        <ns0:v>59.63</ns0:v>
      </ns0:c>
      <ns0:c r="G276" s="72">
        <ns0:v>15.97</ns0:v>
      </ns0:c>
      <ns0:c r="H276" s="72">
        <ns0:v>78</ns0:v>
      </ns0:c>
      <ns0:c r="I276" s="73">
        <ns0:v>345000</ns0:v>
      </ns0:c>
      <ns0:c r="J276" s="71">
        <ns0:v>2026</ns0:v>
      </ns0:c>
      <ns0:c r="K276" s="73">
        <ns0:f t="shared" si="43"/>
        <ns0:v>5785.6783498239138</ns0:v>
      </ns0:c>
      <ns0:c r="L276" s="73">
        <ns0:f t="shared" si="44"/>
        <ns0:v>4423.0769230769229</ns0:v>
      </ns0:c>
      <ns0:c r="M276" s="74" t="str">
        <ns0:f t="shared" si="42"/>
        <ns0:v>Ativo</ns0:v>
      </ns0:c>
      <ns0:c r="N276" s="74"/>
      <ns0:c r="O276" s="74"/>
      <ns0:c r="P276" s="77"/>
      <ns0:c r="Q276" s="74" t="s">
        <ns0:v>238</ns0:v>
      </ns0:c>
      <ns0:c r="R276" s="74"/>
      <ns0:c r="S276" s="74"/>
      <ns0:c r="T276" s="74"/>
      <ns0:c r="U276" s="74"/>
      <ns0:c r="V276" s="74"/>
      <ns0:c r="W276" s="76">
        <ns0:f t="shared" si="45"/>
        <ns0:v>1</ns0:v>
      </ns0:c>
      <ns0:c r="X276" s="74" t="str">
        <ns0:f t="shared" si="46"/>
        <ns0:v>A · Premium ativo</ns0:v>
      </ns0:c>
      <ns0:c r="Y276" s="74"/>
      <ns0:c r="Z276" s="74"/>
      <ns0:c r="AA276" s="74"/>
      <ns0:c r="AB276" s="74"/>
      <ns0:c r="AQ276" s="74" t="inlineStr">
        <ns0:is>
          <ns0:t>Faro</ns0:t>
        </ns0:is>
      </ns0:c>
      <ns0:c r="AR276" s="74" t="inlineStr">
        <ns0:is>
          <ns0:t>https://libertas.pt/portfolio/</ns0:t>
        </ns0:is>
      </ns0:c>
    </ns0:row>
    <ns0:row r="277">
      <ns0:c r="A277" s="71" t="s">
        <ns0:v>236</ns0:v>
      </ns0:c>
      <ns0:c r="B277" s="71" t="s">
        <ns0:v>286</ns0:v>
      </ns0:c>
      <ns0:c r="C277" s="71">
        <ns0:v>3</ns0:v>
      </ns0:c>
      <ns0:c r="D277" s="71" t="s">
        <ns0:v>42</ns0:v>
      </ns0:c>
      <ns0:c r="E277" s="74">
        <ns0:v>2</ns0:v>
      </ns0:c>
      <ns0:c r="F277" s="72">
        <ns0:v>62.96</ns0:v>
      </ns0:c>
      <ns0:c r="G277" s="72">
        <ns0:v>16.079999999999998</ns0:v>
      </ns0:c>
      <ns0:c r="H277" s="72">
        <ns0:v>82.04</ns0:v>
      </ns0:c>
      <ns0:c r="I277" s="73">
        <ns0:v>357000</ns0:v>
      </ns0:c>
      <ns0:c r="J277" s="71">
        <ns0:v>2026</ns0:v>
      </ns0:c>
      <ns0:c r="K277" s="73">
        <ns0:f t="shared" si="43"/>
        <ns0:v>5670.2668360864036</ns0:v>
      </ns0:c>
      <ns0:c r="L277" s="73">
        <ns0:f t="shared" si="44"/>
        <ns0:v>4351.5358361774743</ns0:v>
      </ns0:c>
      <ns0:c r="M277" s="74" t="str">
        <ns0:f t="shared" si="42"/>
        <ns0:v>Ativo</ns0:v>
      </ns0:c>
      <ns0:c r="N277" s="74"/>
      <ns0:c r="O277" s="74"/>
      <ns0:c r="P277" s="77"/>
      <ns0:c r="Q277" s="74" t="s">
        <ns0:v>238</ns0:v>
      </ns0:c>
      <ns0:c r="R277" s="74"/>
      <ns0:c r="S277" s="74"/>
      <ns0:c r="T277" s="74"/>
      <ns0:c r="U277" s="74"/>
      <ns0:c r="V277" s="74"/>
      <ns0:c r="W277" s="76">
        <ns0:f t="shared" si="45"/>
        <ns0:v>1</ns0:v>
      </ns0:c>
      <ns0:c r="X277" s="74" t="str">
        <ns0:f t="shared" si="46"/>
        <ns0:v>A · Premium ativo</ns0:v>
      </ns0:c>
      <ns0:c r="Y277" s="74"/>
      <ns0:c r="Z277" s="74"/>
      <ns0:c r="AA277" s="74"/>
      <ns0:c r="AB277" s="74"/>
      <ns0:c r="AQ277" s="74" t="inlineStr">
        <ns0:is>
          <ns0:t>Faro</ns0:t>
        </ns0:is>
      </ns0:c>
      <ns0:c r="AR277" s="74" t="inlineStr">
        <ns0:is>
          <ns0:t>https://libertas.pt/portfolio/</ns0:t>
        </ns0:is>
      </ns0:c>
    </ns0:row>
    <ns0:row r="278">
      <ns0:c r="A278" s="71" t="s">
        <ns0:v>236</ns0:v>
      </ns0:c>
      <ns0:c r="B278" s="71" t="s">
        <ns0:v>287</ns0:v>
      </ns0:c>
      <ns0:c r="C278" s="71">
        <ns0:v>4</ns0:v>
      </ns0:c>
      <ns0:c r="D278" s="71" t="s">
        <ns0:v>252</ns0:v>
      </ns0:c>
      <ns0:c r="E278" s="74">
        <ns0:v>2</ns0:v>
      </ns0:c>
      <ns0:c r="F278" s="72">
        <ns0:v>134.34</ns0:v>
      </ns0:c>
      <ns0:c r="G278" s="72">
        <ns0:v>46.65</ns0:v>
      </ns0:c>
      <ns0:c r="H278" s="72">
        <ns0:v>223.69</ns0:v>
      </ns0:c>
      <ns0:c r="I278" s="73">
        <ns0:v>716000</ns0:v>
      </ns0:c>
      <ns0:c r="J278" s="71">
        <ns0:v>2026</ns0:v>
      </ns0:c>
      <ns0:c r="K278" s="73">
        <ns0:f t="shared" si="43"/>
        <ns0:v>5329.7603096620514</ns0:v>
      </ns0:c>
      <ns0:c r="L278" s="73">
        <ns0:f t="shared" si="44"/>
        <ns0:v>3200.8583307255576</ns0:v>
      </ns0:c>
      <ns0:c r="M278" s="74" t="str">
        <ns0:f t="shared" si="42"/>
        <ns0:v>Ativo</ns0:v>
      </ns0:c>
      <ns0:c r="N278" s="74"/>
      <ns0:c r="O278" s="74"/>
      <ns0:c r="P278" s="77"/>
      <ns0:c r="Q278" s="74" t="s">
        <ns0:v>238</ns0:v>
      </ns0:c>
      <ns0:c r="R278" s="74"/>
      <ns0:c r="S278" s="74"/>
      <ns0:c r="T278" s="74"/>
      <ns0:c r="U278" s="74"/>
      <ns0:c r="V278" s="74"/>
      <ns0:c r="W278" s="76">
        <ns0:f t="shared" si="45"/>
        <ns0:v>1</ns0:v>
      </ns0:c>
      <ns0:c r="X278" s="74" t="str">
        <ns0:f t="shared" si="46"/>
        <ns0:v>A · Premium ativo</ns0:v>
      </ns0:c>
      <ns0:c r="Y278" s="74"/>
      <ns0:c r="Z278" s="74"/>
      <ns0:c r="AA278" s="74"/>
      <ns0:c r="AB278" s="74"/>
      <ns0:c r="AQ278" s="74" t="inlineStr">
        <ns0:is>
          <ns0:t>Faro</ns0:t>
        </ns0:is>
      </ns0:c>
      <ns0:c r="AR278" s="74" t="inlineStr">
        <ns0:is>
          <ns0:t>https://libertas.pt/portfolio/</ns0:t>
        </ns0:is>
      </ns0:c>
    </ns0:row>
    <ns0:row r="279">
      <ns0:c r="A279" s="71" t="s">
        <ns0:v>236</ns0:v>
      </ns0:c>
      <ns0:c r="B279" s="71" t="s">
        <ns0:v>288</ns0:v>
      </ns0:c>
      <ns0:c r="C279" s="71">
        <ns0:v>4</ns0:v>
      </ns0:c>
      <ns0:c r="D279" s="71" t="s">
        <ns0:v>42</ns0:v>
      </ns0:c>
      <ns0:c r="E279" s="74">
        <ns0:v>2</ns0:v>
      </ns0:c>
      <ns0:c r="F279" s="72">
        <ns0:v>59.63</ns0:v>
      </ns0:c>
      <ns0:c r="G279" s="72">
        <ns0:v>16.850000000000001</ns0:v>
      </ns0:c>
      <ns0:c r="H279" s="72">
        <ns0:v>78.680000000000007</ns0:v>
      </ns0:c>
      <ns0:c r="I279" s="73">
        <ns0:v>357000</ns0:v>
      </ns0:c>
      <ns0:c r="J279" s="71">
        <ns0:v>2026</ns0:v>
      </ns0:c>
      <ns0:c r="K279" s="73">
        <ns0:f t="shared" si="43"/>
        <ns0:v>5986.9193359047458</ns0:v>
      </ns0:c>
      <ns0:c r="L279" s="73">
        <ns0:f t="shared" si="44"/>
        <ns0:v>4537.3665480427044</ns0:v>
      </ns0:c>
      <ns0:c r="M279" s="74" t="str">
        <ns0:f t="shared" si="42"/>
        <ns0:v>Ativo</ns0:v>
      </ns0:c>
      <ns0:c r="N279" s="74"/>
      <ns0:c r="O279" s="74"/>
      <ns0:c r="P279" s="77"/>
      <ns0:c r="Q279" s="74" t="s">
        <ns0:v>238</ns0:v>
      </ns0:c>
      <ns0:c r="R279" s="74"/>
      <ns0:c r="S279" s="74"/>
      <ns0:c r="T279" s="74"/>
      <ns0:c r="U279" s="74"/>
      <ns0:c r="V279" s="74"/>
      <ns0:c r="W279" s="76">
        <ns0:f t="shared" si="45"/>
        <ns0:v>1</ns0:v>
      </ns0:c>
      <ns0:c r="X279" s="74" t="str">
        <ns0:f t="shared" si="46"/>
        <ns0:v>A · Premium ativo</ns0:v>
      </ns0:c>
      <ns0:c r="Y279" s="74"/>
      <ns0:c r="Z279" s="74"/>
      <ns0:c r="AA279" s="74"/>
      <ns0:c r="AB279" s="74"/>
      <ns0:c r="AQ279" s="74" t="inlineStr">
        <ns0:is>
          <ns0:t>Faro</ns0:t>
        </ns0:is>
      </ns0:c>
      <ns0:c r="AR279" s="74" t="inlineStr">
        <ns0:is>
          <ns0:t>https://libertas.pt/portfolio/</ns0:t>
        </ns0:is>
      </ns0:c>
    </ns0:row>
    <ns0:row r="280">
      <ns0:c r="A280" s="71" t="s">
        <ns0:v>236</ns0:v>
      </ns0:c>
      <ns0:c r="B280" s="71" t="s">
        <ns0:v>289</ns0:v>
      </ns0:c>
      <ns0:c r="C280" s="71">
        <ns0:v>4</ns0:v>
      </ns0:c>
      <ns0:c r="D280" s="71" t="s">
        <ns0:v>42</ns0:v>
      </ns0:c>
      <ns0:c r="E280" s="74">
        <ns0:v>2</ns0:v>
      </ns0:c>
      <ns0:c r="F280" s="72">
        <ns0:v>62.96</ns0:v>
      </ns0:c>
      <ns0:c r="G280" s="72">
        <ns0:v>16.079999999999998</ns0:v>
      </ns0:c>
      <ns0:c r="H280" s="72">
        <ns0:v>81.44</ns0:v>
      </ns0:c>
      <ns0:c r="I280" s="73">
        <ns0:v>368000</ns0:v>
      </ns0:c>
      <ns0:c r="J280" s="71">
        <ns0:v>2026</ns0:v>
      </ns0:c>
      <ns0:c r="K280" s="73">
        <ns0:f t="shared" si="43"/>
        <ns0:v>5844.9809402795427</ns0:v>
      </ns0:c>
      <ns0:c r="L280" s="73">
        <ns0:f t="shared" si="44"/>
        <ns0:v>4518.6640471512774</ns0:v>
      </ns0:c>
      <ns0:c r="M280" s="74" t="str">
        <ns0:f t="shared" si="42"/>
        <ns0:v>Ativo</ns0:v>
      </ns0:c>
      <ns0:c r="N280" s="74"/>
      <ns0:c r="O280" s="74"/>
      <ns0:c r="P280" s="77"/>
      <ns0:c r="Q280" s="74" t="s">
        <ns0:v>238</ns0:v>
      </ns0:c>
      <ns0:c r="R280" s="74"/>
      <ns0:c r="S280" s="74"/>
      <ns0:c r="T280" s="74"/>
      <ns0:c r="U280" s="74"/>
      <ns0:c r="V280" s="74"/>
      <ns0:c r="W280" s="76">
        <ns0:f t="shared" si="45"/>
        <ns0:v>1</ns0:v>
      </ns0:c>
      <ns0:c r="X280" s="74" t="str">
        <ns0:f t="shared" si="46"/>
        <ns0:v>A · Premium ativo</ns0:v>
      </ns0:c>
      <ns0:c r="Y280" s="74"/>
      <ns0:c r="Z280" s="74"/>
      <ns0:c r="AA280" s="74"/>
      <ns0:c r="AB280" s="74"/>
      <ns0:c r="AQ280" s="74" t="inlineStr">
        <ns0:is>
          <ns0:t>Faro</ns0:t>
        </ns0:is>
      </ns0:c>
      <ns0:c r="AR280" s="74" t="inlineStr">
        <ns0:is>
          <ns0:t>https://libertas.pt/portfolio/</ns0:t>
        </ns0:is>
      </ns0:c>
    </ns0:row>
    <ns0:row r="281">
      <ns0:c r="A281" s="71" t="s">
        <ns0:v>236</ns0:v>
      </ns0:c>
      <ns0:c r="B281" s="71" t="s">
        <ns0:v>290</ns0:v>
      </ns0:c>
      <ns0:c r="C281" s="71">
        <ns0:v>5</ns0:v>
      </ns0:c>
      <ns0:c r="D281" s="71" t="s">
        <ns0:v>252</ns0:v>
      </ns0:c>
      <ns0:c r="E281" s="74">
        <ns0:v>2</ns0:v>
      </ns0:c>
      <ns0:c r="F281" s="72">
        <ns0:v>134.34</ns0:v>
      </ns0:c>
      <ns0:c r="G281" s="72">
        <ns0:v>128.22</ns0:v>
      </ns0:c>
      <ns0:c r="H281" s="72">
        <ns0:v>312.86</ns0:v>
      </ns0:c>
      <ns0:c r="I281" s="73">
        <ns0:v>918000</ns0:v>
      </ns0:c>
      <ns0:c r="J281" s="71">
        <ns0:v>2026</ns0:v>
      </ns0:c>
      <ns0:c r="K281" s="73">
        <ns0:f t="shared" si="43"/>
        <ns0:v>6833.4077713264851</ns0:v>
      </ns0:c>
      <ns0:c r="L281" s="73">
        <ns0:f t="shared" si="44"/>
        <ns0:v>2934.2197788148051</ns0:v>
      </ns0:c>
      <ns0:c r="M281" s="74" t="str">
        <ns0:f t="shared" si="42"/>
        <ns0:v>Ativo</ns0:v>
      </ns0:c>
      <ns0:c r="N281" s="74"/>
      <ns0:c r="O281" s="74"/>
      <ns0:c r="P281" s="77"/>
      <ns0:c r="Q281" s="74" t="s">
        <ns0:v>238</ns0:v>
      </ns0:c>
      <ns0:c r="R281" s="74"/>
      <ns0:c r="S281" s="74"/>
      <ns0:c r="T281" s="74"/>
      <ns0:c r="U281" s="74"/>
      <ns0:c r="V281" s="74"/>
      <ns0:c r="W281" s="76">
        <ns0:f t="shared" si="45"/>
        <ns0:v>1</ns0:v>
      </ns0:c>
      <ns0:c r="X281" s="74" t="str">
        <ns0:f t="shared" si="46"/>
        <ns0:v>A · Premium ativo</ns0:v>
      </ns0:c>
      <ns0:c r="Y281" s="74"/>
      <ns0:c r="Z281" s="74"/>
      <ns0:c r="AA281" s="74"/>
      <ns0:c r="AB281" s="74"/>
      <ns0:c r="AQ281" s="74" t="inlineStr">
        <ns0:is>
          <ns0:t>Faro</ns0:t>
        </ns0:is>
      </ns0:c>
      <ns0:c r="AR281" s="74" t="inlineStr">
        <ns0:is>
          <ns0:t>https://libertas.pt/portfolio/</ns0:t>
        </ns0:is>
      </ns0:c>
    </ns0:row>
    <ns0:row r="282">
      <ns0:c r="A282" s="71" t="s">
        <ns0:v>236</ns0:v>
      </ns0:c>
      <ns0:c r="B282" s="71" t="s">
        <ns0:v>291</ns0:v>
      </ns0:c>
      <ns0:c r="C282" s="71">
        <ns0:v>5</ns0:v>
      </ns0:c>
      <ns0:c r="D282" s="71" t="s">
        <ns0:v>64</ns0:v>
      </ns0:c>
      <ns0:c r="E282" s="74">
        <ns0:v>2</ns0:v>
      </ns0:c>
      <ns0:c r="F282" s="72">
        <ns0:v>124.96</ns0:v>
      </ns0:c>
      <ns0:c r="G282" s="72">
        <ns0:v>108.1</ns0:v>
      </ns0:c>
      <ns0:c r="H282" s="72">
        <ns0:v>282.56</ns0:v>
      </ns0:c>
      <ns0:c r="I282" s="73">
        <ns0:v>812000</ns0:v>
      </ns0:c>
      <ns0:c r="J282" s="71">
        <ns0:v>2026</ns0:v>
      </ns0:c>
      <ns0:c r="K282" s="73">
        <ns0:f t="shared" si="43"/>
        <ns0:v>6498.0793854033291</ns0:v>
      </ns0:c>
      <ns0:c r="L282" s="73">
        <ns0:f t="shared" si="44"/>
        <ns0:v>2873.7259343148357</ns0:v>
      </ns0:c>
      <ns0:c r="M282" s="74" t="str">
        <ns0:f t="shared" si="42"/>
        <ns0:v>Ativo</ns0:v>
      </ns0:c>
      <ns0:c r="N282" s="74"/>
      <ns0:c r="O282" s="74"/>
      <ns0:c r="P282" s="77"/>
      <ns0:c r="Q282" s="74" t="s">
        <ns0:v>238</ns0:v>
      </ns0:c>
      <ns0:c r="R282" s="74"/>
      <ns0:c r="S282" s="74"/>
      <ns0:c r="T282" s="74"/>
      <ns0:c r="U282" s="74"/>
      <ns0:c r="V282" s="74"/>
      <ns0:c r="W282" s="76">
        <ns0:f t="shared" si="45"/>
        <ns0:v>1</ns0:v>
      </ns0:c>
      <ns0:c r="X282" s="74" t="str">
        <ns0:f t="shared" si="46"/>
        <ns0:v>A · Premium ativo</ns0:v>
      </ns0:c>
      <ns0:c r="Y282" s="74"/>
      <ns0:c r="Z282" s="74"/>
      <ns0:c r="AA282" s="74"/>
      <ns0:c r="AB282" s="74"/>
      <ns0:c r="AQ282" s="74" t="inlineStr">
        <ns0:is>
          <ns0:t>Faro</ns0:t>
        </ns0:is>
      </ns0:c>
      <ns0:c r="AR282" s="74" t="inlineStr">
        <ns0:is>
          <ns0:t>https://libertas.pt/portfolio/</ns0:t>
        </ns0:is>
      </ns0:c>
    </ns0:row>
    <ns0:row r="283">
      <ns0:c r="A283" s="71" t="s">
        <ns0:v>236</ns0:v>
      </ns0:c>
      <ns0:c r="B283" s="71" t="s">
        <ns0:v>292</ns0:v>
      </ns0:c>
      <ns0:c r="C283" s="71">
        <ns0:v>0</ns0:v>
      </ns0:c>
      <ns0:c r="D283" s="71" t="s">
        <ns0:v>64</ns0:v>
      </ns0:c>
      <ns0:c r="E283" s="74">
        <ns0:v>2</ns0:v>
      </ns0:c>
      <ns0:c r="F283" s="72">
        <ns0:v>104.63</ns0:v>
      </ns0:c>
      <ns0:c r="G283" s="72">
        <ns0:v>38.89</ns0:v>
      </ns0:c>
      <ns0:c r="H283" s="72">
        <ns0:v>145.91999999999999</ns0:v>
      </ns0:c>
      <ns0:c r="I283" s="73">
        <ns0:v>509000</ns0:v>
      </ns0:c>
      <ns0:c r="J283" s="71">
        <ns0:v>2026</ns0:v>
      </ns0:c>
      <ns0:c r="K283" s="73">
        <ns0:f t="shared" si="43"/>
        <ns0:v>4864.761540667113</ns0:v>
      </ns0:c>
      <ns0:c r="L283" s="73">
        <ns0:f t="shared" si="44"/>
        <ns0:v>3488.2127192982457</ns0:v>
      </ns0:c>
      <ns0:c r="M283" s="74" t="str">
        <ns0:f t="shared" si="42"/>
        <ns0:v>Ativo</ns0:v>
      </ns0:c>
      <ns0:c r="N283" s="74"/>
      <ns0:c r="O283" s="74"/>
      <ns0:c r="P283" s="77"/>
      <ns0:c r="Q283" s="74" t="s">
        <ns0:v>238</ns0:v>
      </ns0:c>
      <ns0:c r="R283" s="74"/>
      <ns0:c r="S283" s="74"/>
      <ns0:c r="T283" s="74"/>
      <ns0:c r="U283" s="74"/>
      <ns0:c r="V283" s="74"/>
      <ns0:c r="W283" s="76">
        <ns0:f t="shared" si="45"/>
        <ns0:v>1</ns0:v>
      </ns0:c>
      <ns0:c r="X283" s="74" t="str">
        <ns0:f t="shared" si="46"/>
        <ns0:v>A · Premium ativo</ns0:v>
      </ns0:c>
      <ns0:c r="Y283" s="74"/>
      <ns0:c r="Z283" s="74"/>
      <ns0:c r="AA283" s="74"/>
      <ns0:c r="AB283" s="74"/>
      <ns0:c r="AQ283" s="74" t="inlineStr">
        <ns0:is>
          <ns0:t>Faro</ns0:t>
        </ns0:is>
      </ns0:c>
      <ns0:c r="AR283" s="74" t="inlineStr">
        <ns0:is>
          <ns0:t>https://libertas.pt/portfolio/</ns0:t>
        </ns0:is>
      </ns0:c>
    </ns0:row>
    <ns0:row r="284">
      <ns0:c r="A284" s="71" t="s">
        <ns0:v>236</ns0:v>
      </ns0:c>
      <ns0:c r="B284" s="71" t="s">
        <ns0:v>293</ns0:v>
      </ns0:c>
      <ns0:c r="C284" s="71">
        <ns0:v>0</ns0:v>
      </ns0:c>
      <ns0:c r="D284" s="71" t="s">
        <ns0:v>42</ns0:v>
      </ns0:c>
      <ns0:c r="E284" s="74">
        <ns0:v>2</ns0:v>
      </ns0:c>
      <ns0:c r="F284" s="72">
        <ns0:v>67.06</ns0:v>
      </ns0:c>
      <ns0:c r="G284" s="72">
        <ns0:v>14.71</ns0:v>
      </ns0:c>
      <ns0:c r="H284" s="72">
        <ns0:v>84.77</ns0:v>
      </ns0:c>
      <ns0:c r="I284" s="73">
        <ns0:v>334000</ns0:v>
      </ns0:c>
      <ns0:c r="J284" s="71">
        <ns0:v>2026</ns0:v>
      </ns0:c>
      <ns0:c r="K284" s="73">
        <ns0:f t="shared" si="43"/>
        <ns0:v>4980.6143751864001</ns0:v>
      </ns0:c>
      <ns0:c r="L284" s="73">
        <ns0:f t="shared" si="44"/>
        <ns0:v>3940.0731390822225</ns0:v>
      </ns0:c>
      <ns0:c r="M284" s="74" t="str">
        <ns0:f t="shared" si="42"/>
        <ns0:v>Ativo</ns0:v>
      </ns0:c>
      <ns0:c r="N284" s="74"/>
      <ns0:c r="O284" s="74"/>
      <ns0:c r="P284" s="77"/>
      <ns0:c r="Q284" s="74" t="s">
        <ns0:v>238</ns0:v>
      </ns0:c>
      <ns0:c r="R284" s="74"/>
      <ns0:c r="S284" s="74"/>
      <ns0:c r="T284" s="74"/>
      <ns0:c r="U284" s="74"/>
      <ns0:c r="V284" s="74"/>
      <ns0:c r="W284" s="76">
        <ns0:f t="shared" si="45"/>
        <ns0:v>1</ns0:v>
      </ns0:c>
      <ns0:c r="X284" s="74" t="str">
        <ns0:f t="shared" si="46"/>
        <ns0:v>A · Premium ativo</ns0:v>
      </ns0:c>
      <ns0:c r="Y284" s="74"/>
      <ns0:c r="Z284" s="74"/>
      <ns0:c r="AA284" s="74"/>
      <ns0:c r="AB284" s="74"/>
      <ns0:c r="AQ284" s="74" t="inlineStr">
        <ns0:is>
          <ns0:t>Faro</ns0:t>
        </ns0:is>
      </ns0:c>
      <ns0:c r="AR284" s="74" t="inlineStr">
        <ns0:is>
          <ns0:t>https://libertas.pt/portfolio/</ns0:t>
        </ns0:is>
      </ns0:c>
    </ns0:row>
    <ns0:row r="285">
      <ns0:c r="A285" s="71" t="s">
        <ns0:v>236</ns0:v>
      </ns0:c>
      <ns0:c r="B285" s="71" t="s">
        <ns0:v>294</ns0:v>
      </ns0:c>
      <ns0:c r="C285" s="71">
        <ns0:v>1</ns0:v>
      </ns0:c>
      <ns0:c r="D285" s="71" t="s">
        <ns0:v>64</ns0:v>
      </ns0:c>
      <ns0:c r="E285" s="74">
        <ns0:v>2</ns0:v>
      </ns0:c>
      <ns0:c r="F285" s="72">
        <ns0:v>106.12</ns0:v>
      </ns0:c>
      <ns0:c r="G285" s="72">
        <ns0:v>30.27</ns0:v>
      </ns0:c>
      <ns0:c r="H285" s="72">
        <ns0:v>139.19</ns0:v>
      </ns0:c>
      <ns0:c r="I285" s="73">
        <ns0:v>525000</ns0:v>
      </ns0:c>
      <ns0:c r="J285" s="71">
        <ns0:v>2026</ns0:v>
      </ns0:c>
      <ns0:c r="K285" s="73">
        <ns0:f t="shared" si="43"/>
        <ns0:v>4947.229551451187</ns0:v>
      </ns0:c>
      <ns0:c r="L285" s="73">
        <ns0:f t="shared" si="44"/>
        <ns0:v>3771.8226884115238</ns0:v>
      </ns0:c>
      <ns0:c r="M285" s="74" t="str">
        <ns0:f t="shared" si="42"/>
        <ns0:v>Ativo</ns0:v>
      </ns0:c>
      <ns0:c r="N285" s="74"/>
      <ns0:c r="O285" s="74"/>
      <ns0:c r="P285" s="77"/>
      <ns0:c r="Q285" s="74" t="s">
        <ns0:v>238</ns0:v>
      </ns0:c>
      <ns0:c r="R285" s="74"/>
      <ns0:c r="S285" s="74"/>
      <ns0:c r="T285" s="74"/>
      <ns0:c r="U285" s="74"/>
      <ns0:c r="V285" s="74"/>
      <ns0:c r="W285" s="76">
        <ns0:f t="shared" si="45"/>
        <ns0:v>1</ns0:v>
      </ns0:c>
      <ns0:c r="X285" s="74" t="str">
        <ns0:f t="shared" si="46"/>
        <ns0:v>A · Premium ativo</ns0:v>
      </ns0:c>
      <ns0:c r="Y285" s="74"/>
      <ns0:c r="Z285" s="74"/>
      <ns0:c r="AA285" s="74"/>
      <ns0:c r="AB285" s="74"/>
      <ns0:c r="AQ285" s="74" t="inlineStr">
        <ns0:is>
          <ns0:t>Faro</ns0:t>
        </ns0:is>
      </ns0:c>
      <ns0:c r="AR285" s="74" t="inlineStr">
        <ns0:is>
          <ns0:t>https://libertas.pt/portfolio/</ns0:t>
        </ns0:is>
      </ns0:c>
    </ns0:row>
    <ns0:row r="286">
      <ns0:c r="A286" s="71" t="s">
        <ns0:v>236</ns0:v>
      </ns0:c>
      <ns0:c r="B286" s="71" t="s">
        <ns0:v>295</ns0:v>
      </ns0:c>
      <ns0:c r="C286" s="71">
        <ns0:v>1</ns0:v>
      </ns0:c>
      <ns0:c r="D286" s="71" t="s">
        <ns0:v>31</ns0:v>
      </ns0:c>
      <ns0:c r="E286" s="74">
        <ns0:v>2</ns0:v>
      </ns0:c>
      <ns0:c r="F286" s="72">
        <ns0:v>86.17</ns0:v>
      </ns0:c>
      <ns0:c r="G286" s="72">
        <ns0:v>23.07</ns0:v>
      </ns0:c>
      <ns0:c r="H286" s="72">
        <ns0:v>111.84</ns0:v>
      </ns0:c>
      <ns0:c r="I286" s="73">
        <ns0:v>456000</ns0:v>
      </ns0:c>
      <ns0:c r="J286" s="71">
        <ns0:v>2026</ns0:v>
      </ns0:c>
      <ns0:c r="K286" s="73">
        <ns0:f t="shared" si="43"/>
        <ns0:v>5291.8649181849833</ns0:v>
      </ns0:c>
      <ns0:c r="L286" s="73">
        <ns0:f t="shared" si="44"/>
        <ns0:v>4077.2532188841201</ns0:v>
      </ns0:c>
      <ns0:c r="M286" s="74" t="str">
        <ns0:f t="shared" si="42"/>
        <ns0:v>Ativo</ns0:v>
      </ns0:c>
      <ns0:c r="N286" s="74"/>
      <ns0:c r="O286" s="74"/>
      <ns0:c r="P286" s="77"/>
      <ns0:c r="Q286" s="74" t="s">
        <ns0:v>238</ns0:v>
      </ns0:c>
      <ns0:c r="R286" s="74"/>
      <ns0:c r="S286" s="74"/>
      <ns0:c r="T286" s="74"/>
      <ns0:c r="U286" s="74"/>
      <ns0:c r="V286" s="74"/>
      <ns0:c r="W286" s="76">
        <ns0:f t="shared" si="45"/>
        <ns0:v>1</ns0:v>
      </ns0:c>
      <ns0:c r="X286" s="74" t="str">
        <ns0:f t="shared" si="46"/>
        <ns0:v>A · Premium ativo</ns0:v>
      </ns0:c>
      <ns0:c r="Y286" s="74"/>
      <ns0:c r="Z286" s="74"/>
      <ns0:c r="AA286" s="74"/>
      <ns0:c r="AB286" s="74"/>
      <ns0:c r="AQ286" s="74" t="inlineStr">
        <ns0:is>
          <ns0:t>Faro</ns0:t>
        </ns0:is>
      </ns0:c>
      <ns0:c r="AR286" s="74" t="inlineStr">
        <ns0:is>
          <ns0:t>https://libertas.pt/portfolio/</ns0:t>
        </ns0:is>
      </ns0:c>
    </ns0:row>
    <ns0:row r="287">
      <ns0:c r="A287" s="71" t="s">
        <ns0:v>236</ns0:v>
      </ns0:c>
      <ns0:c r="B287" s="71" t="s">
        <ns0:v>296</ns0:v>
      </ns0:c>
      <ns0:c r="C287" s="71">
        <ns0:v>2</ns0:v>
      </ns0:c>
      <ns0:c r="D287" s="71" t="s">
        <ns0:v>64</ns0:v>
      </ns0:c>
      <ns0:c r="E287" s="74">
        <ns0:v>2</ns0:v>
      </ns0:c>
      <ns0:c r="F287" s="72">
        <ns0:v>106.12</ns0:v>
      </ns0:c>
      <ns0:c r="G287" s="72">
        <ns0:v>29.98</ns0:v>
      </ns0:c>
      <ns0:c r="H287" s="72">
        <ns0:v>139.5</ns0:v>
      </ns0:c>
      <ns0:c r="I287" s="73">
        <ns0:v>541000</ns0:v>
      </ns0:c>
      <ns0:c r="J287" s="71">
        <ns0:v>2026</ns0:v>
      </ns0:c>
      <ns0:c r="K287" s="73">
        <ns0:f t="shared" si="43"/>
        <ns0:v>5098.0022615906519</ns0:v>
      </ns0:c>
      <ns0:c r="L287" s="73">
        <ns0:f t="shared" si="44"/>
        <ns0:v>3878.1362007168459</ns0:v>
      </ns0:c>
      <ns0:c r="M287" s="74" t="str">
        <ns0:f t="shared" si="42"/>
        <ns0:v>Ativo</ns0:v>
      </ns0:c>
      <ns0:c r="N287" s="74"/>
      <ns0:c r="O287" s="74"/>
      <ns0:c r="P287" s="77"/>
      <ns0:c r="Q287" s="74" t="s">
        <ns0:v>238</ns0:v>
      </ns0:c>
      <ns0:c r="R287" s="74"/>
      <ns0:c r="S287" s="74"/>
      <ns0:c r="T287" s="74"/>
      <ns0:c r="U287" s="74"/>
      <ns0:c r="V287" s="74"/>
      <ns0:c r="W287" s="76">
        <ns0:f t="shared" si="45"/>
        <ns0:v>1</ns0:v>
      </ns0:c>
      <ns0:c r="X287" s="74" t="str">
        <ns0:f t="shared" si="46"/>
        <ns0:v>A · Premium ativo</ns0:v>
      </ns0:c>
      <ns0:c r="Y287" s="74"/>
      <ns0:c r="Z287" s="74"/>
      <ns0:c r="AA287" s="74"/>
      <ns0:c r="AB287" s="74"/>
      <ns0:c r="AQ287" s="74" t="inlineStr">
        <ns0:is>
          <ns0:t>Faro</ns0:t>
        </ns0:is>
      </ns0:c>
      <ns0:c r="AR287" s="74" t="inlineStr">
        <ns0:is>
          <ns0:t>https://libertas.pt/portfolio/</ns0:t>
        </ns0:is>
      </ns0:c>
    </ns0:row>
    <ns0:row r="288">
      <ns0:c r="A288" s="71" t="s">
        <ns0:v>236</ns0:v>
      </ns0:c>
      <ns0:c r="B288" s="71" t="s">
        <ns0:v>297</ns0:v>
      </ns0:c>
      <ns0:c r="C288" s="71">
        <ns0:v>2</ns0:v>
      </ns0:c>
      <ns0:c r="D288" s="71" t="s">
        <ns0:v>31</ns0:v>
      </ns0:c>
      <ns0:c r="E288" s="74">
        <ns0:v>2</ns0:v>
      </ns0:c>
      <ns0:c r="F288" s="72">
        <ns0:v>86.17</ns0:v>
      </ns0:c>
      <ns0:c r="G288" s="72">
        <ns0:v>23.04</ns0:v>
      </ns0:c>
      <ns0:c r="H288" s="72">
        <ns0:v>112.21</ns0:v>
      </ns0:c>
      <ns0:c r="I288" s="73">
        <ns0:v>467000</ns0:v>
      </ns0:c>
      <ns0:c r="J288" s="71">
        <ns0:v>2026</ns0:v>
      </ns0:c>
      <ns0:c r="K288" s="73">
        <ns0:f t="shared" si="43"/>
        <ns0:v>5419.5195543692698</ns0:v>
      </ns0:c>
      <ns0:c r="L288" s="73">
        <ns0:f t="shared" si="44"/>
        <ns0:v>4161.8394082523846</ns0:v>
      </ns0:c>
      <ns0:c r="M288" s="74" t="str">
        <ns0:f t="shared" si="42"/>
        <ns0:v>Ativo</ns0:v>
      </ns0:c>
      <ns0:c r="N288" s="74"/>
      <ns0:c r="O288" s="74"/>
      <ns0:c r="P288" s="77"/>
      <ns0:c r="Q288" s="74" t="s">
        <ns0:v>238</ns0:v>
      </ns0:c>
      <ns0:c r="R288" s="74"/>
      <ns0:c r="S288" s="74"/>
      <ns0:c r="T288" s="74"/>
      <ns0:c r="U288" s="74"/>
      <ns0:c r="V288" s="74"/>
      <ns0:c r="W288" s="76">
        <ns0:f t="shared" si="45"/>
        <ns0:v>1</ns0:v>
      </ns0:c>
      <ns0:c r="X288" s="74" t="str">
        <ns0:f t="shared" si="46"/>
        <ns0:v>A · Premium ativo</ns0:v>
      </ns0:c>
      <ns0:c r="Y288" s="74"/>
      <ns0:c r="Z288" s="74"/>
      <ns0:c r="AA288" s="74"/>
      <ns0:c r="AB288" s="74"/>
      <ns0:c r="AQ288" s="74" t="inlineStr">
        <ns0:is>
          <ns0:t>Faro</ns0:t>
        </ns0:is>
      </ns0:c>
      <ns0:c r="AR288" s="74" t="inlineStr">
        <ns0:is>
          <ns0:t>https://libertas.pt/portfolio/</ns0:t>
        </ns0:is>
      </ns0:c>
    </ns0:row>
    <ns0:row r="289">
      <ns0:c r="A289" s="71" t="s">
        <ns0:v>236</ns0:v>
      </ns0:c>
      <ns0:c r="B289" s="71" t="s">
        <ns0:v>298</ns0:v>
      </ns0:c>
      <ns0:c r="C289" s="71">
        <ns0:v>3</ns0:v>
      </ns0:c>
      <ns0:c r="D289" s="71" t="s">
        <ns0:v>64</ns0:v>
      </ns0:c>
      <ns0:c r="E289" s="74">
        <ns0:v>2</ns0:v>
      </ns0:c>
      <ns0:c r="F289" s="72">
        <ns0:v>106.12</ns0:v>
      </ns0:c>
      <ns0:c r="G289" s="72">
        <ns0:v>30.27</ns0:v>
      </ns0:c>
      <ns0:c r="H289" s="72">
        <ns0:v>139.79</ns0:v>
      </ns0:c>
      <ns0:c r="I289" s="73">
        <ns0:v>557000</ns0:v>
      </ns0:c>
      <ns0:c r="J289" s="71">
        <ns0:v>2026</ns0:v>
      </ns0:c>
      <ns0:c r="K289" s="73">
        <ns0:f t="shared" si="43"/>
        <ns0:v>5248.7749717301167</ns0:v>
      </ns0:c>
      <ns0:c r="L289" s="73">
        <ns0:f t="shared" si="44"/>
        <ns0:v>3984.5482509478506</ns0:v>
      </ns0:c>
      <ns0:c r="M289" s="74" t="str">
        <ns0:f t="shared" si="42"/>
        <ns0:v>Ativo</ns0:v>
      </ns0:c>
      <ns0:c r="N289" s="74"/>
      <ns0:c r="O289" s="74"/>
      <ns0:c r="P289" s="77"/>
      <ns0:c r="Q289" s="74" t="s">
        <ns0:v>238</ns0:v>
      </ns0:c>
      <ns0:c r="R289" s="74"/>
      <ns0:c r="S289" s="74"/>
      <ns0:c r="T289" s="74"/>
      <ns0:c r="U289" s="74"/>
      <ns0:c r="V289" s="74"/>
      <ns0:c r="W289" s="76">
        <ns0:f t="shared" si="45"/>
        <ns0:v>1</ns0:v>
      </ns0:c>
      <ns0:c r="X289" s="74" t="str">
        <ns0:f t="shared" si="46"/>
        <ns0:v>A · Premium ativo</ns0:v>
      </ns0:c>
      <ns0:c r="Y289" s="74"/>
      <ns0:c r="Z289" s="74"/>
      <ns0:c r="AA289" s="74"/>
      <ns0:c r="AB289" s="74"/>
      <ns0:c r="AQ289" s="74" t="inlineStr">
        <ns0:is>
          <ns0:t>Faro</ns0:t>
        </ns0:is>
      </ns0:c>
      <ns0:c r="AR289" s="74" t="inlineStr">
        <ns0:is>
          <ns0:t>https://libertas.pt/portfolio/</ns0:t>
        </ns0:is>
      </ns0:c>
    </ns0:row>
    <ns0:row r="290">
      <ns0:c r="A290" s="71" t="s">
        <ns0:v>236</ns0:v>
      </ns0:c>
      <ns0:c r="B290" s="71" t="s">
        <ns0:v>299</ns0:v>
      </ns0:c>
      <ns0:c r="C290" s="71">
        <ns0:v>3</ns0:v>
      </ns0:c>
      <ns0:c r="D290" s="71" t="s">
        <ns0:v>31</ns0:v>
      </ns0:c>
      <ns0:c r="E290" s="74">
        <ns0:v>2</ns0:v>
      </ns0:c>
      <ns0:c r="F290" s="72">
        <ns0:v>86.17</ns0:v>
      </ns0:c>
      <ns0:c r="G290" s="72">
        <ns0:v>23.07</ns0:v>
      </ns0:c>
      <ns0:c r="H290" s="72">
        <ns0:v>112.14</ns0:v>
      </ns0:c>
      <ns0:c r="I290" s="73">
        <ns0:v>478000</ns0:v>
      </ns0:c>
      <ns0:c r="J290" s="71">
        <ns0:v>2026</ns0:v>
      </ns0:c>
      <ns0:c r="K290" s="73">
        <ns0:f t="shared" si="43"/>
        <ns0:v>5547.1741905535564</ns0:v>
      </ns0:c>
      <ns0:c r="L290" s="73">
        <ns0:f t="shared" si="44"/>
        <ns0:v>4262.5289816301056</ns0:v>
      </ns0:c>
      <ns0:c r="M290" s="74" t="str">
        <ns0:f t="shared" ref="M290:M306" si="47">IF(A290="The View","Projeto",IF(J290&gt;=2026,"Ativo",IF(J290=2025,"Rever","Histórico")))</ns0:f>
        <ns0:v>Ativo</ns0:v>
      </ns0:c>
      <ns0:c r="N290" s="74"/>
      <ns0:c r="O290" s="74"/>
      <ns0:c r="P290" s="77"/>
      <ns0:c r="Q290" s="74" t="s">
        <ns0:v>238</ns0:v>
      </ns0:c>
      <ns0:c r="R290" s="74"/>
      <ns0:c r="S290" s="74"/>
      <ns0:c r="T290" s="74"/>
      <ns0:c r="U290" s="74"/>
      <ns0:c r="V290" s="74"/>
      <ns0:c r="W290" s="76">
        <ns0:f t="shared" si="45"/>
        <ns0:v>1</ns0:v>
      </ns0:c>
      <ns0:c r="X290" s="74" t="str">
        <ns0:f t="shared" si="46"/>
        <ns0:v>A · Premium ativo</ns0:v>
      </ns0:c>
      <ns0:c r="Y290" s="74"/>
      <ns0:c r="Z290" s="74"/>
      <ns0:c r="AA290" s="74"/>
      <ns0:c r="AB290" s="74"/>
      <ns0:c r="AQ290" s="74" t="inlineStr">
        <ns0:is>
          <ns0:t>Faro</ns0:t>
        </ns0:is>
      </ns0:c>
      <ns0:c r="AR290" s="74" t="inlineStr">
        <ns0:is>
          <ns0:t>https://libertas.pt/portfolio/</ns0:t>
        </ns0:is>
      </ns0:c>
    </ns0:row>
    <ns0:row r="291">
      <ns0:c r="A291" s="71" t="s">
        <ns0:v>236</ns0:v>
      </ns0:c>
      <ns0:c r="B291" s="71" t="s">
        <ns0:v>300</ns0:v>
      </ns0:c>
      <ns0:c r="C291" s="71">
        <ns0:v>4</ns0:v>
      </ns0:c>
      <ns0:c r="D291" s="71" t="s">
        <ns0:v>64</ns0:v>
      </ns0:c>
      <ns0:c r="E291" s="74">
        <ns0:v>2</ns0:v>
      </ns0:c>
      <ns0:c r="F291" s="72">
        <ns0:v>106.12</ns0:v>
      </ns0:c>
      <ns0:c r="G291" s="72">
        <ns0:v>29.99</ns0:v>
      </ns0:c>
      <ns0:c r="H291" s="72">
        <ns0:v>140.11000000000001</ns0:v>
      </ns0:c>
      <ns0:c r="I291" s="73">
        <ns0:v>573000</ns0:v>
      </ns0:c>
      <ns0:c r="J291" s="71">
        <ns0:v>2026</ns0:v>
      </ns0:c>
      <ns0:c r="K291" s="73">
        <ns0:f t="shared" si="43"/>
        <ns0:v>5399.5476818695815</ns0:v>
      </ns0:c>
      <ns0:c r="L291" s="73">
        <ns0:f t="shared" si="44"/>
        <ns0:v>4089.6438512597242</ns0:v>
      </ns0:c>
      <ns0:c r="M291" s="74" t="str">
        <ns0:f t="shared" si="47"/>
        <ns0:v>Ativo</ns0:v>
      </ns0:c>
      <ns0:c r="N291" s="74"/>
      <ns0:c r="O291" s="74"/>
      <ns0:c r="P291" s="77"/>
      <ns0:c r="Q291" s="74" t="s">
        <ns0:v>238</ns0:v>
      </ns0:c>
      <ns0:c r="R291" s="74"/>
      <ns0:c r="S291" s="74"/>
      <ns0:c r="T291" s="74"/>
      <ns0:c r="U291" s="74"/>
      <ns0:c r="V291" s="74"/>
      <ns0:c r="W291" s="76">
        <ns0:f t="shared" si="45"/>
        <ns0:v>1</ns0:v>
      </ns0:c>
      <ns0:c r="X291" s="74" t="str">
        <ns0:f t="shared" si="46"/>
        <ns0:v>A · Premium ativo</ns0:v>
      </ns0:c>
      <ns0:c r="Y291" s="74"/>
      <ns0:c r="Z291" s="74"/>
      <ns0:c r="AA291" s="74"/>
      <ns0:c r="AB291" s="74"/>
      <ns0:c r="AQ291" s="74" t="inlineStr">
        <ns0:is>
          <ns0:t>Faro</ns0:t>
        </ns0:is>
      </ns0:c>
      <ns0:c r="AR291" s="74" t="inlineStr">
        <ns0:is>
          <ns0:t>https://libertas.pt/portfolio/</ns0:t>
        </ns0:is>
      </ns0:c>
    </ns0:row>
    <ns0:row r="292">
      <ns0:c r="A292" s="71" t="s">
        <ns0:v>236</ns0:v>
      </ns0:c>
      <ns0:c r="B292" s="71" t="s">
        <ns0:v>301</ns0:v>
      </ns0:c>
      <ns0:c r="C292" s="71">
        <ns0:v>4</ns0:v>
      </ns0:c>
      <ns0:c r="D292" s="71" t="s">
        <ns0:v>31</ns0:v>
      </ns0:c>
      <ns0:c r="E292" s="74">
        <ns0:v>2</ns0:v>
      </ns0:c>
      <ns0:c r="F292" s="72">
        <ns0:v>86.17</ns0:v>
      </ns0:c>
      <ns0:c r="G292" s="72">
        <ns0:v>23.04</ns0:v>
      </ns0:c>
      <ns0:c r="H292" s="72">
        <ns0:v>111.71</ns0:v>
      </ns0:c>
      <ns0:c r="I292" s="73">
        <ns0:v>488000</ns0:v>
      </ns0:c>
      <ns0:c r="J292" s="71">
        <ns0:v>2026</ns0:v>
      </ns0:c>
      <ns0:c r="K292" s="73">
        <ns0:f t="shared" si="43"/>
        <ns0:v>5663.2238598119993</ns0:v>
      </ns0:c>
      <ns0:c r="L292" s="73">
        <ns0:f t="shared" si="44"/>
        <ns0:v>4368.4540327634058</ns0:v>
      </ns0:c>
      <ns0:c r="M292" s="74" t="str">
        <ns0:f t="shared" si="47"/>
        <ns0:v>Ativo</ns0:v>
      </ns0:c>
      <ns0:c r="N292" s="74"/>
      <ns0:c r="O292" s="74"/>
      <ns0:c r="P292" s="77"/>
      <ns0:c r="Q292" s="74" t="s">
        <ns0:v>238</ns0:v>
      </ns0:c>
      <ns0:c r="R292" s="74"/>
      <ns0:c r="S292" s="74"/>
      <ns0:c r="T292" s="74"/>
      <ns0:c r="U292" s="74"/>
      <ns0:c r="V292" s="74"/>
      <ns0:c r="W292" s="76">
        <ns0:f t="shared" si="45"/>
        <ns0:v>1</ns0:v>
      </ns0:c>
      <ns0:c r="X292" s="74" t="str">
        <ns0:f t="shared" si="46"/>
        <ns0:v>A · Premium ativo</ns0:v>
      </ns0:c>
      <ns0:c r="Y292" s="74"/>
      <ns0:c r="Z292" s="74"/>
      <ns0:c r="AA292" s="74"/>
      <ns0:c r="AB292" s="74"/>
      <ns0:c r="AQ292" s="74" t="inlineStr">
        <ns0:is>
          <ns0:t>Faro</ns0:t>
        </ns0:is>
      </ns0:c>
      <ns0:c r="AR292" s="74" t="inlineStr">
        <ns0:is>
          <ns0:t>https://libertas.pt/portfolio/</ns0:t>
        </ns0:is>
      </ns0:c>
    </ns0:row>
    <ns0:row r="293">
      <ns0:c r="A293" s="71" t="s">
        <ns0:v>236</ns0:v>
      </ns0:c>
      <ns0:c r="B293" s="71" t="s">
        <ns0:v>302</ns0:v>
      </ns0:c>
      <ns0:c r="C293" s="71">
        <ns0:v>5</ns0:v>
      </ns0:c>
      <ns0:c r="D293" s="71" t="s">
        <ns0:v>64</ns0:v>
      </ns0:c>
      <ns0:c r="E293" s="74">
        <ns0:v>2</ns0:v>
      </ns0:c>
      <ns0:c r="F293" s="72">
        <ns0:v>106.12</ns0:v>
      </ns0:c>
      <ns0:c r="G293" s="72">
        <ns0:v>82.28</ns0:v>
      </ns0:c>
      <ns0:c r="H293" s="72">
        <ns0:v>231.3</ns0:v>
      </ns0:c>
      <ns0:c r="I293" s="73">
        <ns0:v>737000</ns0:v>
      </ns0:c>
      <ns0:c r="J293" s="71">
        <ns0:v>2026</ns0:v>
      </ns0:c>
      <ns0:c r="K293" s="73">
        <ns0:f t="shared" si="43"/>
        <ns0:v>6944.9679607990947</ns0:v>
      </ns0:c>
      <ns0:c r="L293" s="73">
        <ns0:f t="shared" si="44"/>
        <ns0:v>3186.3380890618241</ns0:v>
      </ns0:c>
      <ns0:c r="M293" s="74" t="str">
        <ns0:f t="shared" si="47"/>
        <ns0:v>Ativo</ns0:v>
      </ns0:c>
      <ns0:c r="N293" s="74"/>
      <ns0:c r="O293" s="74"/>
      <ns0:c r="P293" s="77"/>
      <ns0:c r="Q293" s="74" t="s">
        <ns0:v>238</ns0:v>
      </ns0:c>
      <ns0:c r="R293" s="74"/>
      <ns0:c r="S293" s="74"/>
      <ns0:c r="T293" s="74"/>
      <ns0:c r="U293" s="74"/>
      <ns0:c r="V293" s="74"/>
      <ns0:c r="W293" s="76">
        <ns0:f t="shared" si="45"/>
        <ns0:v>1</ns0:v>
      </ns0:c>
      <ns0:c r="X293" s="74" t="str">
        <ns0:f t="shared" si="46"/>
        <ns0:v>A · Premium ativo</ns0:v>
      </ns0:c>
      <ns0:c r="Y293" s="74"/>
      <ns0:c r="Z293" s="74"/>
      <ns0:c r="AA293" s="74"/>
      <ns0:c r="AB293" s="74"/>
      <ns0:c r="AQ293" s="74" t="inlineStr">
        <ns0:is>
          <ns0:t>Faro</ns0:t>
        </ns0:is>
      </ns0:c>
      <ns0:c r="AR293" s="74" t="inlineStr">
        <ns0:is>
          <ns0:t>https://libertas.pt/portfolio/</ns0:t>
        </ns0:is>
      </ns0:c>
    </ns0:row>
    <ns0:row r="294">
      <ns0:c r="A294" s="71" t="s">
        <ns0:v>236</ns0:v>
      </ns0:c>
      <ns0:c r="B294" s="71" t="s">
        <ns0:v>303</ns0:v>
      </ns0:c>
      <ns0:c r="C294" s="71">
        <ns0:v>5</ns0:v>
      </ns0:c>
      <ns0:c r="D294" s="71" t="s">
        <ns0:v>31</ns0:v>
      </ns0:c>
      <ns0:c r="E294" s="74">
        <ns0:v>2</ns0:v>
      </ns0:c>
      <ns0:c r="F294" s="72">
        <ns0:v>86.17</ns0:v>
      </ns0:c>
      <ns0:c r="G294" s="72">
        <ns0:v>76.77000000000001</ns0:v>
      </ns0:c>
      <ns0:c r="H294" s="72">
        <ns0:v>165.84</ns0:v>
      </ns0:c>
      <ns0:c r="I294" s="73">
        <ns0:v>652000</ns0:v>
      </ns0:c>
      <ns0:c r="J294" s="71">
        <ns0:v>2026</ns0:v>
      </ns0:c>
      <ns0:c r="K294" s="73" t="n">
        <ns0:f t="shared" ref="K294:K306" si="48">IFERROR(I294/F294,"")</ns0:f>
        <ns0:v>7566.438435650458</ns0:v>
      </ns0:c>
      <ns0:c r="L294" s="73" t="n">
        <ns0:f t="shared" ref="L294:L306" si="49">IFERROR(I294/H294,"")</ns0:f>
        <ns0:v>3931.5002411963337</ns0:v>
      </ns0:c>
      <ns0:c r="M294" s="74" t="str">
        <ns0:f t="shared" si="47"/>
        <ns0:v>Ativo</ns0:v>
      </ns0:c>
      <ns0:c r="N294" s="74"/>
      <ns0:c r="O294" s="74"/>
      <ns0:c r="P294" s="77"/>
      <ns0:c r="Q294" s="74" t="s">
        <ns0:v>238</ns0:v>
      </ns0:c>
      <ns0:c r="R294" s="74"/>
      <ns0:c r="S294" s="74"/>
      <ns0:c r="T294" s="74"/>
      <ns0:c r="U294" s="74"/>
      <ns0:c r="V294" s="74"/>
      <ns0:c r="W294" s="76">
        <ns0:f t="shared" si="45"/>
        <ns0:v>1</ns0:v>
      </ns0:c>
      <ns0:c r="X294" s="74" t="str">
        <ns0:f t="shared" si="46"/>
        <ns0:v>A · Premium ativo</ns0:v>
      </ns0:c>
      <ns0:c r="Y294" s="74"/>
      <ns0:c r="Z294" s="74"/>
      <ns0:c r="AA294" s="74"/>
      <ns0:c r="AB294" s="74"/>
      <ns0:c r="AQ294" s="74" t="inlineStr">
        <ns0:is>
          <ns0:t>Faro</ns0:t>
        </ns0:is>
      </ns0:c>
      <ns0:c r="AR294" s="74" t="inlineStr">
        <ns0:is>
          <ns0:t>https://libertas.pt/portfolio/</ns0:t>
        </ns0:is>
      </ns0:c>
    </ns0:row>
    <ns0:row r="295">
      <ns0:c r="A295" s="71" t="s">
        <ns0:v>236</ns0:v>
      </ns0:c>
      <ns0:c r="B295" s="71" t="s">
        <ns0:v>304</ns0:v>
      </ns0:c>
      <ns0:c r="C295" s="71">
        <ns0:v>0</ns0:v>
      </ns0:c>
      <ns0:c r="D295" s="71" t="s">
        <ns0:v>42</ns0:v>
      </ns0:c>
      <ns0:c r="E295" s="74">
        <ns0:v>2</ns0:v>
      </ns0:c>
      <ns0:c r="F295" s="72">
        <ns0:v>67.05</ns0:v>
      </ns0:c>
      <ns0:c r="G295" s="72">
        <ns0:v>14.71</ns0:v>
      </ns0:c>
      <ns0:c r="H295" s="72">
        <ns0:v>84.16</ns0:v>
      </ns0:c>
      <ns0:c r="I295" s="73">
        <ns0:v>334000</ns0:v>
      </ns0:c>
      <ns0:c r="J295" s="71">
        <ns0:v>2026</ns0:v>
      </ns0:c>
      <ns0:c r="K295" s="73">
        <ns0:f t="shared" si="48"/>
        <ns0:v>4981.357196122297</ns0:v>
      </ns0:c>
      <ns0:c r="L295" s="73">
        <ns0:f t="shared" si="49"/>
        <ns0:v>3968.6311787072245</ns0:v>
      </ns0:c>
      <ns0:c r="M295" s="74" t="str">
        <ns0:f t="shared" si="47"/>
        <ns0:v>Ativo</ns0:v>
      </ns0:c>
      <ns0:c r="N295" s="74"/>
      <ns0:c r="O295" s="74"/>
      <ns0:c r="P295" s="77"/>
      <ns0:c r="Q295" s="74" t="s">
        <ns0:v>238</ns0:v>
      </ns0:c>
      <ns0:c r="R295" s="74"/>
      <ns0:c r="S295" s="74"/>
      <ns0:c r="T295" s="74"/>
      <ns0:c r="U295" s="74"/>
      <ns0:c r="V295" s="74"/>
      <ns0:c r="W295" s="76">
        <ns0:f t="shared" si="45"/>
        <ns0:v>1</ns0:v>
      </ns0:c>
      <ns0:c r="X295" s="74" t="str">
        <ns0:f t="shared" si="46"/>
        <ns0:v>A · Premium ativo</ns0:v>
      </ns0:c>
      <ns0:c r="Y295" s="74"/>
      <ns0:c r="Z295" s="74"/>
      <ns0:c r="AA295" s="74"/>
      <ns0:c r="AB295" s="74"/>
      <ns0:c r="AQ295" s="74" t="inlineStr">
        <ns0:is>
          <ns0:t>Faro</ns0:t>
        </ns0:is>
      </ns0:c>
      <ns0:c r="AR295" s="74" t="inlineStr">
        <ns0:is>
          <ns0:t>https://libertas.pt/portfolio/</ns0:t>
        </ns0:is>
      </ns0:c>
    </ns0:row>
    <ns0:row r="296">
      <ns0:c r="A296" s="71" t="s">
        <ns0:v>236</ns0:v>
      </ns0:c>
      <ns0:c r="B296" s="71" t="s">
        <ns0:v>305</ns0:v>
      </ns0:c>
      <ns0:c r="C296" s="71">
        <ns0:v>0</ns0:v>
      </ns0:c>
      <ns0:c r="D296" s="71" t="s">
        <ns0:v>252</ns0:v>
      </ns0:c>
      <ns0:c r="E296" s="74">
        <ns0:v>2</ns0:v>
      </ns0:c>
      <ns0:c r="F296" s="72">
        <ns0:v>132.1</ns0:v>
      </ns0:c>
      <ns0:c r="G296" s="72">
        <ns0:v>39.53</ns0:v>
      </ns0:c>
      <ns0:c r="H296" s="72">
        <ns0:v>175.63</ns0:v>
      </ns0:c>
      <ns0:c r="I296" s="73">
        <ns0:v>581000</ns0:v>
      </ns0:c>
      <ns0:c r="J296" s="71">
        <ns0:v>2026</ns0:v>
      </ns0:c>
      <ns0:c r="K296" s="73">
        <ns0:f t="shared" si="48"/>
        <ns0:v>4398.1831945495842</ns0:v>
      </ns0:c>
      <ns0:c r="L296" s="73">
        <ns0:f t="shared" si="49"/>
        <ns0:v>3308.0908728577124</ns0:v>
      </ns0:c>
      <ns0:c r="M296" s="74" t="str">
        <ns0:f t="shared" si="47"/>
        <ns0:v>Ativo</ns0:v>
      </ns0:c>
      <ns0:c r="N296" s="74"/>
      <ns0:c r="O296" s="74"/>
      <ns0:c r="P296" s="77"/>
      <ns0:c r="Q296" s="74" t="s">
        <ns0:v>238</ns0:v>
      </ns0:c>
      <ns0:c r="R296" s="74"/>
      <ns0:c r="S296" s="74"/>
      <ns0:c r="T296" s="74"/>
      <ns0:c r="U296" s="74"/>
      <ns0:c r="V296" s="74"/>
      <ns0:c r="W296" s="76">
        <ns0:f t="shared" si="45"/>
        <ns0:v>1</ns0:v>
      </ns0:c>
      <ns0:c r="X296" s="74" t="str">
        <ns0:f t="shared" si="46"/>
        <ns0:v>A · Premium ativo</ns0:v>
      </ns0:c>
      <ns0:c r="Y296" s="74"/>
      <ns0:c r="Z296" s="74"/>
      <ns0:c r="AA296" s="74"/>
      <ns0:c r="AB296" s="74"/>
      <ns0:c r="AQ296" s="74" t="inlineStr">
        <ns0:is>
          <ns0:t>Faro</ns0:t>
        </ns0:is>
      </ns0:c>
      <ns0:c r="AR296" s="74" t="inlineStr">
        <ns0:is>
          <ns0:t>https://libertas.pt/portfolio/</ns0:t>
        </ns0:is>
      </ns0:c>
    </ns0:row>
    <ns0:row r="297">
      <ns0:c r="A297" s="71" t="s">
        <ns0:v>236</ns0:v>
      </ns0:c>
      <ns0:c r="B297" s="71" t="s">
        <ns0:v>306</ns0:v>
      </ns0:c>
      <ns0:c r="C297" s="71">
        <ns0:v>1</ns0:v>
      </ns0:c>
      <ns0:c r="D297" s="71" t="s">
        <ns0:v>31</ns0:v>
      </ns0:c>
      <ns0:c r="E297" s="74">
        <ns0:v>2</ns0:v>
      </ns0:c>
      <ns0:c r="F297" s="72">
        <ns0:v>86.17</ns0:v>
      </ns0:c>
      <ns0:c r="G297" s="72">
        <ns0:v>23.54</ns0:v>
      </ns0:c>
      <ns0:c r="H297" s="72">
        <ns0:v>112.21</ns0:v>
      </ns0:c>
      <ns0:c r="I297" s="73">
        <ns0:v>454000</ns0:v>
      </ns0:c>
      <ns0:c r="J297" s="71">
        <ns0:v>2026</ns0:v>
      </ns0:c>
      <ns0:c r="K297" s="73">
        <ns0:f t="shared" si="48"/>
        <ns0:v>5268.6549843332941</ns0:v>
      </ns0:c>
      <ns0:c r="L297" s="73">
        <ns0:f t="shared" si="49"/>
        <ns0:v>4045.9852063095982</ns0:v>
      </ns0:c>
      <ns0:c r="M297" s="74" t="str">
        <ns0:f t="shared" si="47"/>
        <ns0:v>Ativo</ns0:v>
      </ns0:c>
      <ns0:c r="N297" s="74"/>
      <ns0:c r="O297" s="74"/>
      <ns0:c r="P297" s="77"/>
      <ns0:c r="Q297" s="74" t="s">
        <ns0:v>238</ns0:v>
      </ns0:c>
      <ns0:c r="R297" s="74"/>
      <ns0:c r="S297" s="74"/>
      <ns0:c r="T297" s="74"/>
      <ns0:c r="U297" s="74"/>
      <ns0:c r="V297" s="74"/>
      <ns0:c r="W297" s="76">
        <ns0:f t="shared" si="45"/>
        <ns0:v>1</ns0:v>
      </ns0:c>
      <ns0:c r="X297" s="74" t="str">
        <ns0:f t="shared" si="46"/>
        <ns0:v>A · Premium ativo</ns0:v>
      </ns0:c>
      <ns0:c r="Y297" s="74"/>
      <ns0:c r="Z297" s="74"/>
      <ns0:c r="AA297" s="74"/>
      <ns0:c r="AB297" s="74"/>
      <ns0:c r="AQ297" s="74" t="inlineStr">
        <ns0:is>
          <ns0:t>Faro</ns0:t>
        </ns0:is>
      </ns0:c>
      <ns0:c r="AR297" s="74" t="inlineStr">
        <ns0:is>
          <ns0:t>https://libertas.pt/portfolio/</ns0:t>
        </ns0:is>
      </ns0:c>
    </ns0:row>
    <ns0:row r="298">
      <ns0:c r="A298" s="71" t="s">
        <ns0:v>236</ns0:v>
      </ns0:c>
      <ns0:c r="B298" s="71" t="s">
        <ns0:v>307</ns0:v>
      </ns0:c>
      <ns0:c r="C298" s="71">
        <ns0:v>1</ns0:v>
      </ns0:c>
      <ns0:c r="D298" s="71" t="s">
        <ns0:v>252</ns0:v>
      </ns0:c>
      <ns0:c r="E298" s="74">
        <ns0:v>2</ns0:v>
      </ns0:c>
      <ns0:c r="F298" s="72">
        <ns0:v>132.1</ns0:v>
      </ns0:c>
      <ns0:c r="G298" s="72">
        <ns0:v>39.229999999999997</ns0:v>
      </ns0:c>
      <ns0:c r="H298" s="72">
        <ns0:v>174.33</ns0:v>
      </ns0:c>
      <ns0:c r="I298" s="73">
        <ns0:v>610000</ns0:v>
      </ns0:c>
      <ns0:c r="J298" s="71">
        <ns0:v>2026</ns0:v>
      </ns0:c>
      <ns0:c r="K298" s="73">
        <ns0:f t="shared" si="48"/>
        <ns0:v>4617.7138531415594</ns0:v>
      </ns0:c>
      <ns0:c r="L298" s="73">
        <ns0:f t="shared" si="49"/>
        <ns0:v>3499.1108816612168</ns0:v>
      </ns0:c>
      <ns0:c r="M298" s="74" t="str">
        <ns0:f t="shared" si="47"/>
        <ns0:v>Ativo</ns0:v>
      </ns0:c>
      <ns0:c r="N298" s="74"/>
      <ns0:c r="O298" s="74"/>
      <ns0:c r="P298" s="77"/>
      <ns0:c r="Q298" s="74" t="s">
        <ns0:v>238</ns0:v>
      </ns0:c>
      <ns0:c r="R298" s="74"/>
      <ns0:c r="S298" s="74"/>
      <ns0:c r="T298" s="74"/>
      <ns0:c r="U298" s="74"/>
      <ns0:c r="V298" s="74"/>
      <ns0:c r="W298" s="76">
        <ns0:f t="shared" si="45"/>
        <ns0:v>1</ns0:v>
      </ns0:c>
      <ns0:c r="X298" s="74" t="str">
        <ns0:f t="shared" si="46"/>
        <ns0:v>A · Premium ativo</ns0:v>
      </ns0:c>
      <ns0:c r="Y298" s="74"/>
      <ns0:c r="Z298" s="74"/>
      <ns0:c r="AA298" s="74"/>
      <ns0:c r="AB298" s="74"/>
      <ns0:c r="AQ298" s="74" t="inlineStr">
        <ns0:is>
          <ns0:t>Faro</ns0:t>
        </ns0:is>
      </ns0:c>
      <ns0:c r="AR298" s="74" t="inlineStr">
        <ns0:is>
          <ns0:t>https://libertas.pt/portfolio/</ns0:t>
        </ns0:is>
      </ns0:c>
    </ns0:row>
    <ns0:row r="299">
      <ns0:c r="A299" s="71" t="s">
        <ns0:v>236</ns0:v>
      </ns0:c>
      <ns0:c r="B299" s="71" t="s">
        <ns0:v>308</ns0:v>
      </ns0:c>
      <ns0:c r="C299" s="71">
        <ns0:v>2</ns0:v>
      </ns0:c>
      <ns0:c r="D299" s="71" t="s">
        <ns0:v>31</ns0:v>
      </ns0:c>
      <ns0:c r="E299" s="74">
        <ns0:v>2</ns0:v>
      </ns0:c>
      <ns0:c r="F299" s="72">
        <ns0:v>86.17</ns0:v>
      </ns0:c>
      <ns0:c r="G299" s="72">
        <ns0:v>23.17</ns0:v>
      </ns0:c>
      <ns0:c r="H299" s="72">
        <ns0:v>111.24</ns0:v>
      </ns0:c>
      <ns0:c r="I299" s="73">
        <ns0:v>465000</ns0:v>
      </ns0:c>
      <ns0:c r="J299" s="71">
        <ns0:v>2026</ns0:v>
      </ns0:c>
      <ns0:c r="K299" s="73">
        <ns0:f t="shared" si="48"/>
        <ns0:v>5396.3096205175816</ns0:v>
      </ns0:c>
      <ns0:c r="L299" s="73">
        <ns0:f t="shared" si="49"/>
        <ns0:v>4180.151024811219</ns0:v>
      </ns0:c>
      <ns0:c r="M299" s="74" t="str">
        <ns0:f t="shared" si="47"/>
        <ns0:v>Ativo</ns0:v>
      </ns0:c>
      <ns0:c r="N299" s="74"/>
      <ns0:c r="O299" s="74"/>
      <ns0:c r="P299" s="77"/>
      <ns0:c r="Q299" s="74" t="s">
        <ns0:v>238</ns0:v>
      </ns0:c>
      <ns0:c r="R299" s="74"/>
      <ns0:c r="S299" s="74"/>
      <ns0:c r="T299" s="74"/>
      <ns0:c r="U299" s="74"/>
      <ns0:c r="V299" s="74"/>
      <ns0:c r="W299" s="76">
        <ns0:f t="shared" si="45"/>
        <ns0:v>1</ns0:v>
      </ns0:c>
      <ns0:c r="X299" s="74" t="str">
        <ns0:f t="shared" si="46"/>
        <ns0:v>A · Premium ativo</ns0:v>
      </ns0:c>
      <ns0:c r="Y299" s="74"/>
      <ns0:c r="Z299" s="74"/>
      <ns0:c r="AA299" s="74"/>
      <ns0:c r="AB299" s="74"/>
      <ns0:c r="AQ299" s="74" t="inlineStr">
        <ns0:is>
          <ns0:t>Faro</ns0:t>
        </ns0:is>
      </ns0:c>
      <ns0:c r="AR299" s="74" t="inlineStr">
        <ns0:is>
          <ns0:t>https://libertas.pt/portfolio/</ns0:t>
        </ns0:is>
      </ns0:c>
    </ns0:row>
    <ns0:row r="300">
      <ns0:c r="A300" s="71" t="s">
        <ns0:v>236</ns0:v>
      </ns0:c>
      <ns0:c r="B300" s="71" t="s">
        <ns0:v>309</ns0:v>
      </ns0:c>
      <ns0:c r="C300" s="71">
        <ns0:v>2</ns0:v>
      </ns0:c>
      <ns0:c r="D300" s="71" t="s">
        <ns0:v>252</ns0:v>
      </ns0:c>
      <ns0:c r="E300" s="74">
        <ns0:v>2</ns0:v>
      </ns0:c>
      <ns0:c r="F300" s="72">
        <ns0:v>132.1</ns0:v>
      </ns0:c>
      <ns0:c r="G300" s="72">
        <ns0:v>39.75</ns0:v>
      </ns0:c>
      <ns0:c r="H300" s="72">
        <ns0:v>170.55</ns0:v>
      </ns0:c>
      <ns0:c r="I300" s="73">
        <ns0:v>626000</ns0:v>
      </ns0:c>
      <ns0:c r="J300" s="71">
        <ns0:v>2026</ns0:v>
      </ns0:c>
      <ns0:c r="K300" s="73">
        <ns0:f t="shared" si="48"/>
        <ns0:v>4738.8342165026497</ns0:v>
      </ns0:c>
      <ns0:c r="L300" s="73">
        <ns0:f t="shared" si="49"/>
        <ns0:v>3670.4778657285251</ns0:v>
      </ns0:c>
      <ns0:c r="M300" s="74" t="str">
        <ns0:f t="shared" si="47"/>
        <ns0:v>Ativo</ns0:v>
      </ns0:c>
      <ns0:c r="N300" s="74"/>
      <ns0:c r="O300" s="74"/>
      <ns0:c r="P300" s="77"/>
      <ns0:c r="Q300" s="74" t="s">
        <ns0:v>238</ns0:v>
      </ns0:c>
      <ns0:c r="R300" s="74"/>
      <ns0:c r="S300" s="74"/>
      <ns0:c r="T300" s="74"/>
      <ns0:c r="U300" s="74"/>
      <ns0:c r="V300" s="74"/>
      <ns0:c r="W300" s="76">
        <ns0:f t="shared" si="45"/>
        <ns0:v>1</ns0:v>
      </ns0:c>
      <ns0:c r="X300" s="74" t="str">
        <ns0:f t="shared" si="46"/>
        <ns0:v>A · Premium ativo</ns0:v>
      </ns0:c>
      <ns0:c r="Y300" s="74"/>
      <ns0:c r="Z300" s="74"/>
      <ns0:c r="AA300" s="74"/>
      <ns0:c r="AB300" s="74"/>
      <ns0:c r="AQ300" s="74" t="inlineStr">
        <ns0:is>
          <ns0:t>Faro</ns0:t>
        </ns0:is>
      </ns0:c>
      <ns0:c r="AR300" s="74" t="inlineStr">
        <ns0:is>
          <ns0:t>https://libertas.pt/portfolio/</ns0:t>
        </ns0:is>
      </ns0:c>
    </ns0:row>
    <ns0:row r="301">
      <ns0:c r="A301" s="71" t="s">
        <ns0:v>236</ns0:v>
      </ns0:c>
      <ns0:c r="B301" s="71" t="s">
        <ns0:v>310</ns0:v>
      </ns0:c>
      <ns0:c r="C301" s="71">
        <ns0:v>3</ns0:v>
      </ns0:c>
      <ns0:c r="D301" s="71" t="s">
        <ns0:v>31</ns0:v>
      </ns0:c>
      <ns0:c r="E301" s="74">
        <ns0:v>2</ns0:v>
      </ns0:c>
      <ns0:c r="F301" s="72">
        <ns0:v>86.17</ns0:v>
      </ns0:c>
      <ns0:c r="G301" s="72">
        <ns0:v>23.54</ns0:v>
      </ns0:c>
      <ns0:c r="H301" s="72">
        <ns0:v>113.01</ns0:v>
      </ns0:c>
      <ns0:c r="I301" s="73">
        <ns0:v>475000</ns0:v>
      </ns0:c>
      <ns0:c r="J301" s="71">
        <ns0:v>2026</ns0:v>
      </ns0:c>
      <ns0:c r="K301" s="73">
        <ns0:f t="shared" si="48"/>
        <ns0:v>5512.3592897760236</ns0:v>
      </ns0:c>
      <ns0:c r="L301" s="73">
        <ns0:f t="shared" si="49"/>
        <ns0:v>4203.1678612512169</ns0:v>
      </ns0:c>
      <ns0:c r="M301" s="74" t="str">
        <ns0:f t="shared" si="47"/>
        <ns0:v>Ativo</ns0:v>
      </ns0:c>
      <ns0:c r="N301" s="74"/>
      <ns0:c r="O301" s="74"/>
      <ns0:c r="P301" s="77"/>
      <ns0:c r="Q301" s="74" t="s">
        <ns0:v>238</ns0:v>
      </ns0:c>
      <ns0:c r="R301" s="74"/>
      <ns0:c r="S301" s="74"/>
      <ns0:c r="T301" s="74"/>
      <ns0:c r="U301" s="74"/>
      <ns0:c r="V301" s="74"/>
      <ns0:c r="W301" s="76">
        <ns0:f t="shared" si="45"/>
        <ns0:v>1</ns0:v>
      </ns0:c>
      <ns0:c r="X301" s="74" t="str">
        <ns0:f t="shared" si="46"/>
        <ns0:v>A · Premium ativo</ns0:v>
      </ns0:c>
      <ns0:c r="Y301" s="74"/>
      <ns0:c r="Z301" s="74"/>
      <ns0:c r="AA301" s="74"/>
      <ns0:c r="AB301" s="74"/>
      <ns0:c r="AQ301" s="74" t="inlineStr">
        <ns0:is>
          <ns0:t>Faro</ns0:t>
        </ns0:is>
      </ns0:c>
      <ns0:c r="AR301" s="74" t="inlineStr">
        <ns0:is>
          <ns0:t>https://libertas.pt/portfolio/</ns0:t>
        </ns0:is>
      </ns0:c>
    </ns0:row>
    <ns0:row r="302">
      <ns0:c r="A302" s="71" t="s">
        <ns0:v>236</ns0:v>
      </ns0:c>
      <ns0:c r="B302" s="71" t="s">
        <ns0:v>311</ns0:v>
      </ns0:c>
      <ns0:c r="C302" s="71">
        <ns0:v>3</ns0:v>
      </ns0:c>
      <ns0:c r="D302" s="71" t="s">
        <ns0:v>252</ns0:v>
      </ns0:c>
      <ns0:c r="E302" s="74">
        <ns0:v>2</ns0:v>
      </ns0:c>
      <ns0:c r="F302" s="72">
        <ns0:v>132.1</ns0:v>
      </ns0:c>
      <ns0:c r="G302" s="72">
        <ns0:v>39.229999999999997</ns0:v>
      </ns0:c>
      <ns0:c r="H302" s="72">
        <ns0:v>176.43</ns0:v>
      </ns0:c>
      <ns0:c r="I302" s="73">
        <ns0:v>642000</ns0:v>
      </ns0:c>
      <ns0:c r="J302" s="71">
        <ns0:v>2026</ns0:v>
      </ns0:c>
      <ns0:c r="K302" s="73">
        <ns0:f t="shared" si="48"/>
        <ns0:v>4859.95457986374</ns0:v>
      </ns0:c>
      <ns0:c r="L302" s="73">
        <ns0:f t="shared" si="49"/>
        <ns0:v>3638.8369324944738</ns0:v>
      </ns0:c>
      <ns0:c r="M302" s="74" t="str">
        <ns0:f t="shared" si="47"/>
        <ns0:v>Ativo</ns0:v>
      </ns0:c>
      <ns0:c r="N302" s="74"/>
      <ns0:c r="O302" s="74"/>
      <ns0:c r="P302" s="77"/>
      <ns0:c r="Q302" s="74" t="s">
        <ns0:v>238</ns0:v>
      </ns0:c>
      <ns0:c r="R302" s="74"/>
      <ns0:c r="S302" s="74"/>
      <ns0:c r="T302" s="74"/>
      <ns0:c r="U302" s="74"/>
      <ns0:c r="V302" s="74"/>
      <ns0:c r="W302" s="76" t="n">
        <ns0:f t="shared" ref="W302:W306" si="50">IF(A302="The View",1,MAX(0.25,MIN(1,IF(J302&gt;=2026,1,IF(J302=2025,0.8,IF(J302=2024,0.45,0.3)))*IF(Q302="Premium waterfront/marina",1,IF(Q302="Benchmark local",0.7,0.6))*IF(M302="Vendido",0.65,IF(M302="Reservado",0.8,IF(M302="Histórico",0.55,1))))))</ns0:f>
        <ns0:v>1</ns0:v>
      </ns0:c>
      <ns0:c r="X302" s="74" t="str">
        <ns0:f t="shared" ref="X302:X306" si="51">IF(A302="The View","Projeto",IF(W302&gt;=0.85,"A · Premium ativo",IF(W302&gt;=0.55,"B · Benchmark local","C · Histórico/secundário")))</ns0:f>
        <ns0:v>A · Premium ativo</ns0:v>
      </ns0:c>
      <ns0:c r="Y302" s="74"/>
      <ns0:c r="Z302" s="74"/>
      <ns0:c r="AA302" s="74"/>
      <ns0:c r="AB302" s="74"/>
      <ns0:c r="AQ302" s="74" t="inlineStr">
        <ns0:is>
          <ns0:t>Faro</ns0:t>
        </ns0:is>
      </ns0:c>
      <ns0:c r="AR302" s="74" t="inlineStr">
        <ns0:is>
          <ns0:t>https://libertas.pt/portfolio/</ns0:t>
        </ns0:is>
      </ns0:c>
    </ns0:row>
    <ns0:row r="303">
      <ns0:c r="A303" s="71" t="s">
        <ns0:v>236</ns0:v>
      </ns0:c>
      <ns0:c r="B303" s="71" t="s">
        <ns0:v>312</ns0:v>
      </ns0:c>
      <ns0:c r="C303" s="71">
        <ns0:v>4</ns0:v>
      </ns0:c>
      <ns0:c r="D303" s="71" t="s">
        <ns0:v>31</ns0:v>
      </ns0:c>
      <ns0:c r="E303" s="74">
        <ns0:v>2</ns0:v>
      </ns0:c>
      <ns0:c r="F303" s="72">
        <ns0:v>86.17</ns0:v>
      </ns0:c>
      <ns0:c r="G303" s="72">
        <ns0:v>23.17</ns0:v>
      </ns0:c>
      <ns0:c r="H303" s="72">
        <ns0:v>113.24</ns0:v>
      </ns0:c>
      <ns0:c r="I303" s="73">
        <ns0:v>486000</ns0:v>
      </ns0:c>
      <ns0:c r="J303" s="71">
        <ns0:v>2026</ns0:v>
      </ns0:c>
      <ns0:c r="K303" s="73">
        <ns0:f t="shared" si="48"/>
        <ns0:v>5640.0139259603111</ns0:v>
      </ns0:c>
      <ns0:c r="L303" s="73">
        <ns0:f t="shared" si="49"/>
        <ns0:v>4291.7696926880963</ns0:v>
      </ns0:c>
      <ns0:c r="M303" s="74" t="str">
        <ns0:f t="shared" si="47"/>
        <ns0:v>Ativo</ns0:v>
      </ns0:c>
      <ns0:c r="N303" s="74"/>
      <ns0:c r="O303" s="74"/>
      <ns0:c r="P303" s="77"/>
      <ns0:c r="Q303" s="74" t="s">
        <ns0:v>238</ns0:v>
      </ns0:c>
      <ns0:c r="R303" s="74"/>
      <ns0:c r="S303" s="74"/>
      <ns0:c r="T303" s="74"/>
      <ns0:c r="U303" s="74"/>
      <ns0:c r="V303" s="74"/>
      <ns0:c r="W303" s="76">
        <ns0:f t="shared" si="50"/>
        <ns0:v>1</ns0:v>
      </ns0:c>
      <ns0:c r="X303" s="74" t="str">
        <ns0:f t="shared" si="51"/>
        <ns0:v>A · Premium ativo</ns0:v>
      </ns0:c>
      <ns0:c r="Y303" s="74"/>
      <ns0:c r="Z303" s="74"/>
      <ns0:c r="AA303" s="74"/>
      <ns0:c r="AB303" s="74"/>
      <ns0:c r="AQ303" s="74" t="inlineStr">
        <ns0:is>
          <ns0:t>Faro</ns0:t>
        </ns0:is>
      </ns0:c>
      <ns0:c r="AR303" s="74" t="inlineStr">
        <ns0:is>
          <ns0:t>https://libertas.pt/portfolio/</ns0:t>
        </ns0:is>
      </ns0:c>
    </ns0:row>
    <ns0:row r="304">
      <ns0:c r="A304" s="71" t="s">
        <ns0:v>236</ns0:v>
      </ns0:c>
      <ns0:c r="B304" s="71" t="s">
        <ns0:v>313</ns0:v>
      </ns0:c>
      <ns0:c r="C304" s="71">
        <ns0:v>4</ns0:v>
      </ns0:c>
      <ns0:c r="D304" s="71" t="s">
        <ns0:v>252</ns0:v>
      </ns0:c>
      <ns0:c r="E304" s="74">
        <ns0:v>2</ns0:v>
      </ns0:c>
      <ns0:c r="F304" s="72">
        <ns0:v>132.1</ns0:v>
      </ns0:c>
      <ns0:c r="G304" s="72">
        <ns0:v>39.75</ns0:v>
      </ns0:c>
      <ns0:c r="H304" s="72">
        <ns0:v>214.76</ns0:v>
      </ns0:c>
      <ns0:c r="I304" s="73">
        <ns0:v>674000</ns0:v>
      </ns0:c>
      <ns0:c r="J304" s="71">
        <ns0:v>2026</ns0:v>
      </ns0:c>
      <ns0:c r="K304" s="73">
        <ns0:f t="shared" si="48"/>
        <ns0:v>5102.1953065859198</ns0:v>
      </ns0:c>
      <ns0:c r="L304" s="73">
        <ns0:f t="shared" si="49"/>
        <ns0:v>3138.3870366921215</ns0:v>
      </ns0:c>
      <ns0:c r="M304" s="74" t="str">
        <ns0:f t="shared" si="47"/>
        <ns0:v>Ativo</ns0:v>
      </ns0:c>
      <ns0:c r="N304" s="74"/>
      <ns0:c r="O304" s="74"/>
      <ns0:c r="P304" s="77"/>
      <ns0:c r="Q304" s="74" t="s">
        <ns0:v>238</ns0:v>
      </ns0:c>
      <ns0:c r="R304" s="74"/>
      <ns0:c r="S304" s="74"/>
      <ns0:c r="T304" s="74"/>
      <ns0:c r="U304" s="74"/>
      <ns0:c r="V304" s="74"/>
      <ns0:c r="W304" s="76">
        <ns0:f t="shared" si="50"/>
        <ns0:v>1</ns0:v>
      </ns0:c>
      <ns0:c r="X304" s="74" t="str">
        <ns0:f t="shared" si="51"/>
        <ns0:v>A · Premium ativo</ns0:v>
      </ns0:c>
      <ns0:c r="Y304" s="74"/>
      <ns0:c r="Z304" s="74"/>
      <ns0:c r="AA304" s="74"/>
      <ns0:c r="AB304" s="74"/>
      <ns0:c r="AQ304" s="74" t="inlineStr">
        <ns0:is>
          <ns0:t>Faro</ns0:t>
        </ns0:is>
      </ns0:c>
      <ns0:c r="AR304" s="74" t="inlineStr">
        <ns0:is>
          <ns0:t>https://libertas.pt/portfolio/</ns0:t>
        </ns0:is>
      </ns0:c>
    </ns0:row>
    <ns0:row r="305">
      <ns0:c r="A305" s="71" t="s">
        <ns0:v>236</ns0:v>
      </ns0:c>
      <ns0:c r="B305" s="71" t="s">
        <ns0:v>314</ns0:v>
      </ns0:c>
      <ns0:c r="C305" s="71">
        <ns0:v>5</ns0:v>
      </ns0:c>
      <ns0:c r="D305" s="71" t="s">
        <ns0:v>31</ns0:v>
      </ns0:c>
      <ns0:c r="E305" s="74">
        <ns0:v>2</ns0:v>
      </ns0:c>
      <ns0:c r="F305" s="72">
        <ns0:v>86.17</ns0:v>
      </ns0:c>
      <ns0:c r="G305" s="72">
        <ns0:v>73.87</ns0:v>
      </ns0:c>
      <ns0:c r="H305" s="72">
        <ns0:v>163.94</ns0:v>
      </ns0:c>
      <ns0:c r="I305" s="73">
        <ns0:v>652000</ns0:v>
      </ns0:c>
      <ns0:c r="J305" s="71">
        <ns0:v>2026</ns0:v>
      </ns0:c>
      <ns0:c r="K305" s="73">
        <ns0:f t="shared" si="48"/>
        <ns0:v>7566.4384356504579</ns0:v>
      </ns0:c>
      <ns0:c r="L305" s="73">
        <ns0:f t="shared" si="49"/>
        <ns0:v>3977.0647797974871</ns0:v>
      </ns0:c>
      <ns0:c r="M305" s="74" t="str">
        <ns0:f t="shared" si="47"/>
        <ns0:v>Ativo</ns0:v>
      </ns0:c>
      <ns0:c r="N305" s="74"/>
      <ns0:c r="O305" s="74"/>
      <ns0:c r="P305" s="77"/>
      <ns0:c r="Q305" s="74" t="s">
        <ns0:v>238</ns0:v>
      </ns0:c>
      <ns0:c r="R305" s="74"/>
      <ns0:c r="S305" s="74"/>
      <ns0:c r="T305" s="74"/>
      <ns0:c r="U305" s="74"/>
      <ns0:c r="V305" s="74"/>
      <ns0:c r="W305" s="76">
        <ns0:f t="shared" si="50"/>
        <ns0:v>1</ns0:v>
      </ns0:c>
      <ns0:c r="X305" s="74" t="str">
        <ns0:f t="shared" si="51"/>
        <ns0:v>A · Premium ativo</ns0:v>
      </ns0:c>
      <ns0:c r="Y305" s="74"/>
      <ns0:c r="Z305" s="74"/>
      <ns0:c r="AA305" s="74"/>
      <ns0:c r="AB305" s="74"/>
      <ns0:c r="AQ305" s="74" t="inlineStr">
        <ns0:is>
          <ns0:t>Faro</ns0:t>
        </ns0:is>
      </ns0:c>
      <ns0:c r="AR305" s="74" t="inlineStr">
        <ns0:is>
          <ns0:t>https://libertas.pt/portfolio/</ns0:t>
        </ns0:is>
      </ns0:c>
    </ns0:row>
    <ns0:row r="306">
      <ns0:c r="A306" s="71" t="s">
        <ns0:v>236</ns0:v>
      </ns0:c>
      <ns0:c r="B306" s="71" t="s">
        <ns0:v>315</ns0:v>
      </ns0:c>
      <ns0:c r="C306" s="71">
        <ns0:v>5</ns0:v>
      </ns0:c>
      <ns0:c r="D306" s="71" t="s">
        <ns0:v>252</ns0:v>
      </ns0:c>
      <ns0:c r="E306" s="74">
        <ns0:v>2</ns0:v>
      </ns0:c>
      <ns0:c r="F306" s="72">
        <ns0:v>132.1</ns0:v>
      </ns0:c>
      <ns0:c r="G306" s="72">
        <ns0:v>39.229999999999997</ns0:v>
      </ns0:c>
      <ns0:c r="H306" s="72">
        <ns0:v>171.32999999999998</ns0:v>
      </ns0:c>
      <ns0:c r="I306" s="73">
        <ns0:v>844000</ns0:v>
      </ns0:c>
      <ns0:c r="J306" s="71">
        <ns0:v>2026</ns0:v>
      </ns0:c>
      <ns0:c r="K306" s="73">
        <ns0:f t="shared" si="48"/>
        <ns0:v>6389.0991672975024</ns0:v>
      </ns0:c>
      <ns0:c r="L306" s="73">
        <ns0:f t="shared" si="49"/>
        <ns0:v>4926.1658787135939</ns0:v>
      </ns0:c>
      <ns0:c r="M306" s="74" t="str">
        <ns0:f t="shared" si="47"/>
        <ns0:v>Ativo</ns0:v>
      </ns0:c>
      <ns0:c r="N306" s="74"/>
      <ns0:c r="O306" s="74"/>
      <ns0:c r="P306" s="77"/>
      <ns0:c r="Q306" s="74" t="s">
        <ns0:v>238</ns0:v>
      </ns0:c>
      <ns0:c r="R306" s="74"/>
      <ns0:c r="S306" s="74"/>
      <ns0:c r="T306" s="74"/>
      <ns0:c r="U306" s="74"/>
      <ns0:c r="V306" s="74"/>
      <ns0:c r="W306" s="76">
        <ns0:f t="shared" si="50"/>
        <ns0:v>1</ns0:v>
      </ns0:c>
      <ns0:c r="X306" s="74" t="str">
        <ns0:f t="shared" si="51"/>
        <ns0:v>A · Premium ativo</ns0:v>
      </ns0:c>
      <ns0:c r="Y306" s="74"/>
      <ns0:c r="Z306" s="74"/>
      <ns0:c r="AA306" s="74"/>
      <ns0:c r="AB306" s="74"/>
      <ns0:c r="AQ306" s="74" t="inlineStr">
        <ns0:is>
          <ns0:t>Faro</ns0:t>
        </ns0:is>
      </ns0:c>
      <ns0:c r="AR306" s="74" t="inlineStr">
        <ns0:is>
          <ns0:t>https://libertas.pt/portfolio/</ns0:t>
        </ns0:is>
      </ns0:c>
    </ns0:row>
    <ns0:row r="307">
      <ns0:c r="A307" s="71" t="str">
        <ns0:v>Prestige V</ns0:v>
      </ns0:c>
      <ns0:c r="B307" s="71" t="str">
        <ns0:v>LIST-PV-01</ns0:v>
      </ns0:c>
      <ns0:c r="C307" s="71" t="n">
        <ns0:v>1</ns0:v>
      </ns0:c>
      <ns0:c r="D307" s="71" t="str">
        <ns0:v>T2</ns0:v>
      </ns0:c>
      <ns0:c r="E307" s="74"/>
      <ns0:c r="F307" s="72" t="n">
        <ns0:v>93.95</ns0:v>
      </ns0:c>
      <ns0:c r="G307" s="72" t="n">
        <ns0:v>51</ns0:v>
      </ns0:c>
      <ns0:c r="H307" s="72" t="n">
        <ns0:v>144.95</ns0:v>
      </ns0:c>
      <ns0:c r="I307" s="78" t="n">
        <ns0:v>605850</ns0:v>
      </ns0:c>
      <ns0:c r="J307" s="71" t="n">
        <ns0:v>2026</ns0:v>
      </ns0:c>
      <ns0:c r="K307" s="78" t="n">
        <ns0:v>6448.642895156998</ns0:v>
      </ns0:c>
      <ns0:c r="L307" s="78" t="n">
        <ns0:v>4179.717143842705</ns0:v>
      </ns0:c>
      <ns0:c r="M307" s="74" t="str">
        <ns0:v>Ativo</ns0:v>
      </ns0:c>
      <ns0:c r="N307" s="74" t="str">
        <ns0:v>CasaCerta / Idealista</ns0:v>
      </ns0:c>
      <ns0:c r="O307" s="74" t="str">
        <ns0:v>https://casacerta.pt/imovel/1274739/apartamento-t2-para-venda-em-moncarapacho-e-fuseta</ns0:v>
      </ns0:c>
      <ns0:c r="P307" s="75" t="n">
        <ns0:v>46295</ns0:v>
      </ns0:c>
      <ns0:c r="Q307" s="74" t="str">
        <ns0:v>Premium Ria/lifestyle</ns0:v>
      </ns0:c>
      <ns0:c r="R307" s="74" t="str">
        <ns0:v>Nova construção</ns0:v>
      </ns0:c>
      <ns0:c r="S307" s="74" t="n">
        <ns0:v>2027</ns0:v>
      </ns0:c>
      <ns0:c r="T307" s="74" t="str">
        <ns0:v>Sim</ns0:v>
      </ns0:c>
      <ns0:c r="U307" s="74" t="str">
        <ns0:v>Sim</ns0:v>
      </ns0:c>
      <ns0:c r="V307" s="74"/>
      <ns0:c r="W307" s="79" t="n">
        <ns0:v>0.85</ns0:v>
      </ns0:c>
      <ns0:c r="X307" s="74" t="str">
        <ns0:v>A · Benchmark estratégico</ns0:v>
      </ns0:c>
      <ns0:c r="Y307" s="74" t="str">
        <ns0:v>Alta</ns0:v>
      </ns0:c>
      <ns0:c r="Z307" s="74" t="str">
        <ns0:v>Área interior 93,95 m² + varanda 18 m² + terraço 33 m²; o portal também publica área bruta de 148 m².</ns0:v>
      </ns0:c>
      <ns0:c r="AA307" s="74" t="str">
        <ns0:v>Manter ativo; rever disponibilidade e preços trimestralmente.</ns0:v>
      </ns0:c>
      <ns0:c r="AB307" s="74" t="str">
        <ns0:v>Média</ns0:v>
      </ns0:c>
      <ns0:c r="AI307" t="n">
        <ns0:v>4</ns0:v>
      </ns0:c>
    </ns0:row>
    <ns0:row r="308">
      <ns0:c r="A308" s="71" t="str">
        <ns0:v>Prestige V</ns0:v>
      </ns0:c>
      <ns0:c r="B308" s="71" t="str">
        <ns0:v>LIST-PV-02</ns0:v>
      </ns0:c>
      <ns0:c r="C308" s="71" t="n">
        <ns0:v>1</ns0:v>
      </ns0:c>
      <ns0:c r="D308" s="71" t="str">
        <ns0:v>T2</ns0:v>
      </ns0:c>
      <ns0:c r="E308" s="74"/>
      <ns0:c r="F308" s="72" t="n">
        <ns0:v>94</ns0:v>
      </ns0:c>
      <ns0:c r="G308" s="72" t="n">
        <ns0:v>59</ns0:v>
      </ns0:c>
      <ns0:c r="H308" s="72" t="n">
        <ns0:v>153</ns0:v>
      </ns0:c>
      <ns0:c r="I308" s="78" t="n">
        <ns0:v>616875</ns0:v>
      </ns0:c>
      <ns0:c r="J308" s="71" t="n">
        <ns0:v>2026</ns0:v>
      </ns0:c>
      <ns0:c r="K308" s="78" t="n">
        <ns0:v>6562.5</ns0:v>
      </ns0:c>
      <ns0:c r="L308" s="78" t="n">
        <ns0:v>4031.8627450980393</ns0:v>
      </ns0:c>
      <ns0:c r="M308" s="74" t="str">
        <ns0:v>Ativo</ns0:v>
      </ns0:c>
      <ns0:c r="N308" s="74" t="str">
        <ns0:v>Idealista</ns0:v>
      </ns0:c>
      <ns0:c r="O308" s="74" t="str">
        <ns0:v>https://www.idealista.pt/imovel/35323578/</ns0:v>
      </ns0:c>
      <ns0:c r="P308" s="75" t="n">
        <ns0:v>46295</ns0:v>
      </ns0:c>
      <ns0:c r="Q308" s="74" t="str">
        <ns0:v>Premium Ria/lifestyle</ns0:v>
      </ns0:c>
      <ns0:c r="R308" s="74" t="str">
        <ns0:v>Nova construção</ns0:v>
      </ns0:c>
      <ns0:c r="S308" s="74" t="n">
        <ns0:v>2027</ns0:v>
      </ns0:c>
      <ns0:c r="T308" s="74" t="str">
        <ns0:v>Sim</ns0:v>
      </ns0:c>
      <ns0:c r="U308" s="74" t="str">
        <ns0:v>Sim</ns0:v>
      </ns0:c>
      <ns0:c r="V308" s="74"/>
      <ns0:c r="W308" s="79" t="n">
        <ns0:v>0.85</ns0:v>
      </ns0:c>
      <ns0:c r="X308" s="74" t="str">
        <ns0:v>A · Benchmark estratégico</ns0:v>
      </ns0:c>
      <ns0:c r="Y308" s="74" t="str">
        <ns0:v>Alta</ns0:v>
      </ns0:c>
      <ns0:c r="Z308" s="74" t="str">
        <ns0:v>Área interior ~94 m² + varanda 18 m² + terraço 41 m²; área bruta publicada 156 m².</ns0:v>
      </ns0:c>
      <ns0:c r="AA308" s="74" t="str">
        <ns0:v>Manter ativo; rever disponibilidade e preços trimestralmente.</ns0:v>
      </ns0:c>
      <ns0:c r="AB308" s="74" t="str">
        <ns0:v>Média</ns0:v>
      </ns0:c>
      <ns0:c r="AI308" t="n">
        <ns0:v>4</ns0:v>
      </ns0:c>
    </ns0:row>
    <ns0:row r="309">
      <ns0:c r="A309" s="71" t="str">
        <ns0:v>Prestige V</ns0:v>
      </ns0:c>
      <ns0:c r="B309" s="71" t="str">
        <ns0:v>LIST-PV-03</ns0:v>
      </ns0:c>
      <ns0:c r="C309" s="71" t="n">
        <ns0:v>1</ns0:v>
      </ns0:c>
      <ns0:c r="D309" s="71" t="str">
        <ns0:v>T2</ns0:v>
      </ns0:c>
      <ns0:c r="E309" s="74"/>
      <ns0:c r="F309" s="72" t="n">
        <ns0:v>94</ns0:v>
      </ns0:c>
      <ns0:c r="G309" s="72" t="n">
        <ns0:v>51</ns0:v>
      </ns0:c>
      <ns0:c r="H309" s="72" t="n">
        <ns0:v>145</ns0:v>
      </ns0:c>
      <ns0:c r="I309" s="78" t="n">
        <ns0:v>634700</ns0:v>
      </ns0:c>
      <ns0:c r="J309" s="71" t="n">
        <ns0:v>2026</ns0:v>
      </ns0:c>
      <ns0:c r="K309" s="78" t="n">
        <ns0:v>6752.127659574468</ns0:v>
      </ns0:c>
      <ns0:c r="L309" s="78" t="n">
        <ns0:v>4377.241379310345</ns0:v>
      </ns0:c>
      <ns0:c r="M309" s="74" t="str">
        <ns0:v>Ativo</ns0:v>
      </ns0:c>
      <ns0:c r="N309" s="74" t="str">
        <ns0:v>OLX / Imovirtual</ns0:v>
      </ns0:c>
      <ns0:c r="O309" s="74" t="str">
        <ns0:v>https://www.olx.pt/d/anuncio/apartamento-t2-com-varanda-e-terrao-em-novo-empreendimento-em-olho-IDJ8x4y.html</ns0:v>
      </ns0:c>
      <ns0:c r="P309" s="75" t="n">
        <ns0:v>46295</ns0:v>
      </ns0:c>
      <ns0:c r="Q309" s="74" t="str">
        <ns0:v>Premium Ria/lifestyle</ns0:v>
      </ns0:c>
      <ns0:c r="R309" s="74" t="str">
        <ns0:v>Nova construção</ns0:v>
      </ns0:c>
      <ns0:c r="S309" s="74" t="n">
        <ns0:v>2027</ns0:v>
      </ns0:c>
      <ns0:c r="T309" s="74" t="str">
        <ns0:v>Sim</ns0:v>
      </ns0:c>
      <ns0:c r="U309" s="74" t="str">
        <ns0:v>Sim</ns0:v>
      </ns0:c>
      <ns0:c r="V309" s="74"/>
      <ns0:c r="W309" s="79" t="n">
        <ns0:v>0.85</ns0:v>
      </ns0:c>
      <ns0:c r="X309" s="74" t="str">
        <ns0:v>A · Benchmark estratégico</ns0:v>
      </ns0:c>
      <ns0:c r="Y309" s="74" t="str">
        <ns0:v>Alta</ns0:v>
      </ns0:c>
      <ns0:c r="Z309" s="74" t="str">
        <ns0:v>Área interior ~94 m² + varanda 18 m² + terraço 33 m²; benchmark ativo Prestige V.</ns0:v>
      </ns0:c>
      <ns0:c r="AA309" s="74" t="str">
        <ns0:v>Manter ativo; rever disponibilidade e preços trimestralmente.</ns0:v>
      </ns0:c>
      <ns0:c r="AB309" s="74" t="str">
        <ns0:v>Média</ns0:v>
      </ns0:c>
      <ns0:c r="AI309" t="n">
        <ns0:v>4</ns0:v>
      </ns0:c>
    </ns0:row>
    <ns0:row r="310">
      <ns0:c r="A310" s="71" t="str">
        <ns0:v>Prestige V</ns0:v>
      </ns0:c>
      <ns0:c r="B310" s="71" t="str">
        <ns0:v>LIST-PV-04</ns0:v>
      </ns0:c>
      <ns0:c r="C310" s="71" t="n">
        <ns0:v>1</ns0:v>
      </ns0:c>
      <ns0:c r="D310" s="71" t="str">
        <ns0:v>T2</ns0:v>
      </ns0:c>
      <ns0:c r="E310" s="74"/>
      <ns0:c r="F310" s="72" t="n">
        <ns0:v>94</ns0:v>
      </ns0:c>
      <ns0:c r="G310" s="72" t="n">
        <ns0:v>59</ns0:v>
      </ns0:c>
      <ns0:c r="H310" s="72" t="n">
        <ns0:v>153</ns0:v>
      </ns0:c>
      <ns0:c r="I310" s="78" t="n">
        <ns0:v>646250</ns0:v>
      </ns0:c>
      <ns0:c r="J310" s="71" t="n">
        <ns0:v>2026</ns0:v>
      </ns0:c>
      <ns0:c r="K310" s="78" t="n">
        <ns0:v>6875</ns0:v>
      </ns0:c>
      <ns0:c r="L310" s="78" t="n">
        <ns0:v>4223.856209150327</ns0:v>
      </ns0:c>
      <ns0:c r="M310" s="74" t="str">
        <ns0:v>Ativo</ns0:v>
      </ns0:c>
      <ns0:c r="N310" s="74" t="str">
        <ns0:v>Idealista</ns0:v>
      </ns0:c>
      <ns0:c r="O310" s="74" t="str">
        <ns0:v>https://www.idealista.pt/imovel/35323575/</ns0:v>
      </ns0:c>
      <ns0:c r="P310" s="75" t="n">
        <ns0:v>46295</ns0:v>
      </ns0:c>
      <ns0:c r="Q310" s="74" t="str">
        <ns0:v>Premium Ria/lifestyle</ns0:v>
      </ns0:c>
      <ns0:c r="R310" s="74" t="str">
        <ns0:v>Nova construção</ns0:v>
      </ns0:c>
      <ns0:c r="S310" s="74" t="n">
        <ns0:v>2027</ns0:v>
      </ns0:c>
      <ns0:c r="T310" s="74" t="str">
        <ns0:v>Sim</ns0:v>
      </ns0:c>
      <ns0:c r="U310" s="74" t="str">
        <ns0:v>Sim</ns0:v>
      </ns0:c>
      <ns0:c r="V310" s="74"/>
      <ns0:c r="W310" s="79" t="n">
        <ns0:v>0.85</ns0:v>
      </ns0:c>
      <ns0:c r="X310" s="74" t="str">
        <ns0:v>A · Benchmark estratégico</ns0:v>
      </ns0:c>
      <ns0:c r="Y310" s="74" t="str">
        <ns0:v>Alta</ns0:v>
      </ns0:c>
      <ns0:c r="Z310" s="74" t="str">
        <ns0:v>Área interior ~94 m² + varanda 18 m² + terraço 41 m²; benchmark ativo Prestige V.</ns0:v>
      </ns0:c>
      <ns0:c r="AA310" s="74" t="str">
        <ns0:v>Manter ativo; rever disponibilidade e preços trimestralmente.</ns0:v>
      </ns0:c>
      <ns0:c r="AB310" s="74" t="str">
        <ns0:v>Média</ns0:v>
      </ns0:c>
      <ns0:c r="AI310" t="n">
        <ns0:v>4</ns0:v>
      </ns0:c>
    </ns0:row>
    <ns0:row r="311">
      <ns0:c r="A311" s="71" t="str">
        <ns0:v>Prestige V</ns0:v>
      </ns0:c>
      <ns0:c r="B311" s="71" t="str">
        <ns0:v>LIST-PV-05</ns0:v>
      </ns0:c>
      <ns0:c r="C311" s="71" t="n">
        <ns0:v>1</ns0:v>
      </ns0:c>
      <ns0:c r="D311" s="71" t="str">
        <ns0:v>T2</ns0:v>
      </ns0:c>
      <ns0:c r="E311" s="74"/>
      <ns0:c r="F311" s="72" t="n">
        <ns0:v>97</ns0:v>
      </ns0:c>
      <ns0:c r="G311" s="72" t="n">
        <ns0:v>61</ns0:v>
      </ns0:c>
      <ns0:c r="H311" s="72" t="n">
        <ns0:v>158</ns0:v>
      </ns0:c>
      <ns0:c r="I311" s="78" t="n">
        <ns0:v>660000</ns0:v>
      </ns0:c>
      <ns0:c r="J311" s="71" t="n">
        <ns0:v>2026</ns0:v>
      </ns0:c>
      <ns0:c r="K311" s="78" t="n">
        <ns0:v>6804.123711340206</ns0:v>
      </ns0:c>
      <ns0:c r="L311" s="78" t="n">
        <ns0:v>4177.215189873417</ns0:v>
      </ns0:c>
      <ns0:c r="M311" s="74" t="str">
        <ns0:v>Ativo</ns0:v>
      </ns0:c>
      <ns0:c r="N311" s="74" t="str">
        <ns0:v>CasaCerta</ns0:v>
      </ns0:c>
      <ns0:c r="O311" s="74" t="str">
        <ns0:v>https://casacerta.pt/imovel/1148306/apartamento-t2-para-venda-em-moncarapacho-e-fuseta</ns0:v>
      </ns0:c>
      <ns0:c r="P311" s="75" t="n">
        <ns0:v>46295</ns0:v>
      </ns0:c>
      <ns0:c r="Q311" s="74" t="str">
        <ns0:v>Premium Ria/lifestyle</ns0:v>
      </ns0:c>
      <ns0:c r="R311" s="74" t="str">
        <ns0:v>Nova construção</ns0:v>
      </ns0:c>
      <ns0:c r="S311" s="74" t="n">
        <ns0:v>2027</ns0:v>
      </ns0:c>
      <ns0:c r="T311" s="74" t="str">
        <ns0:v>Sim</ns0:v>
      </ns0:c>
      <ns0:c r="U311" s="74" t="str">
        <ns0:v>Sim</ns0:v>
      </ns0:c>
      <ns0:c r="V311" s="74"/>
      <ns0:c r="W311" s="79" t="n">
        <ns0:v>0.85</ns0:v>
      </ns0:c>
      <ns0:c r="X311" s="74" t="str">
        <ns0:v>A · Benchmark estratégico</ns0:v>
      </ns0:c>
      <ns0:c r="Y311" s="74" t="str">
        <ns0:v>Alta</ns0:v>
      </ns0:c>
      <ns0:c r="Z311" s="74" t="str">
        <ns0:v>Área útil 97 m² + pátio 61 m²; área total de leitura 158 m².</ns0:v>
      </ns0:c>
      <ns0:c r="AA311" s="74" t="str">
        <ns0:v>Manter ativo; rever disponibilidade e preços trimestralmente.</ns0:v>
      </ns0:c>
      <ns0:c r="AB311" s="74" t="str">
        <ns0:v>Média</ns0:v>
      </ns0:c>
      <ns0:c r="AI311" t="n">
        <ns0:v>4</ns0:v>
      </ns0:c>
    </ns0:row>
    <ns0:row r="312">
      <ns0:c r="A312" s="71" t="str">
        <ns0:v>Prestige V</ns0:v>
      </ns0:c>
      <ns0:c r="B312" s="71" t="str">
        <ns0:v>LIST-PV-06</ns0:v>
      </ns0:c>
      <ns0:c r="C312" s="71" t="n">
        <ns0:v>1</ns0:v>
      </ns0:c>
      <ns0:c r="D312" s="71" t="str">
        <ns0:v>T3</ns0:v>
      </ns0:c>
      <ns0:c r="E312" s="74"/>
      <ns0:c r="F312" s="72" t="n">
        <ns0:v>115</ns0:v>
      </ns0:c>
      <ns0:c r="G312" s="72" t="n">
        <ns0:v>71</ns0:v>
      </ns0:c>
      <ns0:c r="H312" s="72" t="n">
        <ns0:v>186</ns0:v>
      </ns0:c>
      <ns0:c r="I312" s="78" t="n">
        <ns0:v>646275</ns0:v>
      </ns0:c>
      <ns0:c r="J312" s="71" t="n">
        <ns0:v>2026</ns0:v>
      </ns0:c>
      <ns0:c r="K312" s="78" t="n">
        <ns0:v>5619.782608695652</ns0:v>
      </ns0:c>
      <ns0:c r="L312" s="78" t="n">
        <ns0:v>3474.5967741935483</ns0:v>
      </ns0:c>
      <ns0:c r="M312" s="74" t="str">
        <ns0:v>Ativo</ns0:v>
      </ns0:c>
      <ns0:c r="N312" s="74" t="str">
        <ns0:v>Idealista / CasaCerta</ns0:v>
      </ns0:c>
      <ns0:c r="O312" s="74" t="str">
        <ns0:v>https://www.idealista.pt/imovel/35323574/</ns0:v>
      </ns0:c>
      <ns0:c r="P312" s="75" t="n">
        <ns0:v>46295</ns0:v>
      </ns0:c>
      <ns0:c r="Q312" s="74" t="str">
        <ns0:v>Premium Ria/lifestyle</ns0:v>
      </ns0:c>
      <ns0:c r="R312" s="74" t="str">
        <ns0:v>Nova construção</ns0:v>
      </ns0:c>
      <ns0:c r="S312" s="74" t="n">
        <ns0:v>2027</ns0:v>
      </ns0:c>
      <ns0:c r="T312" s="74" t="str">
        <ns0:v>Sim</ns0:v>
      </ns0:c>
      <ns0:c r="U312" s="74" t="str">
        <ns0:v>Sim</ns0:v>
      </ns0:c>
      <ns0:c r="V312" s="74"/>
      <ns0:c r="W312" s="79" t="n">
        <ns0:v>0.85</ns0:v>
      </ns0:c>
      <ns0:c r="X312" s="74" t="str">
        <ns0:v>A · Benchmark estratégico</ns0:v>
      </ns0:c>
      <ns0:c r="Y312" s="74" t="str">
        <ns0:v>Alta</ns0:v>
      </ns0:c>
      <ns0:c r="Z312" s="74" t="str">
        <ns0:v>Área interior ~115 m² + varanda 18 m² + terraço 53 m²; área bruta publicada ~189 m².</ns0:v>
      </ns0:c>
      <ns0:c r="AA312" s="74" t="str">
        <ns0:v>Manter ativo; rever disponibilidade e preços trimestralmente.</ns0:v>
      </ns0:c>
      <ns0:c r="AB312" s="74" t="str">
        <ns0:v>Média</ns0:v>
      </ns0:c>
      <ns0:c r="AI312" t="n">
        <ns0:v>4</ns0:v>
      </ns0:c>
    </ns0:row>
    <ns0:row r="313">
      <ns0:c r="A313" s="71" t="str">
        <ns0:v>Prestige V</ns0:v>
      </ns0:c>
      <ns0:c r="B313" s="71" t="str">
        <ns0:v>LIST-PV-07</ns0:v>
      </ns0:c>
      <ns0:c r="C313" s="71" t="n">
        <ns0:v>1</ns0:v>
      </ns0:c>
      <ns0:c r="D313" s="71" t="str">
        <ns0:v>T3</ns0:v>
      </ns0:c>
      <ns0:c r="E313" s="74"/>
      <ns0:c r="F313" s="72" t="n">
        <ns0:v>115</ns0:v>
      </ns0:c>
      <ns0:c r="G313" s="72" t="n">
        <ns0:v>71</ns0:v>
      </ns0:c>
      <ns0:c r="H313" s="72" t="n">
        <ns0:v>186</ns0:v>
      </ns0:c>
      <ns0:c r="I313" s="78" t="n">
        <ns0:v>656250</ns0:v>
      </ns0:c>
      <ns0:c r="J313" s="71" t="n">
        <ns0:v>2026</ns0:v>
      </ns0:c>
      <ns0:c r="K313" s="78" t="n">
        <ns0:v>5706.521739130435</ns0:v>
      </ns0:c>
      <ns0:c r="L313" s="78" t="n">
        <ns0:v>3528.2258064516127</ns0:v>
      </ns0:c>
      <ns0:c r="M313" s="74" t="str">
        <ns0:v>Ativo</ns0:v>
      </ns0:c>
      <ns0:c r="N313" s="74" t="str">
        <ns0:v>Idealista</ns0:v>
      </ns0:c>
      <ns0:c r="O313" s="74" t="str">
        <ns0:v>https://www.idealista.pt/imovel/35323573/</ns0:v>
      </ns0:c>
      <ns0:c r="P313" s="75" t="n">
        <ns0:v>46295</ns0:v>
      </ns0:c>
      <ns0:c r="Q313" s="74" t="str">
        <ns0:v>Premium Ria/lifestyle</ns0:v>
      </ns0:c>
      <ns0:c r="R313" s="74" t="str">
        <ns0:v>Nova construção</ns0:v>
      </ns0:c>
      <ns0:c r="S313" s="74" t="n">
        <ns0:v>2027</ns0:v>
      </ns0:c>
      <ns0:c r="T313" s="74" t="str">
        <ns0:v>Sim</ns0:v>
      </ns0:c>
      <ns0:c r="U313" s="74" t="str">
        <ns0:v>Sim</ns0:v>
      </ns0:c>
      <ns0:c r="V313" s="74"/>
      <ns0:c r="W313" s="79" t="n">
        <ns0:v>0.85</ns0:v>
      </ns0:c>
      <ns0:c r="X313" s="74" t="str">
        <ns0:v>A · Benchmark estratégico</ns0:v>
      </ns0:c>
      <ns0:c r="Y313" s="74" t="str">
        <ns0:v>Alta</ns0:v>
      </ns0:c>
      <ns0:c r="Z313" s="74" t="str">
        <ns0:v>Área interior ~115 m² + varanda 18 m² + terraço 53 m²; área bruta publicada ~190 m².</ns0:v>
      </ns0:c>
      <ns0:c r="AA313" s="74" t="str">
        <ns0:v>Manter ativo; rever disponibilidade e preços trimestralmente.</ns0:v>
      </ns0:c>
      <ns0:c r="AB313" s="74" t="str">
        <ns0:v>Média</ns0:v>
      </ns0:c>
      <ns0:c r="AI313" t="n">
        <ns0:v>4</ns0:v>
      </ns0:c>
    </ns0:row>
    <ns0:row r="314">
      <ns0:c r="A314" s="71" t="str">
        <ns0:v>Prestige V</ns0:v>
      </ns0:c>
      <ns0:c r="B314" s="71" t="str">
        <ns0:v>LIST-PV-08</ns0:v>
      </ns0:c>
      <ns0:c r="C314" s="71" t="n">
        <ns0:v>1</ns0:v>
      </ns0:c>
      <ns0:c r="D314" s="71" t="str">
        <ns0:v>T3</ns0:v>
      </ns0:c>
      <ns0:c r="E314" s="74"/>
      <ns0:c r="F314" s="72" t="n">
        <ns0:v>115</ns0:v>
      </ns0:c>
      <ns0:c r="G314" s="72" t="n">
        <ns0:v>71</ns0:v>
      </ns0:c>
      <ns0:c r="H314" s="72" t="n">
        <ns0:v>186</ns0:v>
      </ns0:c>
      <ns0:c r="I314" s="78" t="n">
        <ns0:v>677050</ns0:v>
      </ns0:c>
      <ns0:c r="J314" s="71" t="n">
        <ns0:v>2026</ns0:v>
      </ns0:c>
      <ns0:c r="K314" s="78" t="n">
        <ns0:v>5887.391304347826</ns0:v>
      </ns0:c>
      <ns0:c r="L314" s="78" t="n">
        <ns0:v>3640.05376344086</ns0:v>
      </ns0:c>
      <ns0:c r="M314" s="74" t="str">
        <ns0:v>Ativo</ns0:v>
      </ns0:c>
      <ns0:c r="N314" s="74" t="str">
        <ns0:v>CasaCerta</ns0:v>
      </ns0:c>
      <ns0:c r="O314" s="74" t="str">
        <ns0:v>https://casacerta.pt/imovel/1148303/apartamento-t3-para-venda-em-moncarapacho-e-fuseta</ns0:v>
      </ns0:c>
      <ns0:c r="P314" s="75" t="n">
        <ns0:v>46295</ns0:v>
      </ns0:c>
      <ns0:c r="Q314" s="74" t="str">
        <ns0:v>Premium Ria/lifestyle</ns0:v>
      </ns0:c>
      <ns0:c r="R314" s="74" t="str">
        <ns0:v>Nova construção</ns0:v>
      </ns0:c>
      <ns0:c r="S314" s="74" t="n">
        <ns0:v>2027</ns0:v>
      </ns0:c>
      <ns0:c r="T314" s="74" t="str">
        <ns0:v>Sim</ns0:v>
      </ns0:c>
      <ns0:c r="U314" s="74" t="str">
        <ns0:v>Sim</ns0:v>
      </ns0:c>
      <ns0:c r="V314" s="74"/>
      <ns0:c r="W314" s="79" t="n">
        <ns0:v>0.85</ns0:v>
      </ns0:c>
      <ns0:c r="X314" s="74" t="str">
        <ns0:v>A · Benchmark estratégico</ns0:v>
      </ns0:c>
      <ns0:c r="Y314" s="74" t="str">
        <ns0:v>Alta</ns0:v>
      </ns0:c>
      <ns0:c r="Z314" s="74" t="str">
        <ns0:v>Área interior ~115 m² + varanda 18 m² + terraço 53 m²; benchmark ativo Prestige V.</ns0:v>
      </ns0:c>
      <ns0:c r="AA314" s="74" t="str">
        <ns0:v>Manter ativo; rever disponibilidade e preços trimestralmente.</ns0:v>
      </ns0:c>
      <ns0:c r="AB314" s="74" t="str">
        <ns0:v>Média</ns0:v>
      </ns0:c>
      <ns0:c r="AI314" t="n">
        <ns0:v>4</ns0:v>
      </ns0:c>
    </ns0:row>
    <ns0:row r="315">
      <ns0:c r="A315" s="71" t="str">
        <ns0:v>Plessis Luxury Residence</ns0:v>
      </ns0:c>
      <ns0:c r="B315" s="71" t="str">
        <ns0:v>LIST-PL-01</ns0:v>
      </ns0:c>
      <ns0:c r="C315" s="71" t="str">
        <ns0:v>R/C</ns0:v>
      </ns0:c>
      <ns0:c r="D315" s="71" t="str">
        <ns0:v>T2</ns0:v>
      </ns0:c>
      <ns0:c r="E315" s="74"/>
      <ns0:c r="F315" s="72"/>
      <ns0:c r="G315" s="72"/>
      <ns0:c r="H315" s="72" t="n">
        <ns0:v>109</ns0:v>
      </ns0:c>
      <ns0:c r="I315" s="78" t="n">
        <ns0:v>473000</ns0:v>
      </ns0:c>
      <ns0:c r="J315" s="71" t="n">
        <ns0:v>2026</ns0:v>
      </ns0:c>
      <ns0:c r="K315" s="78"/>
      <ns0:c r="L315" s="78" t="n">
        <ns0:v>4339.4495412844035</ns0:v>
      </ns0:c>
      <ns0:c r="M315" s="74" t="str">
        <ns0:v>Ativo</ns0:v>
      </ns0:c>
      <ns0:c r="N315" s="74" t="str">
        <ns0:v>Idealista</ns0:v>
      </ns0:c>
      <ns0:c r="O315" s="74" t="str">
        <ns0:v>https://www.idealista.pt/imovel/35110857/</ns0:v>
      </ns0:c>
      <ns0:c r="P315" s="75" t="n">
        <ns0:v>46295</ns0:v>
      </ns0:c>
      <ns0:c r="Q315" s="74" t="str">
        <ns0:v>Premium regional / lifestyle</ns0:v>
      </ns0:c>
      <ns0:c r="R315" s="74" t="str">
        <ns0:v>Nova construção</ns0:v>
      </ns0:c>
      <ns0:c r="S315" s="74" t="n">
        <ns0:v>2026</ns0:v>
      </ns0:c>
      <ns0:c r="T315" s="74" t="str">
        <ns0:v>Sim</ns0:v>
      </ns0:c>
      <ns0:c r="U315" s="74" t="str">
        <ns0:v>Sim</ns0:v>
      </ns0:c>
      <ns0:c r="V315" s="74"/>
      <ns0:c r="W315" s="79" t="n">
        <ns0:v>0.75</ns0:v>
      </ns0:c>
      <ns0:c r="X315" s="74" t="str">
        <ns0:v>B · Benchmark premium regional</ns0:v>
      </ns0:c>
      <ns0:c r="Y315" s="74" t="str">
        <ns0:v>Média</ns0:v>
      </ns0:c>
      <ns0:c r="Z315" s="74" t="str">
        <ns0:v>Área bruta publicada 109 m²; fonte não separa ABP e exterior. Ler €/m² como área bruta total.</ns0:v>
      </ns0:c>
      <ns0:c r="AA315" s="74" t="str">
        <ns0:v>Manter como benchmark estratégico; confirmar áreas interiores quando disponíveis.</ns0:v>
      </ns0:c>
      <ns0:c r="AB315" s="74" t="str">
        <ns0:v>Média</ns0:v>
      </ns0:c>
    </ns0:row>
    <ns0:row r="316">
      <ns0:c r="A316" s="71" t="str">
        <ns0:v>Plessis Luxury Residence</ns0:v>
      </ns0:c>
      <ns0:c r="B316" s="71" t="str">
        <ns0:v>LIST-PL-02</ns0:v>
      </ns0:c>
      <ns0:c r="C316" s="71" t="n">
        <ns0:v>1</ns0:v>
      </ns0:c>
      <ns0:c r="D316" s="71" t="str">
        <ns0:v>T3</ns0:v>
      </ns0:c>
      <ns0:c r="E316" s="74"/>
      <ns0:c r="F316" s="72"/>
      <ns0:c r="G316" s="72"/>
      <ns0:c r="H316" s="72" t="n">
        <ns0:v>139</ns0:v>
      </ns0:c>
      <ns0:c r="I316" s="78" t="n">
        <ns0:v>553000</ns0:v>
      </ns0:c>
      <ns0:c r="J316" s="71" t="n">
        <ns0:v>2026</ns0:v>
      </ns0:c>
      <ns0:c r="K316" s="78"/>
      <ns0:c r="L316" s="78" t="n">
        <ns0:v>3978.4172661870502</ns0:v>
      </ns0:c>
      <ns0:c r="M316" s="74" t="str">
        <ns0:v>Ativo</ns0:v>
      </ns0:c>
      <ns0:c r="N316" s="74" t="str">
        <ns0:v>Idealista</ns0:v>
      </ns0:c>
      <ns0:c r="O316" s="74" t="str">
        <ns0:v>https://www.idealista.pt/empreendimento/35108138/</ns0:v>
      </ns0:c>
      <ns0:c r="P316" s="75" t="n">
        <ns0:v>46295</ns0:v>
      </ns0:c>
      <ns0:c r="Q316" s="74" t="str">
        <ns0:v>Premium regional / lifestyle</ns0:v>
      </ns0:c>
      <ns0:c r="R316" s="74" t="str">
        <ns0:v>Nova construção</ns0:v>
      </ns0:c>
      <ns0:c r="S316" s="74" t="n">
        <ns0:v>2026</ns0:v>
      </ns0:c>
      <ns0:c r="T316" s="74" t="str">
        <ns0:v>Sim</ns0:v>
      </ns0:c>
      <ns0:c r="U316" s="74" t="str">
        <ns0:v>Sim</ns0:v>
      </ns0:c>
      <ns0:c r="V316" s="74"/>
      <ns0:c r="W316" s="79" t="n">
        <ns0:v>0.75</ns0:v>
      </ns0:c>
      <ns0:c r="X316" s="74" t="str">
        <ns0:v>B · Benchmark premium regional</ns0:v>
      </ns0:c>
      <ns0:c r="Y316" s="74" t="str">
        <ns0:v>Média</ns0:v>
      </ns0:c>
      <ns0:c r="Z316" s="74" t="str">
        <ns0:v>Área bruta publicada 139 m²; fonte não separa ABP e exterior.</ns0:v>
      </ns0:c>
      <ns0:c r="AA316" s="74" t="str">
        <ns0:v>Manter como benchmark estratégico; confirmar áreas interiores quando disponíveis.</ns0:v>
      </ns0:c>
      <ns0:c r="AB316" s="74" t="str">
        <ns0:v>Média</ns0:v>
      </ns0:c>
    </ns0:row>
    <ns0:row r="317">
      <ns0:c r="A317" s="71" t="str">
        <ns0:v>Plessis Luxury Residence</ns0:v>
      </ns0:c>
      <ns0:c r="B317" s="71" t="str">
        <ns0:v>LIST-PL-03</ns0:v>
      </ns0:c>
      <ns0:c r="C317" s="71" t="str">
        <ns0:v>R/C</ns0:v>
      </ns0:c>
      <ns0:c r="D317" s="71" t="str">
        <ns0:v>T3</ns0:v>
      </ns0:c>
      <ns0:c r="E317" s="74"/>
      <ns0:c r="F317" s="72"/>
      <ns0:c r="G317" s="72"/>
      <ns0:c r="H317" s="72" t="n">
        <ns0:v>131</ns0:v>
      </ns0:c>
      <ns0:c r="I317" s="78" t="n">
        <ns0:v>563000</ns0:v>
      </ns0:c>
      <ns0:c r="J317" s="71" t="n">
        <ns0:v>2026</ns0:v>
      </ns0:c>
      <ns0:c r="K317" s="78"/>
      <ns0:c r="L317" s="78" t="n">
        <ns0:v>4297.7099236641225</ns0:v>
      </ns0:c>
      <ns0:c r="M317" s="74" t="str">
        <ns0:v>Ativo</ns0:v>
      </ns0:c>
      <ns0:c r="N317" s="74" t="str">
        <ns0:v>Idealista</ns0:v>
      </ns0:c>
      <ns0:c r="O317" s="74" t="str">
        <ns0:v>https://www.idealista.pt/imovel/35110835/</ns0:v>
      </ns0:c>
      <ns0:c r="P317" s="75" t="n">
        <ns0:v>46295</ns0:v>
      </ns0:c>
      <ns0:c r="Q317" s="74" t="str">
        <ns0:v>Premium regional / lifestyle</ns0:v>
      </ns0:c>
      <ns0:c r="R317" s="74" t="str">
        <ns0:v>Nova construção</ns0:v>
      </ns0:c>
      <ns0:c r="S317" s="74" t="n">
        <ns0:v>2026</ns0:v>
      </ns0:c>
      <ns0:c r="T317" s="74" t="str">
        <ns0:v>Sim</ns0:v>
      </ns0:c>
      <ns0:c r="U317" s="74" t="str">
        <ns0:v>Sim</ns0:v>
      </ns0:c>
      <ns0:c r="V317" s="74"/>
      <ns0:c r="W317" s="79" t="n">
        <ns0:v>0.75</ns0:v>
      </ns0:c>
      <ns0:c r="X317" s="74" t="str">
        <ns0:v>B · Benchmark premium regional</ns0:v>
      </ns0:c>
      <ns0:c r="Y317" s="74" t="str">
        <ns0:v>Média</ns0:v>
      </ns0:c>
      <ns0:c r="Z317" s="74" t="str">
        <ns0:v>Área bruta publicada 131 m²; fonte não separa ABP e exterior.</ns0:v>
      </ns0:c>
      <ns0:c r="AA317" s="74" t="str">
        <ns0:v>Manter como benchmark estratégico; confirmar áreas interiores quando disponíveis.</ns0:v>
      </ns0:c>
      <ns0:c r="AB317" s="74" t="str">
        <ns0:v>Média</ns0:v>
      </ns0:c>
    </ns0:row>
    <ns0:row r="318">
      <ns0:c r="A318" s="71" t="str">
        <ns0:v>Plessis Luxury Residence</ns0:v>
      </ns0:c>
      <ns0:c r="B318" s="71" t="str">
        <ns0:v>LIST-PL-04</ns0:v>
      </ns0:c>
      <ns0:c r="C318" s="71" t="n">
        <ns0:v>2</ns0:v>
      </ns0:c>
      <ns0:c r="D318" s="71" t="str">
        <ns0:v>T2</ns0:v>
      </ns0:c>
      <ns0:c r="E318" s="74"/>
      <ns0:c r="F318" s="72" t="n">
        <ns0:v>90.26</ns0:v>
      </ns0:c>
      <ns0:c r="G318" s="72" t="n">
        <ns0:v>88</ns0:v>
      </ns0:c>
      <ns0:c r="H318" s="72" t="n">
        <ns0:v>178.26</ns0:v>
      </ns0:c>
      <ns0:c r="I318" s="78" t="n">
        <ns0:v>578000</ns0:v>
      </ns0:c>
      <ns0:c r="J318" s="71" t="n">
        <ns0:v>2026</ns0:v>
      </ns0:c>
      <ns0:c r="K318" s="78" t="n">
        <ns0:v>6403.722579215599</ns0:v>
      </ns0:c>
      <ns0:c r="L318" s="78" t="n">
        <ns0:v>3242.454841243128</ns0:v>
      </ns0:c>
      <ns0:c r="M318" s="74" t="str">
        <ns0:v>Ativo</ns0:v>
      </ns0:c>
      <ns0:c r="N318" s="74" t="str">
        <ns0:v>SuperCasa</ns0:v>
      </ns0:c>
      <ns0:c r="O318" s="74" t="str">
        <ns0:v>https://supercasa.pt/comprar-casas/olhao/com-ultimo-andar</ns0:v>
      </ns0:c>
      <ns0:c r="P318" s="75" t="n">
        <ns0:v>46295</ns0:v>
      </ns0:c>
      <ns0:c r="Q318" s="74" t="str">
        <ns0:v>Premium regional / lifestyle</ns0:v>
      </ns0:c>
      <ns0:c r="R318" s="74" t="str">
        <ns0:v>Nova construção</ns0:v>
      </ns0:c>
      <ns0:c r="S318" s="74" t="n">
        <ns0:v>2026</ns0:v>
      </ns0:c>
      <ns0:c r="T318" s="74" t="str">
        <ns0:v>Sim</ns0:v>
      </ns0:c>
      <ns0:c r="U318" s="74" t="str">
        <ns0:v>Sim</ns0:v>
      </ns0:c>
      <ns0:c r="V318" s="74"/>
      <ns0:c r="W318" s="79" t="n">
        <ns0:v>0.75</ns0:v>
      </ns0:c>
      <ns0:c r="X318" s="74" t="str">
        <ns0:v>B · Benchmark premium regional</ns0:v>
      </ns0:c>
      <ns0:c r="Y318" s="74" t="str">
        <ns0:v>Alta</ns0:v>
      </ns0:c>
      <ns0:c r="Z318" s="74" t="str">
        <ns0:v>Penthouse: ABP publicada 90,26 m² + terraço privativo de cobertura 88 m² com piscina/jacuzzi.</ns0:v>
      </ns0:c>
      <ns0:c r="AA318" s="74" t="str">
        <ns0:v>Manter como benchmark estratégico; confirmar áreas interiores quando disponíveis.</ns0:v>
      </ns0:c>
      <ns0:c r="AB318" s="74" t="str">
        <ns0:v>Média</ns0:v>
      </ns0:c>
    </ns0:row>
    <ns0:row r="319">
      <ns0:c r="A319" s="71" t="str">
        <ns0:v>Plessis Luxury Residence</ns0:v>
      </ns0:c>
      <ns0:c r="B319" s="71" t="str">
        <ns0:v>LIST-PL-05</ns0:v>
      </ns0:c>
      <ns0:c r="C319" s="71" t="n">
        <ns0:v>2</ns0:v>
      </ns0:c>
      <ns0:c r="D319" s="71" t="str">
        <ns0:v>T2</ns0:v>
      </ns0:c>
      <ns0:c r="E319" s="74"/>
      <ns0:c r="F319" s="72"/>
      <ns0:c r="G319" s="72"/>
      <ns0:c r="H319" s="72" t="n">
        <ns0:v>214</ns0:v>
      </ns0:c>
      <ns0:c r="I319" s="78" t="n">
        <ns0:v>598000</ns0:v>
      </ns0:c>
      <ns0:c r="J319" s="71" t="n">
        <ns0:v>2026</ns0:v>
      </ns0:c>
      <ns0:c r="K319" s="78"/>
      <ns0:c r="L319" s="78" t="n">
        <ns0:v>2794.392523364486</ns0:v>
      </ns0:c>
      <ns0:c r="M319" s="74" t="str">
        <ns0:v>Ativo</ns0:v>
      </ns0:c>
      <ns0:c r="N319" s="74" t="str">
        <ns0:v>Idealista</ns0:v>
      </ns0:c>
      <ns0:c r="O319" s="74" t="str">
        <ns0:v>https://www.idealista.pt/imovel/35110834/</ns0:v>
      </ns0:c>
      <ns0:c r="P319" s="75" t="n">
        <ns0:v>46295</ns0:v>
      </ns0:c>
      <ns0:c r="Q319" s="74" t="str">
        <ns0:v>Premium regional / lifestyle</ns0:v>
      </ns0:c>
      <ns0:c r="R319" s="74" t="str">
        <ns0:v>Nova construção</ns0:v>
      </ns0:c>
      <ns0:c r="S319" s="74" t="n">
        <ns0:v>2026</ns0:v>
      </ns0:c>
      <ns0:c r="T319" s="74" t="str">
        <ns0:v>Sim</ns0:v>
      </ns0:c>
      <ns0:c r="U319" s="74" t="str">
        <ns0:v>Sim</ns0:v>
      </ns0:c>
      <ns0:c r="V319" s="74"/>
      <ns0:c r="W319" s="79" t="n">
        <ns0:v>0.75</ns0:v>
      </ns0:c>
      <ns0:c r="X319" s="74" t="str">
        <ns0:v>B · Benchmark premium regional</ns0:v>
      </ns0:c>
      <ns0:c r="Y319" s="74" t="str">
        <ns0:v>Média</ns0:v>
      </ns0:c>
      <ns0:c r="Z319" s="74" t="str">
        <ns0:v>Área bruta publicada 214 m²; unidade com terraço, sem separação pública fiável entre interior e exterior.</ns0:v>
      </ns0:c>
      <ns0:c r="AA319" s="74" t="str">
        <ns0:v>Manter como benchmark estratégico; confirmar áreas interiores quando disponíveis.</ns0:v>
      </ns0:c>
      <ns0:c r="AB319" s="74" t="str">
        <ns0:v>Média</ns0:v>
      </ns0:c>
    </ns0:row>
    <ns0:row r="320">
      <ns0:c r="A320" s="71" t="str">
        <ns0:v>Plessis Luxury Residence</ns0:v>
      </ns0:c>
      <ns0:c r="B320" s="71" t="str">
        <ns0:v>LIST-PL-06</ns0:v>
      </ns0:c>
      <ns0:c r="C320" s="71" t="n">
        <ns0:v>2</ns0:v>
      </ns0:c>
      <ns0:c r="D320" s="71" t="str">
        <ns0:v>T3</ns0:v>
      </ns0:c>
      <ns0:c r="E320" s="74"/>
      <ns0:c r="F320" s="72"/>
      <ns0:c r="G320" s="72"/>
      <ns0:c r="H320" s="72" t="n">
        <ns0:v>139</ns0:v>
      </ns0:c>
      <ns0:c r="I320" s="78" t="n">
        <ns0:v>783000</ns0:v>
      </ns0:c>
      <ns0:c r="J320" s="71" t="n">
        <ns0:v>2026</ns0:v>
      </ns0:c>
      <ns0:c r="K320" s="78"/>
      <ns0:c r="L320" s="78" t="n">
        <ns0:v>5633.093525179856</ns0:v>
      </ns0:c>
      <ns0:c r="M320" s="74" t="str">
        <ns0:v>Ativo</ns0:v>
      </ns0:c>
      <ns0:c r="N320" s="74" t="str">
        <ns0:v>Idealista</ns0:v>
      </ns0:c>
      <ns0:c r="O320" s="74" t="str">
        <ns0:v>https://www.idealista.pt/empreendimento/35108138/</ns0:v>
      </ns0:c>
      <ns0:c r="P320" s="75" t="n">
        <ns0:v>46295</ns0:v>
      </ns0:c>
      <ns0:c r="Q320" s="74" t="str">
        <ns0:v>Premium regional / lifestyle</ns0:v>
      </ns0:c>
      <ns0:c r="R320" s="74" t="str">
        <ns0:v>Nova construção</ns0:v>
      </ns0:c>
      <ns0:c r="S320" s="74" t="n">
        <ns0:v>2026</ns0:v>
      </ns0:c>
      <ns0:c r="T320" s="74" t="str">
        <ns0:v>Sim</ns0:v>
      </ns0:c>
      <ns0:c r="U320" s="74" t="str">
        <ns0:v>Sim</ns0:v>
      </ns0:c>
      <ns0:c r="V320" s="74"/>
      <ns0:c r="W320" s="79" t="n">
        <ns0:v>0.75</ns0:v>
      </ns0:c>
      <ns0:c r="X320" s="74" t="str">
        <ns0:v>B · Benchmark premium regional</ns0:v>
      </ns0:c>
      <ns0:c r="Y320" s="74" t="str">
        <ns0:v>Média</ns0:v>
      </ns0:c>
      <ns0:c r="Z320" s="74" t="str">
        <ns0:v>Penthouse T3; área bruta publicada 139 m²; exterior não separado na fonte consultada.</ns0:v>
      </ns0:c>
      <ns0:c r="AA320" s="74" t="str">
        <ns0:v>Manter como benchmark estratégico; confirmar áreas interiores quando disponíveis.</ns0:v>
      </ns0:c>
      <ns0:c r="AB320" s="74" t="str">
        <ns0:v>Média</ns0:v>
      </ns0:c>
    </ns0:row>
    <ns0:row r="321" ht="72" customHeight="1">
      <ns0:c r="A321" s="94" t="inlineStr">
        <ns0:is>
          <ns0:t>BelaFormosa</ns0:t>
        </ns0:is>
      </ns0:c>
      <ns0:c r="B321" s="94" t="inlineStr">
        <ns0:is>
          <ns0:t>LB101</ns0:t>
        </ns0:is>
      </ns0:c>
      <ns0:c r="C321" s="94" t="n">
        <ns0:v>1</ns0:v>
      </ns0:c>
      <ns0:c r="D321" s="94" t="inlineStr">
        <ns0:is>
          <ns0:t>T2</ns0:t>
        </ns0:is>
      </ns0:c>
      <ns0:c r="E321" s="94"/>
      <ns0:c r="F321" s="97" t="n">
        <ns0:v>91.0</ns0:v>
      </ns0:c>
      <ns0:c r="G321" s="97" t="n">
        <ns0:v>46.5</ns0:v>
      </ns0:c>
      <ns0:c r="H321" s="97" t="n">
        <ns0:v>137.5</ns0:v>
      </ns0:c>
      <ns0:c r="I321" s="95" t="n">
        <ns0:v>580000</ns0:v>
      </ns0:c>
      <ns0:c r="J321" s="94" t="n">
        <ns0:v>2026</ns0:v>
      </ns0:c>
      <ns0:c r="K321" s="95" t="n">
        <ns0:v>6373.626373626374</ns0:v>
      </ns0:c>
      <ns0:c r="L321" s="95" t="n">
        <ns0:v>4218.181818181818</ns0:v>
      </ns0:c>
      <ns0:c r="M321" s="94" t="inlineStr">
        <ns0:is>
          <ns0:t>Ativo</ns0:t>
        </ns0:is>
      </ns0:c>
      <ns0:c r="N321" s="94" t="inlineStr">
        <ns0:is>
          <ns0:t>BelaFormosa · Price List September 2026 · p. 1</ns0:t>
        </ns0:is>
      </ns0:c>
      <ns0:c r="O321" s="94"/>
      <ns0:c r="P321" s="94" t="inlineStr">
        <ns0:is>
          <ns0:t>2026-09</ns0:t>
        </ns0:is>
      </ns0:c>
      <ns0:c r="Q321" s="94" t="inlineStr">
        <ns0:is>
          <ns0:t>Premium local</ns0:t>
        </ns0:is>
      </ns0:c>
      <ns0:c r="R321" s="94" t="inlineStr">
        <ns0:is>
          <ns0:t>Nova construção</ns0:t>
        </ns0:is>
      </ns0:c>
      <ns0:c r="S321" s="94"/>
      <ns0:c r="T321" s="94" t="inlineStr">
        <ns0:is>
          <ns0:t>Não incluído no preço; disponibilidade por confirmar</ns0:t>
        </ns0:is>
      </ns0:c>
      <ns0:c r="U321" s="94"/>
      <ns0:c r="V321" s="94"/>
      <ns0:c r="W321" s="97" t="n">
        <ns0:v>0.9</ns0:v>
      </ns0:c>
      <ns0:c r="X321" s="94" t="inlineStr">
        <ns0:is>
          <ns0:t>A · Premium local; vistas estimadas</ns0:t>
        </ns0:is>
      </ns0:c>
      <ns0:c r="Y321" s="94" t="inlineStr">
        <ns0:is>
          <ns0:t>Média</ns0:t>
        </ns0:is>
      </ns0:c>
      <ns0:c r="Z321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</ns0:t>
        </ns0:is>
      </ns0:c>
      <ns0:c r="AA321" s="94" t="inlineStr">
        <ns0:is>
          <ns0:t>Confirmar vista, orientação, disponibilidade e condições atuais.</ns0:t>
        </ns0:is>
      </ns0:c>
      <ns0:c r="AB321" s="94" t="inlineStr">
        <ns0:is>
          <ns0:t>Média</ns0:t>
        </ns0:is>
      </ns0:c>
      <ns0:c r="AJ321" s="94" t="inlineStr">
        <ns0:is>
          <ns0:t>LB</ns0:t>
        </ns0:is>
      </ns0:c>
      <ns0:c r="AK321" s="94" t="inlineStr">
        <ns0:is>
          <ns0:t>Convencional</ns0:t>
        </ns0:is>
      </ns0:c>
      <ns0:c r="AL321" s="94" t="n">
        <ns0:v>3</ns0:v>
      </ns0:c>
      <ns0:c r="AM321" s="94" t="n">
        <ns0:v>4</ns0:v>
      </ns0:c>
      <ns0:c r="AN321" s="94" t="inlineStr">
        <ns0:is>
          <ns0:t>Estimada · baixa</ns0:t>
        </ns0:is>
      </ns0:c>
      <ns0:c r="AO321" s="94" t="inlineStr">
        <ns0:is>
          <ns0:t>Estimativa de implantação fornecida pela gestão; piso considerado sem confirmação geométrica.</ns0:t>
        </ns0:is>
      </ns0:c>
      <ns0:c r="AP321" s="94" t="inlineStr">
        <ns0:is>
          <ns0:t>Sim</ns0:t>
        </ns0:is>
      </ns0:c>
      <ns0:c r="AQ321" s="94" t="inlineStr">
        <ns0:is>
          <ns0:t>Olhão</ns0:t>
        </ns0:is>
      </ns0:c>
      <ns0:c r="AR321" s="94" t="inlineStr">
        <ns0:is>
          <ns0:t>BelaFormosa Price List September 2026, p. 1</ns0:t>
        </ns0:is>
      </ns0:c>
    </ns0:row>
    <ns0:row r="322" ht="72" customHeight="1">
      <ns0:c r="A322" s="94" t="inlineStr">
        <ns0:is>
          <ns0:t>BelaFormosa</ns0:t>
        </ns0:is>
      </ns0:c>
      <ns0:c r="B322" s="94" t="inlineStr">
        <ns0:is>
          <ns0:t>LB102</ns0:t>
        </ns0:is>
      </ns0:c>
      <ns0:c r="C322" s="94" t="n">
        <ns0:v>1</ns0:v>
      </ns0:c>
      <ns0:c r="D322" s="94" t="inlineStr">
        <ns0:is>
          <ns0:t>T2</ns0:t>
        </ns0:is>
      </ns0:c>
      <ns0:c r="E322" s="94"/>
      <ns0:c r="F322" s="97" t="n">
        <ns0:v>89.25</ns0:v>
      </ns0:c>
      <ns0:c r="G322" s="97" t="n">
        <ns0:v>18.75</ns0:v>
      </ns0:c>
      <ns0:c r="H322" s="97" t="n">
        <ns0:v>108.0</ns0:v>
      </ns0:c>
      <ns0:c r="I322" s="95" t="n">
        <ns0:v>565000</ns0:v>
      </ns0:c>
      <ns0:c r="J322" s="94" t="n">
        <ns0:v>2026</ns0:v>
      </ns0:c>
      <ns0:c r="K322" s="95" t="n">
        <ns0:v>6330.532212885154</ns0:v>
      </ns0:c>
      <ns0:c r="L322" s="95" t="n">
        <ns0:v>5231.481481481482</ns0:v>
      </ns0:c>
      <ns0:c r="M322" s="94" t="inlineStr">
        <ns0:is>
          <ns0:t>Ativo</ns0:t>
        </ns0:is>
      </ns0:c>
      <ns0:c r="N322" s="94" t="inlineStr">
        <ns0:is>
          <ns0:t>BelaFormosa · Price List September 2026 · p. 1</ns0:t>
        </ns0:is>
      </ns0:c>
      <ns0:c r="O322" s="94"/>
      <ns0:c r="P322" s="94" t="inlineStr">
        <ns0:is>
          <ns0:t>2026-09</ns0:t>
        </ns0:is>
      </ns0:c>
      <ns0:c r="Q322" s="94" t="inlineStr">
        <ns0:is>
          <ns0:t>Premium local</ns0:t>
        </ns0:is>
      </ns0:c>
      <ns0:c r="R322" s="94" t="inlineStr">
        <ns0:is>
          <ns0:t>Nova construção</ns0:t>
        </ns0:is>
      </ns0:c>
      <ns0:c r="S322" s="94"/>
      <ns0:c r="T322" s="94" t="inlineStr">
        <ns0:is>
          <ns0:t>Não incluído no preço; disponibilidade por confirmar</ns0:t>
        </ns0:is>
      </ns0:c>
      <ns0:c r="U322" s="94"/>
      <ns0:c r="V322" s="94"/>
      <ns0:c r="W322" s="97" t="n">
        <ns0:v>0.9</ns0:v>
      </ns0:c>
      <ns0:c r="X322" s="94" t="inlineStr">
        <ns0:is>
          <ns0:t>A · Premium local; vistas estimadas</ns0:t>
        </ns0:is>
      </ns0:c>
      <ns0:c r="Y322" s="94" t="inlineStr">
        <ns0:is>
          <ns0:t>Média</ns0:t>
        </ns0:is>
      </ns0:c>
      <ns0:c r="Z322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22" s="94" t="inlineStr">
        <ns0:is>
          <ns0:t>Confirmar vista, orientação, disponibilidade e condições atuais.</ns0:t>
        </ns0:is>
      </ns0:c>
      <ns0:c r="AB322" s="94" t="inlineStr">
        <ns0:is>
          <ns0:t>Média</ns0:t>
        </ns0:is>
      </ns0:c>
      <ns0:c r="AJ322" s="94" t="inlineStr">
        <ns0:is>
          <ns0:t>LB</ns0:t>
        </ns0:is>
      </ns0:c>
      <ns0:c r="AK322" s="94" t="inlineStr">
        <ns0:is>
          <ns0:t>Convencional</ns0:t>
        </ns0:is>
      </ns0:c>
      <ns0:c r="AL322" s="94" t="n">
        <ns0:v>3</ns0:v>
      </ns0:c>
      <ns0:c r="AM322" s="94" t="n">
        <ns0:v>4</ns0:v>
      </ns0:c>
      <ns0:c r="AN322" s="94" t="inlineStr">
        <ns0:is>
          <ns0:t>Estimada · baixa</ns0:t>
        </ns0:is>
      </ns0:c>
      <ns0:c r="AO322" s="94" t="inlineStr">
        <ns0:is>
          <ns0:t>Estimativa de implantação fornecida pela gestão; piso considerado sem confirmação geométrica.</ns0:t>
        </ns0:is>
      </ns0:c>
      <ns0:c r="AP322" s="94" t="inlineStr">
        <ns0:is>
          <ns0:t>Sim</ns0:t>
        </ns0:is>
      </ns0:c>
      <ns0:c r="AQ322" s="94" t="inlineStr">
        <ns0:is>
          <ns0:t>Olhão</ns0:t>
        </ns0:is>
      </ns0:c>
      <ns0:c r="AR322" s="94" t="inlineStr">
        <ns0:is>
          <ns0:t>BelaFormosa Price List September 2026, p. 1</ns0:t>
        </ns0:is>
      </ns0:c>
    </ns0:row>
    <ns0:row r="323" ht="72" customHeight="1">
      <ns0:c r="A323" s="94" t="inlineStr">
        <ns0:is>
          <ns0:t>BelaFormosa</ns0:t>
        </ns0:is>
      </ns0:c>
      <ns0:c r="B323" s="94" t="inlineStr">
        <ns0:is>
          <ns0:t>LB103</ns0:t>
        </ns0:is>
      </ns0:c>
      <ns0:c r="C323" s="94" t="n">
        <ns0:v>1</ns0:v>
      </ns0:c>
      <ns0:c r="D323" s="94" t="inlineStr">
        <ns0:is>
          <ns0:t>T1</ns0:t>
        </ns0:is>
      </ns0:c>
      <ns0:c r="E323" s="94"/>
      <ns0:c r="F323" s="97" t="n">
        <ns0:v>60.25</ns0:v>
      </ns0:c>
      <ns0:c r="G323" s="97" t="n">
        <ns0:v>12.5</ns0:v>
      </ns0:c>
      <ns0:c r="H323" s="97" t="n">
        <ns0:v>72.75</ns0:v>
      </ns0:c>
      <ns0:c r="I323" s="95" t="n">
        <ns0:v>385000</ns0:v>
      </ns0:c>
      <ns0:c r="J323" s="94" t="n">
        <ns0:v>2026</ns0:v>
      </ns0:c>
      <ns0:c r="K323" s="95" t="n">
        <ns0:v>6390.041493775933</ns0:v>
      </ns0:c>
      <ns0:c r="L323" s="95" t="n">
        <ns0:v>5292.096219931272</ns0:v>
      </ns0:c>
      <ns0:c r="M323" s="94" t="inlineStr">
        <ns0:is>
          <ns0:t>Ativo</ns0:t>
        </ns0:is>
      </ns0:c>
      <ns0:c r="N323" s="94" t="inlineStr">
        <ns0:is>
          <ns0:t>BelaFormosa · Price List September 2026 · p. 1</ns0:t>
        </ns0:is>
      </ns0:c>
      <ns0:c r="O323" s="94"/>
      <ns0:c r="P323" s="94" t="inlineStr">
        <ns0:is>
          <ns0:t>2026-09</ns0:t>
        </ns0:is>
      </ns0:c>
      <ns0:c r="Q323" s="94" t="inlineStr">
        <ns0:is>
          <ns0:t>Premium local</ns0:t>
        </ns0:is>
      </ns0:c>
      <ns0:c r="R323" s="94" t="inlineStr">
        <ns0:is>
          <ns0:t>Nova construção</ns0:t>
        </ns0:is>
      </ns0:c>
      <ns0:c r="S323" s="94"/>
      <ns0:c r="T323" s="94" t="inlineStr">
        <ns0:is>
          <ns0:t>Não incluído no preço; disponibilidade por confirmar</ns0:t>
        </ns0:is>
      </ns0:c>
      <ns0:c r="U323" s="94"/>
      <ns0:c r="V323" s="94"/>
      <ns0:c r="W323" s="97" t="n">
        <ns0:v>0.9</ns0:v>
      </ns0:c>
      <ns0:c r="X323" s="94" t="inlineStr">
        <ns0:is>
          <ns0:t>A · Premium local; vistas estimadas</ns0:t>
        </ns0:is>
      </ns0:c>
      <ns0:c r="Y323" s="94" t="inlineStr">
        <ns0:is>
          <ns0:t>Média</ns0:t>
        </ns0:is>
      </ns0:c>
      <ns0:c r="Z323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323" s="94" t="inlineStr">
        <ns0:is>
          <ns0:t>Confirmar vista, orientação, disponibilidade e condições atuais.</ns0:t>
        </ns0:is>
      </ns0:c>
      <ns0:c r="AB323" s="94" t="inlineStr">
        <ns0:is>
          <ns0:t>Média</ns0:t>
        </ns0:is>
      </ns0:c>
      <ns0:c r="AJ323" s="94" t="inlineStr">
        <ns0:is>
          <ns0:t>LB</ns0:t>
        </ns0:is>
      </ns0:c>
      <ns0:c r="AK323" s="94" t="inlineStr">
        <ns0:is>
          <ns0:t>Convencional</ns0:t>
        </ns0:is>
      </ns0:c>
      <ns0:c r="AL323" s="94" t="n">
        <ns0:v>3</ns0:v>
      </ns0:c>
      <ns0:c r="AM323" s="94" t="n">
        <ns0:v>4</ns0:v>
      </ns0:c>
      <ns0:c r="AN323" s="94" t="inlineStr">
        <ns0:is>
          <ns0:t>Estimada · baixa</ns0:t>
        </ns0:is>
      </ns0:c>
      <ns0:c r="AO323" s="94" t="inlineStr">
        <ns0:is>
          <ns0:t>Estimativa de implantação fornecida pela gestão; piso considerado sem confirmação geométrica.</ns0:t>
        </ns0:is>
      </ns0:c>
      <ns0:c r="AP323" s="94" t="inlineStr">
        <ns0:is>
          <ns0:t>Sim</ns0:t>
        </ns0:is>
      </ns0:c>
      <ns0:c r="AQ323" s="94" t="inlineStr">
        <ns0:is>
          <ns0:t>Olhão</ns0:t>
        </ns0:is>
      </ns0:c>
      <ns0:c r="AR323" s="94" t="inlineStr">
        <ns0:is>
          <ns0:t>BelaFormosa Price List September 2026, p. 1</ns0:t>
        </ns0:is>
      </ns0:c>
    </ns0:row>
    <ns0:row r="324" ht="72" customHeight="1">
      <ns0:c r="A324" s="94" t="inlineStr">
        <ns0:is>
          <ns0:t>BelaFormosa</ns0:t>
        </ns0:is>
      </ns0:c>
      <ns0:c r="B324" s="94" t="inlineStr">
        <ns0:is>
          <ns0:t>LB104</ns0:t>
        </ns0:is>
      </ns0:c>
      <ns0:c r="C324" s="94" t="n">
        <ns0:v>1</ns0:v>
      </ns0:c>
      <ns0:c r="D324" s="94" t="inlineStr">
        <ns0:is>
          <ns0:t>T1</ns0:t>
        </ns0:is>
      </ns0:c>
      <ns0:c r="E324" s="94"/>
      <ns0:c r="F324" s="97" t="n">
        <ns0:v>60.25</ns0:v>
      </ns0:c>
      <ns0:c r="G324" s="97" t="n">
        <ns0:v>12.5</ns0:v>
      </ns0:c>
      <ns0:c r="H324" s="97" t="n">
        <ns0:v>72.75</ns0:v>
      </ns0:c>
      <ns0:c r="I324" s="95" t="n">
        <ns0:v>385000</ns0:v>
      </ns0:c>
      <ns0:c r="J324" s="94" t="n">
        <ns0:v>2026</ns0:v>
      </ns0:c>
      <ns0:c r="K324" s="95" t="n">
        <ns0:v>6390.041493775933</ns0:v>
      </ns0:c>
      <ns0:c r="L324" s="95" t="n">
        <ns0:v>5292.096219931272</ns0:v>
      </ns0:c>
      <ns0:c r="M324" s="94" t="inlineStr">
        <ns0:is>
          <ns0:t>Reservado</ns0:t>
        </ns0:is>
      </ns0:c>
      <ns0:c r="N324" s="94" t="inlineStr">
        <ns0:is>
          <ns0:t>BelaFormosa · Price List September 2026 · p. 1</ns0:t>
        </ns0:is>
      </ns0:c>
      <ns0:c r="O324" s="94"/>
      <ns0:c r="P324" s="94" t="inlineStr">
        <ns0:is>
          <ns0:t>2026-09</ns0:t>
        </ns0:is>
      </ns0:c>
      <ns0:c r="Q324" s="94" t="inlineStr">
        <ns0:is>
          <ns0:t>Premium local</ns0:t>
        </ns0:is>
      </ns0:c>
      <ns0:c r="R324" s="94" t="inlineStr">
        <ns0:is>
          <ns0:t>Nova construção</ns0:t>
        </ns0:is>
      </ns0:c>
      <ns0:c r="S324" s="94"/>
      <ns0:c r="T324" s="94" t="inlineStr">
        <ns0:is>
          <ns0:t>Não incluído no preço; disponibilidade por confirmar</ns0:t>
        </ns0:is>
      </ns0:c>
      <ns0:c r="U324" s="94"/>
      <ns0:c r="V324" s="94"/>
      <ns0:c r="W324" s="97" t="n">
        <ns0:v>0.9</ns0:v>
      </ns0:c>
      <ns0:c r="X324" s="94" t="inlineStr">
        <ns0:is>
          <ns0:t>A · Premium local; vistas estimadas</ns0:t>
        </ns0:is>
      </ns0:c>
      <ns0:c r="Y324" s="94" t="inlineStr">
        <ns0:is>
          <ns0:t>Média</ns0:t>
        </ns0:is>
      </ns0:c>
      <ns0:c r="Z324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 Reservado, não vendido. Preço extraído mantido por autorização da gestão; não constitui oferta ativa.</ns0:t>
        </ns0:is>
      </ns0:c>
      <ns0:c r="AA324" s="94" t="inlineStr">
        <ns0:is>
          <ns0:t>Confirmar vista, orientação, disponibilidade e condições atuais.</ns0:t>
        </ns0:is>
      </ns0:c>
      <ns0:c r="AB324" s="94" t="inlineStr">
        <ns0:is>
          <ns0:t>Alta</ns0:t>
        </ns0:is>
      </ns0:c>
      <ns0:c r="AJ324" s="94" t="inlineStr">
        <ns0:is>
          <ns0:t>LB</ns0:t>
        </ns0:is>
      </ns0:c>
      <ns0:c r="AK324" s="94" t="inlineStr">
        <ns0:is>
          <ns0:t>Convencional</ns0:t>
        </ns0:is>
      </ns0:c>
      <ns0:c r="AL324" s="94" t="n">
        <ns0:v>3</ns0:v>
      </ns0:c>
      <ns0:c r="AM324" s="94" t="n">
        <ns0:v>4</ns0:v>
      </ns0:c>
      <ns0:c r="AN324" s="94" t="inlineStr">
        <ns0:is>
          <ns0:t>Estimada · baixa</ns0:t>
        </ns0:is>
      </ns0:c>
      <ns0:c r="AO324" s="94" t="inlineStr">
        <ns0:is>
          <ns0:t>Estimativa de implantação fornecida pela gestão; piso considerado sem confirmação geométrica.</ns0:t>
        </ns0:is>
      </ns0:c>
      <ns0:c r="AP324" s="94" t="inlineStr">
        <ns0:is>
          <ns0:t>Não · reservado</ns0:t>
        </ns0:is>
      </ns0:c>
      <ns0:c r="AQ324" s="94" t="inlineStr">
        <ns0:is>
          <ns0:t>Olhão</ns0:t>
        </ns0:is>
      </ns0:c>
      <ns0:c r="AR324" s="94" t="inlineStr">
        <ns0:is>
          <ns0:t>BelaFormosa Price List September 2026, p. 1</ns0:t>
        </ns0:is>
      </ns0:c>
    </ns0:row>
    <ns0:row r="325" ht="72" customHeight="1">
      <ns0:c r="A325" s="94" t="inlineStr">
        <ns0:is>
          <ns0:t>BelaFormosa</ns0:t>
        </ns0:is>
      </ns0:c>
      <ns0:c r="B325" s="94" t="inlineStr">
        <ns0:is>
          <ns0:t>LB105</ns0:t>
        </ns0:is>
      </ns0:c>
      <ns0:c r="C325" s="94" t="n">
        <ns0:v>1</ns0:v>
      </ns0:c>
      <ns0:c r="D325" s="94" t="inlineStr">
        <ns0:is>
          <ns0:t>T2</ns0:t>
        </ns0:is>
      </ns0:c>
      <ns0:c r="E325" s="94"/>
      <ns0:c r="F325" s="97" t="n">
        <ns0:v>89.25</ns0:v>
      </ns0:c>
      <ns0:c r="G325" s="97" t="n">
        <ns0:v>18.25</ns0:v>
      </ns0:c>
      <ns0:c r="H325" s="97" t="n">
        <ns0:v>107.5</ns0:v>
      </ns0:c>
      <ns0:c r="I325" s="95" t="n">
        <ns0:v>580000</ns0:v>
      </ns0:c>
      <ns0:c r="J325" s="94" t="n">
        <ns0:v>2026</ns0:v>
      </ns0:c>
      <ns0:c r="K325" s="95" t="n">
        <ns0:v>6498.5994397759105</ns0:v>
      </ns0:c>
      <ns0:c r="L325" s="95" t="n">
        <ns0:v>5395.3488372093025</ns0:v>
      </ns0:c>
      <ns0:c r="M325" s="94" t="inlineStr">
        <ns0:is>
          <ns0:t>Ativo</ns0:t>
        </ns0:is>
      </ns0:c>
      <ns0:c r="N325" s="94" t="inlineStr">
        <ns0:is>
          <ns0:t>BelaFormosa · Price List September 2026 · p. 1</ns0:t>
        </ns0:is>
      </ns0:c>
      <ns0:c r="O325" s="94"/>
      <ns0:c r="P325" s="94" t="inlineStr">
        <ns0:is>
          <ns0:t>2026-09</ns0:t>
        </ns0:is>
      </ns0:c>
      <ns0:c r="Q325" s="94" t="inlineStr">
        <ns0:is>
          <ns0:t>Premium local</ns0:t>
        </ns0:is>
      </ns0:c>
      <ns0:c r="R325" s="94" t="inlineStr">
        <ns0:is>
          <ns0:t>Nova construção</ns0:t>
        </ns0:is>
      </ns0:c>
      <ns0:c r="S325" s="94"/>
      <ns0:c r="T325" s="94" t="inlineStr">
        <ns0:is>
          <ns0:t>Não incluído no preço; disponibilidade por confirmar</ns0:t>
        </ns0:is>
      </ns0:c>
      <ns0:c r="U325" s="94"/>
      <ns0:c r="V325" s="94"/>
      <ns0:c r="W325" s="97" t="n">
        <ns0:v>0.9</ns0:v>
      </ns0:c>
      <ns0:c r="X325" s="94" t="inlineStr">
        <ns0:is>
          <ns0:t>A · Premium local; vistas estimadas</ns0:t>
        </ns0:is>
      </ns0:c>
      <ns0:c r="Y325" s="94" t="inlineStr">
        <ns0:is>
          <ns0:t>Média</ns0:t>
        </ns0:is>
      </ns0:c>
      <ns0:c r="Z325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25" s="94" t="inlineStr">
        <ns0:is>
          <ns0:t>Confirmar vista, orientação, disponibilidade e condições atuais.</ns0:t>
        </ns0:is>
      </ns0:c>
      <ns0:c r="AB325" s="94" t="inlineStr">
        <ns0:is>
          <ns0:t>Média</ns0:t>
        </ns0:is>
      </ns0:c>
      <ns0:c r="AJ325" s="94" t="inlineStr">
        <ns0:is>
          <ns0:t>LB</ns0:t>
        </ns0:is>
      </ns0:c>
      <ns0:c r="AK325" s="94" t="inlineStr">
        <ns0:is>
          <ns0:t>Convencional</ns0:t>
        </ns0:is>
      </ns0:c>
      <ns0:c r="AL325" s="94" t="n">
        <ns0:v>3</ns0:v>
      </ns0:c>
      <ns0:c r="AM325" s="94" t="n">
        <ns0:v>4</ns0:v>
      </ns0:c>
      <ns0:c r="AN325" s="94" t="inlineStr">
        <ns0:is>
          <ns0:t>Estimada · baixa</ns0:t>
        </ns0:is>
      </ns0:c>
      <ns0:c r="AO325" s="94" t="inlineStr">
        <ns0:is>
          <ns0:t>Estimativa de implantação fornecida pela gestão; piso considerado sem confirmação geométrica.</ns0:t>
        </ns0:is>
      </ns0:c>
      <ns0:c r="AP325" s="94" t="inlineStr">
        <ns0:is>
          <ns0:t>Sim</ns0:t>
        </ns0:is>
      </ns0:c>
      <ns0:c r="AQ325" s="94" t="inlineStr">
        <ns0:is>
          <ns0:t>Olhão</ns0:t>
        </ns0:is>
      </ns0:c>
      <ns0:c r="AR325" s="94" t="inlineStr">
        <ns0:is>
          <ns0:t>BelaFormosa Price List September 2026, p. 1</ns0:t>
        </ns0:is>
      </ns0:c>
    </ns0:row>
    <ns0:row r="326" ht="72" customHeight="1">
      <ns0:c r="A326" s="94" t="inlineStr">
        <ns0:is>
          <ns0:t>BelaFormosa</ns0:t>
        </ns0:is>
      </ns0:c>
      <ns0:c r="B326" s="94" t="inlineStr">
        <ns0:is>
          <ns0:t>LB106</ns0:t>
        </ns0:is>
      </ns0:c>
      <ns0:c r="C326" s="94" t="n">
        <ns0:v>1</ns0:v>
      </ns0:c>
      <ns0:c r="D326" s="94" t="inlineStr">
        <ns0:is>
          <ns0:t>T2</ns0:t>
        </ns0:is>
      </ns0:c>
      <ns0:c r="E326" s="94"/>
      <ns0:c r="F326" s="97" t="n">
        <ns0:v>89.25</ns0:v>
      </ns0:c>
      <ns0:c r="G326" s="97" t="n">
        <ns0:v>41.0</ns0:v>
      </ns0:c>
      <ns0:c r="H326" s="97" t="n">
        <ns0:v>130.25</ns0:v>
      </ns0:c>
      <ns0:c r="I326" s="95" t="n">
        <ns0:v>625000</ns0:v>
      </ns0:c>
      <ns0:c r="J326" s="94" t="n">
        <ns0:v>2026</ns0:v>
      </ns0:c>
      <ns0:c r="K326" s="95" t="n">
        <ns0:v>7002.801120448179</ns0:v>
      </ns0:c>
      <ns0:c r="L326" s="95" t="n">
        <ns0:v>4798.4644913627635</ns0:v>
      </ns0:c>
      <ns0:c r="M326" s="94" t="inlineStr">
        <ns0:is>
          <ns0:t>Ativo</ns0:t>
        </ns0:is>
      </ns0:c>
      <ns0:c r="N326" s="94" t="inlineStr">
        <ns0:is>
          <ns0:t>BelaFormosa · Price List September 2026 · p. 1</ns0:t>
        </ns0:is>
      </ns0:c>
      <ns0:c r="O326" s="94"/>
      <ns0:c r="P326" s="94" t="inlineStr">
        <ns0:is>
          <ns0:t>2026-09</ns0:t>
        </ns0:is>
      </ns0:c>
      <ns0:c r="Q326" s="94" t="inlineStr">
        <ns0:is>
          <ns0:t>Premium local</ns0:t>
        </ns0:is>
      </ns0:c>
      <ns0:c r="R326" s="94" t="inlineStr">
        <ns0:is>
          <ns0:t>Nova construção</ns0:t>
        </ns0:is>
      </ns0:c>
      <ns0:c r="S326" s="94"/>
      <ns0:c r="T326" s="94" t="inlineStr">
        <ns0:is>
          <ns0:t>Não incluído no preço; disponibilidade por confirmar</ns0:t>
        </ns0:is>
      </ns0:c>
      <ns0:c r="U326" s="94"/>
      <ns0:c r="V326" s="94"/>
      <ns0:c r="W326" s="97" t="n">
        <ns0:v>0.9</ns0:v>
      </ns0:c>
      <ns0:c r="X326" s="94" t="inlineStr">
        <ns0:is>
          <ns0:t>A · Premium local; vistas estimadas</ns0:t>
        </ns0:is>
      </ns0:c>
      <ns0:c r="Y326" s="94" t="inlineStr">
        <ns0:is>
          <ns0:t>Média</ns0:t>
        </ns0:is>
      </ns0:c>
      <ns0:c r="Z326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26" s="94" t="inlineStr">
        <ns0:is>
          <ns0:t>Confirmar vista, orientação, disponibilidade e condições atuais.</ns0:t>
        </ns0:is>
      </ns0:c>
      <ns0:c r="AB326" s="94" t="inlineStr">
        <ns0:is>
          <ns0:t>Média</ns0:t>
        </ns0:is>
      </ns0:c>
      <ns0:c r="AJ326" s="94" t="inlineStr">
        <ns0:is>
          <ns0:t>LB</ns0:t>
        </ns0:is>
      </ns0:c>
      <ns0:c r="AK326" s="94" t="inlineStr">
        <ns0:is>
          <ns0:t>Convencional</ns0:t>
        </ns0:is>
      </ns0:c>
      <ns0:c r="AL326" s="94" t="n">
        <ns0:v>2</ns0:v>
      </ns0:c>
      <ns0:c r="AM326" s="94" t="n">
        <ns0:v>3</ns0:v>
      </ns0:c>
      <ns0:c r="AN326" s="94" t="inlineStr">
        <ns0:is>
          <ns0:t>Estimada · baixa</ns0:t>
        </ns0:is>
      </ns0:c>
      <ns0:c r="AO326" s="94" t="inlineStr">
        <ns0:is>
          <ns0:t>Estimativa de implantação fornecida pela gestão; piso considerado sem confirmação geométrica.</ns0:t>
        </ns0:is>
      </ns0:c>
      <ns0:c r="AP326" s="94" t="inlineStr">
        <ns0:is>
          <ns0:t>Sim</ns0:t>
        </ns0:is>
      </ns0:c>
      <ns0:c r="AQ326" s="94" t="inlineStr">
        <ns0:is>
          <ns0:t>Olhão</ns0:t>
        </ns0:is>
      </ns0:c>
      <ns0:c r="AR326" s="94" t="inlineStr">
        <ns0:is>
          <ns0:t>BelaFormosa Price List September 2026, p. 1</ns0:t>
        </ns0:is>
      </ns0:c>
    </ns0:row>
    <ns0:row r="327" ht="72" customHeight="1">
      <ns0:c r="A327" s="94" t="inlineStr">
        <ns0:is>
          <ns0:t>BelaFormosa</ns0:t>
        </ns0:is>
      </ns0:c>
      <ns0:c r="B327" s="94" t="inlineStr">
        <ns0:is>
          <ns0:t>LB107</ns0:t>
        </ns0:is>
      </ns0:c>
      <ns0:c r="C327" s="94" t="n">
        <ns0:v>1</ns0:v>
      </ns0:c>
      <ns0:c r="D327" s="94" t="inlineStr">
        <ns0:is>
          <ns0:t>T1</ns0:t>
        </ns0:is>
      </ns0:c>
      <ns0:c r="E327" s="94"/>
      <ns0:c r="F327" s="97" t="n">
        <ns0:v>60.25</ns0:v>
      </ns0:c>
      <ns0:c r="G327" s="97" t="n">
        <ns0:v>31.75</ns0:v>
      </ns0:c>
      <ns0:c r="H327" s="97" t="n">
        <ns0:v>92.0</ns0:v>
      </ns0:c>
      <ns0:c r="I327" s="95" t="n">
        <ns0:v>405000</ns0:v>
      </ns0:c>
      <ns0:c r="J327" s="94" t="n">
        <ns0:v>2026</ns0:v>
      </ns0:c>
      <ns0:c r="K327" s="95" t="n">
        <ns0:v>6721.991701244813</ns0:v>
      </ns0:c>
      <ns0:c r="L327" s="95" t="n">
        <ns0:v>4402.173913043478</ns0:v>
      </ns0:c>
      <ns0:c r="M327" s="94" t="inlineStr">
        <ns0:is>
          <ns0:t>Ativo</ns0:t>
        </ns0:is>
      </ns0:c>
      <ns0:c r="N327" s="94" t="inlineStr">
        <ns0:is>
          <ns0:t>BelaFormosa · Price List September 2026 · p. 1</ns0:t>
        </ns0:is>
      </ns0:c>
      <ns0:c r="O327" s="94"/>
      <ns0:c r="P327" s="94" t="inlineStr">
        <ns0:is>
          <ns0:t>2026-09</ns0:t>
        </ns0:is>
      </ns0:c>
      <ns0:c r="Q327" s="94" t="inlineStr">
        <ns0:is>
          <ns0:t>Premium local</ns0:t>
        </ns0:is>
      </ns0:c>
      <ns0:c r="R327" s="94" t="inlineStr">
        <ns0:is>
          <ns0:t>Nova construção</ns0:t>
        </ns0:is>
      </ns0:c>
      <ns0:c r="S327" s="94"/>
      <ns0:c r="T327" s="94" t="inlineStr">
        <ns0:is>
          <ns0:t>Não incluído no preço; disponibilidade por confirmar</ns0:t>
        </ns0:is>
      </ns0:c>
      <ns0:c r="U327" s="94"/>
      <ns0:c r="V327" s="94"/>
      <ns0:c r="W327" s="97" t="n">
        <ns0:v>0.9</ns0:v>
      </ns0:c>
      <ns0:c r="X327" s="94" t="inlineStr">
        <ns0:is>
          <ns0:t>A · Premium local; vistas estimadas</ns0:t>
        </ns0:is>
      </ns0:c>
      <ns0:c r="Y327" s="94" t="inlineStr">
        <ns0:is>
          <ns0:t>Média</ns0:t>
        </ns0:is>
      </ns0:c>
      <ns0:c r="Z327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</ns0:t>
        </ns0:is>
      </ns0:c>
      <ns0:c r="AA327" s="94" t="inlineStr">
        <ns0:is>
          <ns0:t>Confirmar vista, orientação, disponibilidade e condições atuais.</ns0:t>
        </ns0:is>
      </ns0:c>
      <ns0:c r="AB327" s="94" t="inlineStr">
        <ns0:is>
          <ns0:t>Média</ns0:t>
        </ns0:is>
      </ns0:c>
      <ns0:c r="AJ327" s="94" t="inlineStr">
        <ns0:is>
          <ns0:t>LB</ns0:t>
        </ns0:is>
      </ns0:c>
      <ns0:c r="AK327" s="94" t="inlineStr">
        <ns0:is>
          <ns0:t>Convencional</ns0:t>
        </ns0:is>
      </ns0:c>
      <ns0:c r="AL327" s="94" t="n">
        <ns0:v>2</ns0:v>
      </ns0:c>
      <ns0:c r="AM327" s="94" t="n">
        <ns0:v>3</ns0:v>
      </ns0:c>
      <ns0:c r="AN327" s="94" t="inlineStr">
        <ns0:is>
          <ns0:t>Estimada · baixa</ns0:t>
        </ns0:is>
      </ns0:c>
      <ns0:c r="AO327" s="94" t="inlineStr">
        <ns0:is>
          <ns0:t>Estimativa de implantação fornecida pela gestão; piso considerado sem confirmação geométrica.</ns0:t>
        </ns0:is>
      </ns0:c>
      <ns0:c r="AP327" s="94" t="inlineStr">
        <ns0:is>
          <ns0:t>Sim</ns0:t>
        </ns0:is>
      </ns0:c>
      <ns0:c r="AQ327" s="94" t="inlineStr">
        <ns0:is>
          <ns0:t>Olhão</ns0:t>
        </ns0:is>
      </ns0:c>
      <ns0:c r="AR327" s="94" t="inlineStr">
        <ns0:is>
          <ns0:t>BelaFormosa Price List September 2026, p. 1</ns0:t>
        </ns0:is>
      </ns0:c>
    </ns0:row>
    <ns0:row r="328" ht="72" customHeight="1">
      <ns0:c r="A328" s="94" t="inlineStr">
        <ns0:is>
          <ns0:t>BelaFormosa</ns0:t>
        </ns0:is>
      </ns0:c>
      <ns0:c r="B328" s="94" t="inlineStr">
        <ns0:is>
          <ns0:t>LB108</ns0:t>
        </ns0:is>
      </ns0:c>
      <ns0:c r="C328" s="94" t="n">
        <ns0:v>1</ns0:v>
      </ns0:c>
      <ns0:c r="D328" s="94" t="inlineStr">
        <ns0:is>
          <ns0:t>T1</ns0:t>
        </ns0:is>
      </ns0:c>
      <ns0:c r="E328" s="94"/>
      <ns0:c r="F328" s="97" t="n">
        <ns0:v>60.25</ns0:v>
      </ns0:c>
      <ns0:c r="G328" s="97" t="n">
        <ns0:v>30.75</ns0:v>
      </ns0:c>
      <ns0:c r="H328" s="97" t="n">
        <ns0:v>91.0</ns0:v>
      </ns0:c>
      <ns0:c r="I328" s="95" t="n">
        <ns0:v>405000</ns0:v>
      </ns0:c>
      <ns0:c r="J328" s="94" t="n">
        <ns0:v>2026</ns0:v>
      </ns0:c>
      <ns0:c r="K328" s="95" t="n">
        <ns0:v>6721.991701244813</ns0:v>
      </ns0:c>
      <ns0:c r="L328" s="95" t="n">
        <ns0:v>4450.549450549451</ns0:v>
      </ns0:c>
      <ns0:c r="M328" s="94" t="inlineStr">
        <ns0:is>
          <ns0:t>Reservado</ns0:t>
        </ns0:is>
      </ns0:c>
      <ns0:c r="N328" s="94" t="inlineStr">
        <ns0:is>
          <ns0:t>BelaFormosa · Price List September 2026 · p. 1</ns0:t>
        </ns0:is>
      </ns0:c>
      <ns0:c r="O328" s="94"/>
      <ns0:c r="P328" s="94" t="inlineStr">
        <ns0:is>
          <ns0:t>2026-09</ns0:t>
        </ns0:is>
      </ns0:c>
      <ns0:c r="Q328" s="94" t="inlineStr">
        <ns0:is>
          <ns0:t>Premium local</ns0:t>
        </ns0:is>
      </ns0:c>
      <ns0:c r="R328" s="94" t="inlineStr">
        <ns0:is>
          <ns0:t>Nova construção</ns0:t>
        </ns0:is>
      </ns0:c>
      <ns0:c r="S328" s="94"/>
      <ns0:c r="T328" s="94" t="inlineStr">
        <ns0:is>
          <ns0:t>Não incluído no preço; disponibilidade por confirmar</ns0:t>
        </ns0:is>
      </ns0:c>
      <ns0:c r="U328" s="94"/>
      <ns0:c r="V328" s="94"/>
      <ns0:c r="W328" s="97" t="n">
        <ns0:v>0.9</ns0:v>
      </ns0:c>
      <ns0:c r="X328" s="94" t="inlineStr">
        <ns0:is>
          <ns0:t>A · Premium local; vistas estimadas</ns0:t>
        </ns0:is>
      </ns0:c>
      <ns0:c r="Y328" s="94" t="inlineStr">
        <ns0:is>
          <ns0:t>Média</ns0:t>
        </ns0:is>
      </ns0:c>
      <ns0:c r="Z328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 Reservado, não vendido. Preço extraído mantido por autorização da gestão; não constitui oferta ativa.</ns0:t>
        </ns0:is>
      </ns0:c>
      <ns0:c r="AA328" s="94" t="inlineStr">
        <ns0:is>
          <ns0:t>Confirmar vista, orientação, disponibilidade e condições atuais.</ns0:t>
        </ns0:is>
      </ns0:c>
      <ns0:c r="AB328" s="94" t="inlineStr">
        <ns0:is>
          <ns0:t>Alta</ns0:t>
        </ns0:is>
      </ns0:c>
      <ns0:c r="AJ328" s="94" t="inlineStr">
        <ns0:is>
          <ns0:t>LB</ns0:t>
        </ns0:is>
      </ns0:c>
      <ns0:c r="AK328" s="94" t="inlineStr">
        <ns0:is>
          <ns0:t>Convencional</ns0:t>
        </ns0:is>
      </ns0:c>
      <ns0:c r="AL328" s="94" t="n">
        <ns0:v>2</ns0:v>
      </ns0:c>
      <ns0:c r="AM328" s="94" t="n">
        <ns0:v>3</ns0:v>
      </ns0:c>
      <ns0:c r="AN328" s="94" t="inlineStr">
        <ns0:is>
          <ns0:t>Estimada · baixa</ns0:t>
        </ns0:is>
      </ns0:c>
      <ns0:c r="AO328" s="94" t="inlineStr">
        <ns0:is>
          <ns0:t>Estimativa de implantação fornecida pela gestão; piso considerado sem confirmação geométrica.</ns0:t>
        </ns0:is>
      </ns0:c>
      <ns0:c r="AP328" s="94" t="inlineStr">
        <ns0:is>
          <ns0:t>Não · reservado</ns0:t>
        </ns0:is>
      </ns0:c>
      <ns0:c r="AQ328" s="94" t="inlineStr">
        <ns0:is>
          <ns0:t>Olhão</ns0:t>
        </ns0:is>
      </ns0:c>
      <ns0:c r="AR328" s="94" t="inlineStr">
        <ns0:is>
          <ns0:t>BelaFormosa Price List September 2026, p. 1</ns0:t>
        </ns0:is>
      </ns0:c>
    </ns0:row>
    <ns0:row r="329" ht="72" customHeight="1">
      <ns0:c r="A329" s="94" t="inlineStr">
        <ns0:is>
          <ns0:t>BelaFormosa</ns0:t>
        </ns0:is>
      </ns0:c>
      <ns0:c r="B329" s="94" t="inlineStr">
        <ns0:is>
          <ns0:t>LB109</ns0:t>
        </ns0:is>
      </ns0:c>
      <ns0:c r="C329" s="94" t="n">
        <ns0:v>1</ns0:v>
      </ns0:c>
      <ns0:c r="D329" s="94" t="inlineStr">
        <ns0:is>
          <ns0:t>T2</ns0:t>
        </ns0:is>
      </ns0:c>
      <ns0:c r="E329" s="94"/>
      <ns0:c r="F329" s="97" t="n">
        <ns0:v>89.25</ns0:v>
      </ns0:c>
      <ns0:c r="G329" s="97" t="n">
        <ns0:v>50.25</ns0:v>
      </ns0:c>
      <ns0:c r="H329" s="97" t="n">
        <ns0:v>139.5</ns0:v>
      </ns0:c>
      <ns0:c r="I329" s="95" t="n">
        <ns0:v>595000</ns0:v>
      </ns0:c>
      <ns0:c r="J329" s="94" t="n">
        <ns0:v>2026</ns0:v>
      </ns0:c>
      <ns0:c r="K329" s="95" t="n">
        <ns0:v>6666.666666666667</ns0:v>
      </ns0:c>
      <ns0:c r="L329" s="95" t="n">
        <ns0:v>4265.232974910395</ns0:v>
      </ns0:c>
      <ns0:c r="M329" s="94" t="inlineStr">
        <ns0:is>
          <ns0:t>Ativo</ns0:t>
        </ns0:is>
      </ns0:c>
      <ns0:c r="N329" s="94" t="inlineStr">
        <ns0:is>
          <ns0:t>BelaFormosa · Price List September 2026 · p. 1</ns0:t>
        </ns0:is>
      </ns0:c>
      <ns0:c r="O329" s="94"/>
      <ns0:c r="P329" s="94" t="inlineStr">
        <ns0:is>
          <ns0:t>2026-09</ns0:t>
        </ns0:is>
      </ns0:c>
      <ns0:c r="Q329" s="94" t="inlineStr">
        <ns0:is>
          <ns0:t>Premium local</ns0:t>
        </ns0:is>
      </ns0:c>
      <ns0:c r="R329" s="94" t="inlineStr">
        <ns0:is>
          <ns0:t>Nova construção</ns0:t>
        </ns0:is>
      </ns0:c>
      <ns0:c r="S329" s="94"/>
      <ns0:c r="T329" s="94" t="inlineStr">
        <ns0:is>
          <ns0:t>Não incluído no preço; disponibilidade por confirmar</ns0:t>
        </ns0:is>
      </ns0:c>
      <ns0:c r="U329" s="94"/>
      <ns0:c r="V329" s="94"/>
      <ns0:c r="W329" s="97" t="n">
        <ns0:v>0.9</ns0:v>
      </ns0:c>
      <ns0:c r="X329" s="94" t="inlineStr">
        <ns0:is>
          <ns0:t>A · Premium local; vistas estimadas</ns0:t>
        </ns0:is>
      </ns0:c>
      <ns0:c r="Y329" s="94" t="inlineStr">
        <ns0:is>
          <ns0:t>Média</ns0:t>
        </ns0:is>
      </ns0:c>
      <ns0:c r="Z329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29" s="94" t="inlineStr">
        <ns0:is>
          <ns0:t>Confirmar vista, orientação, disponibilidade e condições atuais.</ns0:t>
        </ns0:is>
      </ns0:c>
      <ns0:c r="AB329" s="94" t="inlineStr">
        <ns0:is>
          <ns0:t>Média</ns0:t>
        </ns0:is>
      </ns0:c>
      <ns0:c r="AJ329" s="94" t="inlineStr">
        <ns0:is>
          <ns0:t>LB</ns0:t>
        </ns0:is>
      </ns0:c>
      <ns0:c r="AK329" s="94" t="inlineStr">
        <ns0:is>
          <ns0:t>Convencional</ns0:t>
        </ns0:is>
      </ns0:c>
      <ns0:c r="AL329" s="94" t="n">
        <ns0:v>2</ns0:v>
      </ns0:c>
      <ns0:c r="AM329" s="94" t="n">
        <ns0:v>3</ns0:v>
      </ns0:c>
      <ns0:c r="AN329" s="94" t="inlineStr">
        <ns0:is>
          <ns0:t>Estimada · baixa</ns0:t>
        </ns0:is>
      </ns0:c>
      <ns0:c r="AO329" s="94" t="inlineStr">
        <ns0:is>
          <ns0:t>Estimativa de implantação fornecida pela gestão; piso considerado sem confirmação geométrica.</ns0:t>
        </ns0:is>
      </ns0:c>
      <ns0:c r="AP329" s="94" t="inlineStr">
        <ns0:is>
          <ns0:t>Sim</ns0:t>
        </ns0:is>
      </ns0:c>
      <ns0:c r="AQ329" s="94" t="inlineStr">
        <ns0:is>
          <ns0:t>Olhão</ns0:t>
        </ns0:is>
      </ns0:c>
      <ns0:c r="AR329" s="94" t="inlineStr">
        <ns0:is>
          <ns0:t>BelaFormosa Price List September 2026, p. 1</ns0:t>
        </ns0:is>
      </ns0:c>
    </ns0:row>
    <ns0:row r="330" ht="72" customHeight="1">
      <ns0:c r="A330" s="94" t="inlineStr">
        <ns0:is>
          <ns0:t>BelaFormosa</ns0:t>
        </ns0:is>
      </ns0:c>
      <ns0:c r="B330" s="94" t="inlineStr">
        <ns0:is>
          <ns0:t>LB110</ns0:t>
        </ns0:is>
      </ns0:c>
      <ns0:c r="C330" s="94" t="n">
        <ns0:v>1</ns0:v>
      </ns0:c>
      <ns0:c r="D330" s="94" t="inlineStr">
        <ns0:is>
          <ns0:t>T2</ns0:t>
        </ns0:is>
      </ns0:c>
      <ns0:c r="E330" s="94"/>
      <ns0:c r="F330" s="97" t="n">
        <ns0:v>91.0</ns0:v>
      </ns0:c>
      <ns0:c r="G330" s="97" t="n">
        <ns0:v>110.0</ns0:v>
      </ns0:c>
      <ns0:c r="H330" s="97" t="n">
        <ns0:v>201.0</ns0:v>
      </ns0:c>
      <ns0:c r="I330" s="95" t="n">
        <ns0:v>605000</ns0:v>
      </ns0:c>
      <ns0:c r="J330" s="94" t="n">
        <ns0:v>2026</ns0:v>
      </ns0:c>
      <ns0:c r="K330" s="95" t="n">
        <ns0:v>6648.351648351649</ns0:v>
      </ns0:c>
      <ns0:c r="L330" s="95" t="n">
        <ns0:v>3009.950248756219</ns0:v>
      </ns0:c>
      <ns0:c r="M330" s="94" t="inlineStr">
        <ns0:is>
          <ns0:t>Reservado</ns0:t>
        </ns0:is>
      </ns0:c>
      <ns0:c r="N330" s="94" t="inlineStr">
        <ns0:is>
          <ns0:t>BelaFormosa · Price List September 2026 · p. 1</ns0:t>
        </ns0:is>
      </ns0:c>
      <ns0:c r="O330" s="94"/>
      <ns0:c r="P330" s="94" t="inlineStr">
        <ns0:is>
          <ns0:t>2026-09</ns0:t>
        </ns0:is>
      </ns0:c>
      <ns0:c r="Q330" s="94" t="inlineStr">
        <ns0:is>
          <ns0:t>Premium local</ns0:t>
        </ns0:is>
      </ns0:c>
      <ns0:c r="R330" s="94" t="inlineStr">
        <ns0:is>
          <ns0:t>Nova construção</ns0:t>
        </ns0:is>
      </ns0:c>
      <ns0:c r="S330" s="94"/>
      <ns0:c r="T330" s="94" t="inlineStr">
        <ns0:is>
          <ns0:t>Não incluído no preço; disponibilidade por confirmar</ns0:t>
        </ns0:is>
      </ns0:c>
      <ns0:c r="U330" s="94"/>
      <ns0:c r="V330" s="94"/>
      <ns0:c r="W330" s="97" t="n">
        <ns0:v>0.9</ns0:v>
      </ns0:c>
      <ns0:c r="X330" s="94" t="inlineStr">
        <ns0:is>
          <ns0:t>A · Premium local; vistas estimadas</ns0:t>
        </ns0:is>
      </ns0:c>
      <ns0:c r="Y330" s="94" t="inlineStr">
        <ns0:is>
          <ns0:t>Média</ns0:t>
        </ns0:is>
      </ns0:c>
      <ns0:c r="Z330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 Reservado, não vendido. Preço extraído mantido por autorização da gestão; não constitui oferta ativa.</ns0:t>
        </ns0:is>
      </ns0:c>
      <ns0:c r="AA330" s="94" t="inlineStr">
        <ns0:is>
          <ns0:t>Confirmar vista, orientação, disponibilidade e condições atuais.</ns0:t>
        </ns0:is>
      </ns0:c>
      <ns0:c r="AB330" s="94" t="inlineStr">
        <ns0:is>
          <ns0:t>Alta</ns0:t>
        </ns0:is>
      </ns0:c>
      <ns0:c r="AJ330" s="94" t="inlineStr">
        <ns0:is>
          <ns0:t>LB</ns0:t>
        </ns0:is>
      </ns0:c>
      <ns0:c r="AK330" s="94" t="inlineStr">
        <ns0:is>
          <ns0:t>Convencional</ns0:t>
        </ns0:is>
      </ns0:c>
      <ns0:c r="AL330" s="94" t="n">
        <ns0:v>3</ns0:v>
      </ns0:c>
      <ns0:c r="AM330" s="94" t="n">
        <ns0:v>4</ns0:v>
      </ns0:c>
      <ns0:c r="AN330" s="94" t="inlineStr">
        <ns0:is>
          <ns0:t>Estimada · baixa</ns0:t>
        </ns0:is>
      </ns0:c>
      <ns0:c r="AO330" s="94" t="inlineStr">
        <ns0:is>
          <ns0:t>Estimativa de implantação fornecida pela gestão; piso considerado sem confirmação geométrica.</ns0:t>
        </ns0:is>
      </ns0:c>
      <ns0:c r="AP330" s="94" t="inlineStr">
        <ns0:is>
          <ns0:t>Não · reservado</ns0:t>
        </ns0:is>
      </ns0:c>
      <ns0:c r="AQ330" s="94" t="inlineStr">
        <ns0:is>
          <ns0:t>Olhão</ns0:t>
        </ns0:is>
      </ns0:c>
      <ns0:c r="AR330" s="94" t="inlineStr">
        <ns0:is>
          <ns0:t>BelaFormosa Price List September 2026, p. 1</ns0:t>
        </ns0:is>
      </ns0:c>
    </ns0:row>
    <ns0:row r="331" ht="72" customHeight="1">
      <ns0:c r="A331" s="94" t="inlineStr">
        <ns0:is>
          <ns0:t>BelaFormosa</ns0:t>
        </ns0:is>
      </ns0:c>
      <ns0:c r="B331" s="94" t="inlineStr">
        <ns0:is>
          <ns0:t>LB111</ns0:t>
        </ns0:is>
      </ns0:c>
      <ns0:c r="C331" s="94" t="n">
        <ns0:v>1</ns0:v>
      </ns0:c>
      <ns0:c r="D331" s="94" t="inlineStr">
        <ns0:is>
          <ns0:t>T2</ns0:t>
        </ns0:is>
      </ns0:c>
      <ns0:c r="E331" s="94"/>
      <ns0:c r="F331" s="97" t="n">
        <ns0:v>93.75</ns0:v>
      </ns0:c>
      <ns0:c r="G331" s="97" t="n">
        <ns0:v>38.5</ns0:v>
      </ns0:c>
      <ns0:c r="H331" s="97" t="n">
        <ns0:v>132.25</ns0:v>
      </ns0:c>
      <ns0:c r="I331" s="95" t="n">
        <ns0:v>625000</ns0:v>
      </ns0:c>
      <ns0:c r="J331" s="94" t="n">
        <ns0:v>2026</ns0:v>
      </ns0:c>
      <ns0:c r="K331" s="95" t="n">
        <ns0:v>6666.666666666667</ns0:v>
      </ns0:c>
      <ns0:c r="L331" s="95" t="n">
        <ns0:v>4725.897920604915</ns0:v>
      </ns0:c>
      <ns0:c r="M331" s="94" t="inlineStr">
        <ns0:is>
          <ns0:t>Ativo</ns0:t>
        </ns0:is>
      </ns0:c>
      <ns0:c r="N331" s="94" t="inlineStr">
        <ns0:is>
          <ns0:t>BelaFormosa · Price List September 2026 · p. 1</ns0:t>
        </ns0:is>
      </ns0:c>
      <ns0:c r="O331" s="94"/>
      <ns0:c r="P331" s="94" t="inlineStr">
        <ns0:is>
          <ns0:t>2026-09</ns0:t>
        </ns0:is>
      </ns0:c>
      <ns0:c r="Q331" s="94" t="inlineStr">
        <ns0:is>
          <ns0:t>Premium local</ns0:t>
        </ns0:is>
      </ns0:c>
      <ns0:c r="R331" s="94" t="inlineStr">
        <ns0:is>
          <ns0:t>Nova construção</ns0:t>
        </ns0:is>
      </ns0:c>
      <ns0:c r="S331" s="94"/>
      <ns0:c r="T331" s="94" t="inlineStr">
        <ns0:is>
          <ns0:t>Não incluído no preço; disponibilidade por confirmar</ns0:t>
        </ns0:is>
      </ns0:c>
      <ns0:c r="U331" s="94"/>
      <ns0:c r="V331" s="94"/>
      <ns0:c r="W331" s="97" t="n">
        <ns0:v>0.9</ns0:v>
      </ns0:c>
      <ns0:c r="X331" s="94" t="inlineStr">
        <ns0:is>
          <ns0:t>A · Premium local; vistas estimadas</ns0:t>
        </ns0:is>
      </ns0:c>
      <ns0:c r="Y331" s="94" t="inlineStr">
        <ns0:is>
          <ns0:t>Média</ns0:t>
        </ns0:is>
      </ns0:c>
      <ns0:c r="Z331" s="94" t="inlineStr">
        <ns0:is>
          <ns0:t>Preço pedido, não transação. Garagem/arrecadação não incluídas. Desconto de 5% mencionado na fonte não aplicado automaticamente. Tipologia de planta: E. Posição lateral/retaguarda; intervalo preliminar 3–4, sem confirmação por altura.</ns0:t>
        </ns0:is>
      </ns0:c>
      <ns0:c r="AA331" s="94" t="inlineStr">
        <ns0:is>
          <ns0:t>Confirmar vista, orientação, disponibilidade e condições atuais.</ns0:t>
        </ns0:is>
      </ns0:c>
      <ns0:c r="AB331" s="94" t="inlineStr">
        <ns0:is>
          <ns0:t>Média</ns0:t>
        </ns0:is>
      </ns0:c>
      <ns0:c r="AJ331" s="94" t="inlineStr">
        <ns0:is>
          <ns0:t>LB</ns0:t>
        </ns0:is>
      </ns0:c>
      <ns0:c r="AK331" s="94" t="inlineStr">
        <ns0:is>
          <ns0:t>Convencional</ns0:t>
        </ns0:is>
      </ns0:c>
      <ns0:c r="AL331" s="94" t="n">
        <ns0:v>3</ns0:v>
      </ns0:c>
      <ns0:c r="AM331" s="94" t="n">
        <ns0:v>4</ns0:v>
      </ns0:c>
      <ns0:c r="AN331" s="94" t="inlineStr">
        <ns0:is>
          <ns0:t>Estimada · baixa</ns0:t>
        </ns0:is>
      </ns0:c>
      <ns0:c r="AO331" s="94" t="inlineStr">
        <ns0:is>
          <ns0:t>Estimativa de implantação fornecida pela gestão; piso considerado sem confirmação geométrica.</ns0:t>
        </ns0:is>
      </ns0:c>
      <ns0:c r="AP331" s="94" t="inlineStr">
        <ns0:is>
          <ns0:t>Sim</ns0:t>
        </ns0:is>
      </ns0:c>
      <ns0:c r="AQ331" s="94" t="inlineStr">
        <ns0:is>
          <ns0:t>Olhão</ns0:t>
        </ns0:is>
      </ns0:c>
      <ns0:c r="AR331" s="94" t="inlineStr">
        <ns0:is>
          <ns0:t>BelaFormosa Price List September 2026, p. 1</ns0:t>
        </ns0:is>
      </ns0:c>
    </ns0:row>
    <ns0:row r="332" ht="72" customHeight="1">
      <ns0:c r="A332" s="94" t="inlineStr">
        <ns0:is>
          <ns0:t>BelaFormosa</ns0:t>
        </ns0:is>
      </ns0:c>
      <ns0:c r="B332" s="94" t="inlineStr">
        <ns0:is>
          <ns0:t>LB201</ns0:t>
        </ns0:is>
      </ns0:c>
      <ns0:c r="C332" s="94" t="n">
        <ns0:v>2</ns0:v>
      </ns0:c>
      <ns0:c r="D332" s="94" t="inlineStr">
        <ns0:is>
          <ns0:t>T2</ns0:t>
        </ns0:is>
      </ns0:c>
      <ns0:c r="E332" s="94"/>
      <ns0:c r="F332" s="97" t="n">
        <ns0:v>91.0</ns0:v>
      </ns0:c>
      <ns0:c r="G332" s="97" t="n">
        <ns0:v>42.5</ns0:v>
      </ns0:c>
      <ns0:c r="H332" s="97" t="n">
        <ns0:v>133.5</ns0:v>
      </ns0:c>
      <ns0:c r="I332" s="95" t="n">
        <ns0:v>640000</ns0:v>
      </ns0:c>
      <ns0:c r="J332" s="94" t="n">
        <ns0:v>2026</ns0:v>
      </ns0:c>
      <ns0:c r="K332" s="95" t="n">
        <ns0:v>7032.9670329670325</ns0:v>
      </ns0:c>
      <ns0:c r="L332" s="95" t="n">
        <ns0:v>4794.0074906367045</ns0:v>
      </ns0:c>
      <ns0:c r="M332" s="94" t="inlineStr">
        <ns0:is>
          <ns0:t>Ativo</ns0:t>
        </ns0:is>
      </ns0:c>
      <ns0:c r="N332" s="94" t="inlineStr">
        <ns0:is>
          <ns0:t>BelaFormosa · Price List September 2026 · p. 1</ns0:t>
        </ns0:is>
      </ns0:c>
      <ns0:c r="O332" s="94"/>
      <ns0:c r="P332" s="94" t="inlineStr">
        <ns0:is>
          <ns0:t>2026-09</ns0:t>
        </ns0:is>
      </ns0:c>
      <ns0:c r="Q332" s="94" t="inlineStr">
        <ns0:is>
          <ns0:t>Premium local</ns0:t>
        </ns0:is>
      </ns0:c>
      <ns0:c r="R332" s="94" t="inlineStr">
        <ns0:is>
          <ns0:t>Nova construção</ns0:t>
        </ns0:is>
      </ns0:c>
      <ns0:c r="S332" s="94"/>
      <ns0:c r="T332" s="94" t="inlineStr">
        <ns0:is>
          <ns0:t>Não incluído no preço; disponibilidade por confirmar</ns0:t>
        </ns0:is>
      </ns0:c>
      <ns0:c r="U332" s="94"/>
      <ns0:c r="V332" s="94"/>
      <ns0:c r="W332" s="97" t="n">
        <ns0:v>0.9</ns0:v>
      </ns0:c>
      <ns0:c r="X332" s="94" t="inlineStr">
        <ns0:is>
          <ns0:t>A · Premium local; vistas estimadas</ns0:t>
        </ns0:is>
      </ns0:c>
      <ns0:c r="Y332" s="94" t="inlineStr">
        <ns0:is>
          <ns0:t>Média</ns0:t>
        </ns0:is>
      </ns0:c>
      <ns0:c r="Z332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</ns0:t>
        </ns0:is>
      </ns0:c>
      <ns0:c r="AA332" s="94" t="inlineStr">
        <ns0:is>
          <ns0:t>Confirmar vista, orientação, disponibilidade e condições atuais.</ns0:t>
        </ns0:is>
      </ns0:c>
      <ns0:c r="AB332" s="94" t="inlineStr">
        <ns0:is>
          <ns0:t>Média</ns0:t>
        </ns0:is>
      </ns0:c>
      <ns0:c r="AJ332" s="94" t="inlineStr">
        <ns0:is>
          <ns0:t>LB</ns0:t>
        </ns0:is>
      </ns0:c>
      <ns0:c r="AK332" s="94" t="inlineStr">
        <ns0:is>
          <ns0:t>Convencional</ns0:t>
        </ns0:is>
      </ns0:c>
      <ns0:c r="AL332" s="94" t="n">
        <ns0:v>3</ns0:v>
      </ns0:c>
      <ns0:c r="AM332" s="94" t="n">
        <ns0:v>4</ns0:v>
      </ns0:c>
      <ns0:c r="AN332" s="94" t="inlineStr">
        <ns0:is>
          <ns0:t>Estimada · baixa</ns0:t>
        </ns0:is>
      </ns0:c>
      <ns0:c r="AO332" s="94" t="inlineStr">
        <ns0:is>
          <ns0:t>Estimativa de implantação fornecida pela gestão; piso considerado sem confirmação geométrica.</ns0:t>
        </ns0:is>
      </ns0:c>
      <ns0:c r="AP332" s="94" t="inlineStr">
        <ns0:is>
          <ns0:t>Sim</ns0:t>
        </ns0:is>
      </ns0:c>
      <ns0:c r="AQ332" s="94" t="inlineStr">
        <ns0:is>
          <ns0:t>Olhão</ns0:t>
        </ns0:is>
      </ns0:c>
      <ns0:c r="AR332" s="94" t="inlineStr">
        <ns0:is>
          <ns0:t>BelaFormosa Price List September 2026, p. 1</ns0:t>
        </ns0:is>
      </ns0:c>
    </ns0:row>
    <ns0:row r="333" ht="72" customHeight="1">
      <ns0:c r="A333" s="94" t="inlineStr">
        <ns0:is>
          <ns0:t>BelaFormosa</ns0:t>
        </ns0:is>
      </ns0:c>
      <ns0:c r="B333" s="94" t="inlineStr">
        <ns0:is>
          <ns0:t>LB202</ns0:t>
        </ns0:is>
      </ns0:c>
      <ns0:c r="C333" s="94" t="n">
        <ns0:v>2</ns0:v>
      </ns0:c>
      <ns0:c r="D333" s="94" t="inlineStr">
        <ns0:is>
          <ns0:t>T2</ns0:t>
        </ns0:is>
      </ns0:c>
      <ns0:c r="E333" s="94"/>
      <ns0:c r="F333" s="97" t="n">
        <ns0:v>89.25</ns0:v>
      </ns0:c>
      <ns0:c r="G333" s="97" t="n">
        <ns0:v>18.0</ns0:v>
      </ns0:c>
      <ns0:c r="H333" s="97" t="n">
        <ns0:v>107.25</ns0:v>
      </ns0:c>
      <ns0:c r="I333" s="95" t="n">
        <ns0:v>625000</ns0:v>
      </ns0:c>
      <ns0:c r="J333" s="94" t="n">
        <ns0:v>2026</ns0:v>
      </ns0:c>
      <ns0:c r="K333" s="95" t="n">
        <ns0:v>7002.801120448179</ns0:v>
      </ns0:c>
      <ns0:c r="L333" s="95" t="n">
        <ns0:v>5827.505827505827</ns0:v>
      </ns0:c>
      <ns0:c r="M333" s="94" t="inlineStr">
        <ns0:is>
          <ns0:t>Ativo</ns0:t>
        </ns0:is>
      </ns0:c>
      <ns0:c r="N333" s="94" t="inlineStr">
        <ns0:is>
          <ns0:t>BelaFormosa · Price List September 2026 · p. 1</ns0:t>
        </ns0:is>
      </ns0:c>
      <ns0:c r="O333" s="94"/>
      <ns0:c r="P333" s="94" t="inlineStr">
        <ns0:is>
          <ns0:t>2026-09</ns0:t>
        </ns0:is>
      </ns0:c>
      <ns0:c r="Q333" s="94" t="inlineStr">
        <ns0:is>
          <ns0:t>Premium local</ns0:t>
        </ns0:is>
      </ns0:c>
      <ns0:c r="R333" s="94" t="inlineStr">
        <ns0:is>
          <ns0:t>Nova construção</ns0:t>
        </ns0:is>
      </ns0:c>
      <ns0:c r="S333" s="94"/>
      <ns0:c r="T333" s="94" t="inlineStr">
        <ns0:is>
          <ns0:t>Não incluído no preço; disponibilidade por confirmar</ns0:t>
        </ns0:is>
      </ns0:c>
      <ns0:c r="U333" s="94"/>
      <ns0:c r="V333" s="94"/>
      <ns0:c r="W333" s="97" t="n">
        <ns0:v>0.9</ns0:v>
      </ns0:c>
      <ns0:c r="X333" s="94" t="inlineStr">
        <ns0:is>
          <ns0:t>A · Premium local; vistas estimadas</ns0:t>
        </ns0:is>
      </ns0:c>
      <ns0:c r="Y333" s="94" t="inlineStr">
        <ns0:is>
          <ns0:t>Média</ns0:t>
        </ns0:is>
      </ns0:c>
      <ns0:c r="Z333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33" s="94" t="inlineStr">
        <ns0:is>
          <ns0:t>Confirmar vista, orientação, disponibilidade e condições atuais.</ns0:t>
        </ns0:is>
      </ns0:c>
      <ns0:c r="AB333" s="94" t="inlineStr">
        <ns0:is>
          <ns0:t>Média</ns0:t>
        </ns0:is>
      </ns0:c>
      <ns0:c r="AJ333" s="94" t="inlineStr">
        <ns0:is>
          <ns0:t>LB</ns0:t>
        </ns0:is>
      </ns0:c>
      <ns0:c r="AK333" s="94" t="inlineStr">
        <ns0:is>
          <ns0:t>Convencional</ns0:t>
        </ns0:is>
      </ns0:c>
      <ns0:c r="AL333" s="94" t="n">
        <ns0:v>3</ns0:v>
      </ns0:c>
      <ns0:c r="AM333" s="94" t="n">
        <ns0:v>4</ns0:v>
      </ns0:c>
      <ns0:c r="AN333" s="94" t="inlineStr">
        <ns0:is>
          <ns0:t>Estimada · baixa</ns0:t>
        </ns0:is>
      </ns0:c>
      <ns0:c r="AO333" s="94" t="inlineStr">
        <ns0:is>
          <ns0:t>Estimativa de implantação fornecida pela gestão; piso considerado sem confirmação geométrica.</ns0:t>
        </ns0:is>
      </ns0:c>
      <ns0:c r="AP333" s="94" t="inlineStr">
        <ns0:is>
          <ns0:t>Sim</ns0:t>
        </ns0:is>
      </ns0:c>
      <ns0:c r="AQ333" s="94" t="inlineStr">
        <ns0:is>
          <ns0:t>Olhão</ns0:t>
        </ns0:is>
      </ns0:c>
      <ns0:c r="AR333" s="94" t="inlineStr">
        <ns0:is>
          <ns0:t>BelaFormosa Price List September 2026, p. 1</ns0:t>
        </ns0:is>
      </ns0:c>
    </ns0:row>
    <ns0:row r="334" ht="72" customHeight="1">
      <ns0:c r="A334" s="94" t="inlineStr">
        <ns0:is>
          <ns0:t>BelaFormosa</ns0:t>
        </ns0:is>
      </ns0:c>
      <ns0:c r="B334" s="94" t="inlineStr">
        <ns0:is>
          <ns0:t>LB203</ns0:t>
        </ns0:is>
      </ns0:c>
      <ns0:c r="C334" s="94" t="n">
        <ns0:v>2</ns0:v>
      </ns0:c>
      <ns0:c r="D334" s="94" t="inlineStr">
        <ns0:is>
          <ns0:t>T1</ns0:t>
        </ns0:is>
      </ns0:c>
      <ns0:c r="E334" s="94"/>
      <ns0:c r="F334" s="97" t="n">
        <ns0:v>60.25</ns0:v>
      </ns0:c>
      <ns0:c r="G334" s="97" t="n">
        <ns0:v>12.0</ns0:v>
      </ns0:c>
      <ns0:c r="H334" s="97" t="n">
        <ns0:v>72.25</ns0:v>
      </ns0:c>
      <ns0:c r="I334" s="95" t="n">
        <ns0:v>425000</ns0:v>
      </ns0:c>
      <ns0:c r="J334" s="94" t="n">
        <ns0:v>2026</ns0:v>
      </ns0:c>
      <ns0:c r="K334" s="95" t="n">
        <ns0:v>7053.941908713693</ns0:v>
      </ns0:c>
      <ns0:c r="L334" s="95" t="n">
        <ns0:v>5882.35294117647</ns0:v>
      </ns0:c>
      <ns0:c r="M334" s="94" t="inlineStr">
        <ns0:is>
          <ns0:t>Ativo</ns0:t>
        </ns0:is>
      </ns0:c>
      <ns0:c r="N334" s="94" t="inlineStr">
        <ns0:is>
          <ns0:t>BelaFormosa · Price List September 2026 · p. 1</ns0:t>
        </ns0:is>
      </ns0:c>
      <ns0:c r="O334" s="94"/>
      <ns0:c r="P334" s="94" t="inlineStr">
        <ns0:is>
          <ns0:t>2026-09</ns0:t>
        </ns0:is>
      </ns0:c>
      <ns0:c r="Q334" s="94" t="inlineStr">
        <ns0:is>
          <ns0:t>Premium local</ns0:t>
        </ns0:is>
      </ns0:c>
      <ns0:c r="R334" s="94" t="inlineStr">
        <ns0:is>
          <ns0:t>Nova construção</ns0:t>
        </ns0:is>
      </ns0:c>
      <ns0:c r="S334" s="94"/>
      <ns0:c r="T334" s="94" t="inlineStr">
        <ns0:is>
          <ns0:t>Não incluído no preço; disponibilidade por confirmar</ns0:t>
        </ns0:is>
      </ns0:c>
      <ns0:c r="U334" s="94"/>
      <ns0:c r="V334" s="94"/>
      <ns0:c r="W334" s="97" t="n">
        <ns0:v>0.9</ns0:v>
      </ns0:c>
      <ns0:c r="X334" s="94" t="inlineStr">
        <ns0:is>
          <ns0:t>A · Premium local; vistas estimadas</ns0:t>
        </ns0:is>
      </ns0:c>
      <ns0:c r="Y334" s="94" t="inlineStr">
        <ns0:is>
          <ns0:t>Média</ns0:t>
        </ns0:is>
      </ns0:c>
      <ns0:c r="Z334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334" s="94" t="inlineStr">
        <ns0:is>
          <ns0:t>Confirmar vista, orientação, disponibilidade e condições atuais.</ns0:t>
        </ns0:is>
      </ns0:c>
      <ns0:c r="AB334" s="94" t="inlineStr">
        <ns0:is>
          <ns0:t>Média</ns0:t>
        </ns0:is>
      </ns0:c>
      <ns0:c r="AJ334" s="94" t="inlineStr">
        <ns0:is>
          <ns0:t>LB</ns0:t>
        </ns0:is>
      </ns0:c>
      <ns0:c r="AK334" s="94" t="inlineStr">
        <ns0:is>
          <ns0:t>Convencional</ns0:t>
        </ns0:is>
      </ns0:c>
      <ns0:c r="AL334" s="94" t="n">
        <ns0:v>3</ns0:v>
      </ns0:c>
      <ns0:c r="AM334" s="94" t="n">
        <ns0:v>4</ns0:v>
      </ns0:c>
      <ns0:c r="AN334" s="94" t="inlineStr">
        <ns0:is>
          <ns0:t>Estimada · baixa</ns0:t>
        </ns0:is>
      </ns0:c>
      <ns0:c r="AO334" s="94" t="inlineStr">
        <ns0:is>
          <ns0:t>Estimativa de implantação fornecida pela gestão; piso considerado sem confirmação geométrica.</ns0:t>
        </ns0:is>
      </ns0:c>
      <ns0:c r="AP334" s="94" t="inlineStr">
        <ns0:is>
          <ns0:t>Sim</ns0:t>
        </ns0:is>
      </ns0:c>
      <ns0:c r="AQ334" s="94" t="inlineStr">
        <ns0:is>
          <ns0:t>Olhão</ns0:t>
        </ns0:is>
      </ns0:c>
      <ns0:c r="AR334" s="94" t="inlineStr">
        <ns0:is>
          <ns0:t>BelaFormosa Price List September 2026, p. 1</ns0:t>
        </ns0:is>
      </ns0:c>
    </ns0:row>
    <ns0:row r="335" ht="72" customHeight="1">
      <ns0:c r="A335" s="94" t="inlineStr">
        <ns0:is>
          <ns0:t>BelaFormosa</ns0:t>
        </ns0:is>
      </ns0:c>
      <ns0:c r="B335" s="94" t="inlineStr">
        <ns0:is>
          <ns0:t>LB204</ns0:t>
        </ns0:is>
      </ns0:c>
      <ns0:c r="C335" s="94" t="n">
        <ns0:v>2</ns0:v>
      </ns0:c>
      <ns0:c r="D335" s="94" t="inlineStr">
        <ns0:is>
          <ns0:t>T1</ns0:t>
        </ns0:is>
      </ns0:c>
      <ns0:c r="E335" s="94"/>
      <ns0:c r="F335" s="97" t="n">
        <ns0:v>60.25</ns0:v>
      </ns0:c>
      <ns0:c r="G335" s="97" t="n">
        <ns0:v>12.0</ns0:v>
      </ns0:c>
      <ns0:c r="H335" s="97" t="n">
        <ns0:v>72.25</ns0:v>
      </ns0:c>
      <ns0:c r="I335" s="95" t="n">
        <ns0:v>425000</ns0:v>
      </ns0:c>
      <ns0:c r="J335" s="94" t="n">
        <ns0:v>2026</ns0:v>
      </ns0:c>
      <ns0:c r="K335" s="95" t="n">
        <ns0:v>7053.941908713693</ns0:v>
      </ns0:c>
      <ns0:c r="L335" s="95" t="n">
        <ns0:v>5882.35294117647</ns0:v>
      </ns0:c>
      <ns0:c r="M335" s="94" t="inlineStr">
        <ns0:is>
          <ns0:t>Reservado</ns0:t>
        </ns0:is>
      </ns0:c>
      <ns0:c r="N335" s="94" t="inlineStr">
        <ns0:is>
          <ns0:t>BelaFormosa · Price List September 2026 · p. 1</ns0:t>
        </ns0:is>
      </ns0:c>
      <ns0:c r="O335" s="94"/>
      <ns0:c r="P335" s="94" t="inlineStr">
        <ns0:is>
          <ns0:t>2026-09</ns0:t>
        </ns0:is>
      </ns0:c>
      <ns0:c r="Q335" s="94" t="inlineStr">
        <ns0:is>
          <ns0:t>Premium local</ns0:t>
        </ns0:is>
      </ns0:c>
      <ns0:c r="R335" s="94" t="inlineStr">
        <ns0:is>
          <ns0:t>Nova construção</ns0:t>
        </ns0:is>
      </ns0:c>
      <ns0:c r="S335" s="94"/>
      <ns0:c r="T335" s="94" t="inlineStr">
        <ns0:is>
          <ns0:t>Não incluído no preço; disponibilidade por confirmar</ns0:t>
        </ns0:is>
      </ns0:c>
      <ns0:c r="U335" s="94"/>
      <ns0:c r="V335" s="94"/>
      <ns0:c r="W335" s="97" t="n">
        <ns0:v>0.9</ns0:v>
      </ns0:c>
      <ns0:c r="X335" s="94" t="inlineStr">
        <ns0:is>
          <ns0:t>A · Premium local; vistas estimadas</ns0:t>
        </ns0:is>
      </ns0:c>
      <ns0:c r="Y335" s="94" t="inlineStr">
        <ns0:is>
          <ns0:t>Média</ns0:t>
        </ns0:is>
      </ns0:c>
      <ns0:c r="Z335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 Reservado, não vendido. Preço extraído mantido por autorização da gestão; não constitui oferta ativa.</ns0:t>
        </ns0:is>
      </ns0:c>
      <ns0:c r="AA335" s="94" t="inlineStr">
        <ns0:is>
          <ns0:t>Confirmar vista, orientação, disponibilidade e condições atuais.</ns0:t>
        </ns0:is>
      </ns0:c>
      <ns0:c r="AB335" s="94" t="inlineStr">
        <ns0:is>
          <ns0:t>Alta</ns0:t>
        </ns0:is>
      </ns0:c>
      <ns0:c r="AJ335" s="94" t="inlineStr">
        <ns0:is>
          <ns0:t>LB</ns0:t>
        </ns0:is>
      </ns0:c>
      <ns0:c r="AK335" s="94" t="inlineStr">
        <ns0:is>
          <ns0:t>Convencional</ns0:t>
        </ns0:is>
      </ns0:c>
      <ns0:c r="AL335" s="94" t="n">
        <ns0:v>3</ns0:v>
      </ns0:c>
      <ns0:c r="AM335" s="94" t="n">
        <ns0:v>4</ns0:v>
      </ns0:c>
      <ns0:c r="AN335" s="94" t="inlineStr">
        <ns0:is>
          <ns0:t>Estimada · baixa</ns0:t>
        </ns0:is>
      </ns0:c>
      <ns0:c r="AO335" s="94" t="inlineStr">
        <ns0:is>
          <ns0:t>Estimativa de implantação fornecida pela gestão; piso considerado sem confirmação geométrica.</ns0:t>
        </ns0:is>
      </ns0:c>
      <ns0:c r="AP335" s="94" t="inlineStr">
        <ns0:is>
          <ns0:t>Não · reservado</ns0:t>
        </ns0:is>
      </ns0:c>
      <ns0:c r="AQ335" s="94" t="inlineStr">
        <ns0:is>
          <ns0:t>Olhão</ns0:t>
        </ns0:is>
      </ns0:c>
      <ns0:c r="AR335" s="94" t="inlineStr">
        <ns0:is>
          <ns0:t>BelaFormosa Price List September 2026, p. 1</ns0:t>
        </ns0:is>
      </ns0:c>
    </ns0:row>
    <ns0:row r="336" ht="72" customHeight="1">
      <ns0:c r="A336" s="94" t="inlineStr">
        <ns0:is>
          <ns0:t>BelaFormosa</ns0:t>
        </ns0:is>
      </ns0:c>
      <ns0:c r="B336" s="94" t="inlineStr">
        <ns0:is>
          <ns0:t>LB205</ns0:t>
        </ns0:is>
      </ns0:c>
      <ns0:c r="C336" s="94" t="n">
        <ns0:v>2</ns0:v>
      </ns0:c>
      <ns0:c r="D336" s="94" t="inlineStr">
        <ns0:is>
          <ns0:t>T2</ns0:t>
        </ns0:is>
      </ns0:c>
      <ns0:c r="E336" s="94"/>
      <ns0:c r="F336" s="97" t="n">
        <ns0:v>89.25</ns0:v>
      </ns0:c>
      <ns0:c r="G336" s="97" t="n">
        <ns0:v>17.5</ns0:v>
      </ns0:c>
      <ns0:c r="H336" s="97" t="n">
        <ns0:v>106.75</ns0:v>
      </ns0:c>
      <ns0:c r="I336" s="95" t="n">
        <ns0:v>640000</ns0:v>
      </ns0:c>
      <ns0:c r="J336" s="94" t="n">
        <ns0:v>2026</ns0:v>
      </ns0:c>
      <ns0:c r="K336" s="95" t="n">
        <ns0:v>7170.868347338936</ns0:v>
      </ns0:c>
      <ns0:c r="L336" s="95" t="n">
        <ns0:v>5995.316159250586</ns0:v>
      </ns0:c>
      <ns0:c r="M336" s="94" t="inlineStr">
        <ns0:is>
          <ns0:t>Ativo</ns0:t>
        </ns0:is>
      </ns0:c>
      <ns0:c r="N336" s="94" t="inlineStr">
        <ns0:is>
          <ns0:t>BelaFormosa · Price List September 2026 · p. 1</ns0:t>
        </ns0:is>
      </ns0:c>
      <ns0:c r="O336" s="94"/>
      <ns0:c r="P336" s="94" t="inlineStr">
        <ns0:is>
          <ns0:t>2026-09</ns0:t>
        </ns0:is>
      </ns0:c>
      <ns0:c r="Q336" s="94" t="inlineStr">
        <ns0:is>
          <ns0:t>Premium local</ns0:t>
        </ns0:is>
      </ns0:c>
      <ns0:c r="R336" s="94" t="inlineStr">
        <ns0:is>
          <ns0:t>Nova construção</ns0:t>
        </ns0:is>
      </ns0:c>
      <ns0:c r="S336" s="94"/>
      <ns0:c r="T336" s="94" t="inlineStr">
        <ns0:is>
          <ns0:t>Não incluído no preço; disponibilidade por confirmar</ns0:t>
        </ns0:is>
      </ns0:c>
      <ns0:c r="U336" s="94"/>
      <ns0:c r="V336" s="94"/>
      <ns0:c r="W336" s="97" t="n">
        <ns0:v>0.9</ns0:v>
      </ns0:c>
      <ns0:c r="X336" s="94" t="inlineStr">
        <ns0:is>
          <ns0:t>A · Premium local; vistas estimadas</ns0:t>
        </ns0:is>
      </ns0:c>
      <ns0:c r="Y336" s="94" t="inlineStr">
        <ns0:is>
          <ns0:t>Média</ns0:t>
        </ns0:is>
      </ns0:c>
      <ns0:c r="Z336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36" s="94" t="inlineStr">
        <ns0:is>
          <ns0:t>Confirmar vista, orientação, disponibilidade e condições atuais.</ns0:t>
        </ns0:is>
      </ns0:c>
      <ns0:c r="AB336" s="94" t="inlineStr">
        <ns0:is>
          <ns0:t>Média</ns0:t>
        </ns0:is>
      </ns0:c>
      <ns0:c r="AJ336" s="94" t="inlineStr">
        <ns0:is>
          <ns0:t>LB</ns0:t>
        </ns0:is>
      </ns0:c>
      <ns0:c r="AK336" s="94" t="inlineStr">
        <ns0:is>
          <ns0:t>Convencional</ns0:t>
        </ns0:is>
      </ns0:c>
      <ns0:c r="AL336" s="94" t="n">
        <ns0:v>3</ns0:v>
      </ns0:c>
      <ns0:c r="AM336" s="94" t="n">
        <ns0:v>4</ns0:v>
      </ns0:c>
      <ns0:c r="AN336" s="94" t="inlineStr">
        <ns0:is>
          <ns0:t>Estimada · baixa</ns0:t>
        </ns0:is>
      </ns0:c>
      <ns0:c r="AO336" s="94" t="inlineStr">
        <ns0:is>
          <ns0:t>Estimativa de implantação fornecida pela gestão; piso considerado sem confirmação geométrica.</ns0:t>
        </ns0:is>
      </ns0:c>
      <ns0:c r="AP336" s="94" t="inlineStr">
        <ns0:is>
          <ns0:t>Sim</ns0:t>
        </ns0:is>
      </ns0:c>
      <ns0:c r="AQ336" s="94" t="inlineStr">
        <ns0:is>
          <ns0:t>Olhão</ns0:t>
        </ns0:is>
      </ns0:c>
      <ns0:c r="AR336" s="94" t="inlineStr">
        <ns0:is>
          <ns0:t>BelaFormosa Price List September 2026, p. 1</ns0:t>
        </ns0:is>
      </ns0:c>
    </ns0:row>
    <ns0:row r="337" ht="72" customHeight="1">
      <ns0:c r="A337" s="94" t="inlineStr">
        <ns0:is>
          <ns0:t>BelaFormosa</ns0:t>
        </ns0:is>
      </ns0:c>
      <ns0:c r="B337" s="94" t="inlineStr">
        <ns0:is>
          <ns0:t>LB206</ns0:t>
        </ns0:is>
      </ns0:c>
      <ns0:c r="C337" s="94" t="n">
        <ns0:v>2</ns0:v>
      </ns0:c>
      <ns0:c r="D337" s="94" t="inlineStr">
        <ns0:is>
          <ns0:t>T2</ns0:t>
        </ns0:is>
      </ns0:c>
      <ns0:c r="E337" s="94"/>
      <ns0:c r="F337" s="97" t="n">
        <ns0:v>89.25</ns0:v>
      </ns0:c>
      <ns0:c r="G337" s="97" t="n">
        <ns0:v>17.5</ns0:v>
      </ns0:c>
      <ns0:c r="H337" s="97" t="n">
        <ns0:v>106.75</ns0:v>
      </ns0:c>
      <ns0:c r="I337" s="95" t="n">
        <ns0:v>690000</ns0:v>
      </ns0:c>
      <ns0:c r="J337" s="94" t="n">
        <ns0:v>2026</ns0:v>
      </ns0:c>
      <ns0:c r="K337" s="95" t="n">
        <ns0:v>7731.09243697479</ns0:v>
      </ns0:c>
      <ns0:c r="L337" s="95" t="n">
        <ns0:v>6463.700234192038</ns0:v>
      </ns0:c>
      <ns0:c r="M337" s="94" t="inlineStr">
        <ns0:is>
          <ns0:t>Ativo</ns0:t>
        </ns0:is>
      </ns0:c>
      <ns0:c r="N337" s="94" t="inlineStr">
        <ns0:is>
          <ns0:t>BelaFormosa · Price List September 2026 · p. 1</ns0:t>
        </ns0:is>
      </ns0:c>
      <ns0:c r="O337" s="94"/>
      <ns0:c r="P337" s="94" t="inlineStr">
        <ns0:is>
          <ns0:t>2026-09</ns0:t>
        </ns0:is>
      </ns0:c>
      <ns0:c r="Q337" s="94" t="inlineStr">
        <ns0:is>
          <ns0:t>Premium local</ns0:t>
        </ns0:is>
      </ns0:c>
      <ns0:c r="R337" s="94" t="inlineStr">
        <ns0:is>
          <ns0:t>Nova construção</ns0:t>
        </ns0:is>
      </ns0:c>
      <ns0:c r="S337" s="94"/>
      <ns0:c r="T337" s="94" t="inlineStr">
        <ns0:is>
          <ns0:t>Não incluído no preço; disponibilidade por confirmar</ns0:t>
        </ns0:is>
      </ns0:c>
      <ns0:c r="U337" s="94"/>
      <ns0:c r="V337" s="94"/>
      <ns0:c r="W337" s="97" t="n">
        <ns0:v>0.9</ns0:v>
      </ns0:c>
      <ns0:c r="X337" s="94" t="inlineStr">
        <ns0:is>
          <ns0:t>A · Premium local; vistas estimadas</ns0:t>
        </ns0:is>
      </ns0:c>
      <ns0:c r="Y337" s="94" t="inlineStr">
        <ns0:is>
          <ns0:t>Média</ns0:t>
        </ns0:is>
      </ns0:c>
      <ns0:c r="Z337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37" s="94" t="inlineStr">
        <ns0:is>
          <ns0:t>Confirmar vista, orientação, disponibilidade e condições atuais.</ns0:t>
        </ns0:is>
      </ns0:c>
      <ns0:c r="AB337" s="94" t="inlineStr">
        <ns0:is>
          <ns0:t>Média</ns0:t>
        </ns0:is>
      </ns0:c>
      <ns0:c r="AJ337" s="94" t="inlineStr">
        <ns0:is>
          <ns0:t>LB</ns0:t>
        </ns0:is>
      </ns0:c>
      <ns0:c r="AK337" s="94" t="inlineStr">
        <ns0:is>
          <ns0:t>Convencional</ns0:t>
        </ns0:is>
      </ns0:c>
      <ns0:c r="AL337" s="94" t="n">
        <ns0:v>2</ns0:v>
      </ns0:c>
      <ns0:c r="AM337" s="94" t="n">
        <ns0:v>3</ns0:v>
      </ns0:c>
      <ns0:c r="AN337" s="94" t="inlineStr">
        <ns0:is>
          <ns0:t>Estimada · baixa</ns0:t>
        </ns0:is>
      </ns0:c>
      <ns0:c r="AO337" s="94" t="inlineStr">
        <ns0:is>
          <ns0:t>Estimativa de implantação fornecida pela gestão; piso considerado sem confirmação geométrica.</ns0:t>
        </ns0:is>
      </ns0:c>
      <ns0:c r="AP337" s="94" t="inlineStr">
        <ns0:is>
          <ns0:t>Sim</ns0:t>
        </ns0:is>
      </ns0:c>
      <ns0:c r="AQ337" s="94" t="inlineStr">
        <ns0:is>
          <ns0:t>Olhão</ns0:t>
        </ns0:is>
      </ns0:c>
      <ns0:c r="AR337" s="94" t="inlineStr">
        <ns0:is>
          <ns0:t>BelaFormosa Price List September 2026, p. 1</ns0:t>
        </ns0:is>
      </ns0:c>
    </ns0:row>
    <ns0:row r="338" ht="72" customHeight="1">
      <ns0:c r="A338" s="94" t="inlineStr">
        <ns0:is>
          <ns0:t>BelaFormosa</ns0:t>
        </ns0:is>
      </ns0:c>
      <ns0:c r="B338" s="94" t="inlineStr">
        <ns0:is>
          <ns0:t>LB207</ns0:t>
        </ns0:is>
      </ns0:c>
      <ns0:c r="C338" s="94" t="n">
        <ns0:v>2</ns0:v>
      </ns0:c>
      <ns0:c r="D338" s="94" t="inlineStr">
        <ns0:is>
          <ns0:t>T1</ns0:t>
        </ns0:is>
      </ns0:c>
      <ns0:c r="E338" s="94"/>
      <ns0:c r="F338" s="97" t="n">
        <ns0:v>60.25</ns0:v>
      </ns0:c>
      <ns0:c r="G338" s="97" t="n">
        <ns0:v>12.0</ns0:v>
      </ns0:c>
      <ns0:c r="H338" s="97" t="n">
        <ns0:v>72.25</ns0:v>
      </ns0:c>
      <ns0:c r="I338" s="95" t="n">
        <ns0:v>450000</ns0:v>
      </ns0:c>
      <ns0:c r="J338" s="94" t="n">
        <ns0:v>2026</ns0:v>
      </ns0:c>
      <ns0:c r="K338" s="95" t="n">
        <ns0:v>7468.879668049793</ns0:v>
      </ns0:c>
      <ns0:c r="L338" s="95" t="n">
        <ns0:v>6228.3737024221455</ns0:v>
      </ns0:c>
      <ns0:c r="M338" s="94" t="inlineStr">
        <ns0:is>
          <ns0:t>Reservado</ns0:t>
        </ns0:is>
      </ns0:c>
      <ns0:c r="N338" s="94" t="inlineStr">
        <ns0:is>
          <ns0:t>BelaFormosa · Price List September 2026 · p. 1</ns0:t>
        </ns0:is>
      </ns0:c>
      <ns0:c r="O338" s="94"/>
      <ns0:c r="P338" s="94" t="inlineStr">
        <ns0:is>
          <ns0:t>2026-09</ns0:t>
        </ns0:is>
      </ns0:c>
      <ns0:c r="Q338" s="94" t="inlineStr">
        <ns0:is>
          <ns0:t>Premium local</ns0:t>
        </ns0:is>
      </ns0:c>
      <ns0:c r="R338" s="94" t="inlineStr">
        <ns0:is>
          <ns0:t>Nova construção</ns0:t>
        </ns0:is>
      </ns0:c>
      <ns0:c r="S338" s="94"/>
      <ns0:c r="T338" s="94" t="inlineStr">
        <ns0:is>
          <ns0:t>Não incluído no preço; disponibilidade por confirmar</ns0:t>
        </ns0:is>
      </ns0:c>
      <ns0:c r="U338" s="94"/>
      <ns0:c r="V338" s="94"/>
      <ns0:c r="W338" s="97" t="n">
        <ns0:v>0.9</ns0:v>
      </ns0:c>
      <ns0:c r="X338" s="94" t="inlineStr">
        <ns0:is>
          <ns0:t>A · Premium local; vistas estimadas</ns0:t>
        </ns0:is>
      </ns0:c>
      <ns0:c r="Y338" s="94" t="inlineStr">
        <ns0:is>
          <ns0:t>Média</ns0:t>
        </ns0:is>
      </ns0:c>
      <ns0:c r="Z338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 Reservado, não vendido. Preço extraído mantido por autorização da gestão; não constitui oferta ativa.</ns0:t>
        </ns0:is>
      </ns0:c>
      <ns0:c r="AA338" s="94" t="inlineStr">
        <ns0:is>
          <ns0:t>Confirmar vista, orientação, disponibilidade e condições atuais.</ns0:t>
        </ns0:is>
      </ns0:c>
      <ns0:c r="AB338" s="94" t="inlineStr">
        <ns0:is>
          <ns0:t>Alta</ns0:t>
        </ns0:is>
      </ns0:c>
      <ns0:c r="AJ338" s="94" t="inlineStr">
        <ns0:is>
          <ns0:t>LB</ns0:t>
        </ns0:is>
      </ns0:c>
      <ns0:c r="AK338" s="94" t="inlineStr">
        <ns0:is>
          <ns0:t>Convencional</ns0:t>
        </ns0:is>
      </ns0:c>
      <ns0:c r="AL338" s="94" t="n">
        <ns0:v>2</ns0:v>
      </ns0:c>
      <ns0:c r="AM338" s="94" t="n">
        <ns0:v>3</ns0:v>
      </ns0:c>
      <ns0:c r="AN338" s="94" t="inlineStr">
        <ns0:is>
          <ns0:t>Estimada · baixa</ns0:t>
        </ns0:is>
      </ns0:c>
      <ns0:c r="AO338" s="94" t="inlineStr">
        <ns0:is>
          <ns0:t>Estimativa de implantação fornecida pela gestão; piso considerado sem confirmação geométrica.</ns0:t>
        </ns0:is>
      </ns0:c>
      <ns0:c r="AP338" s="94" t="inlineStr">
        <ns0:is>
          <ns0:t>Não · reservado</ns0:t>
        </ns0:is>
      </ns0:c>
      <ns0:c r="AQ338" s="94" t="inlineStr">
        <ns0:is>
          <ns0:t>Olhão</ns0:t>
        </ns0:is>
      </ns0:c>
      <ns0:c r="AR338" s="94" t="inlineStr">
        <ns0:is>
          <ns0:t>BelaFormosa Price List September 2026, p. 1</ns0:t>
        </ns0:is>
      </ns0:c>
    </ns0:row>
    <ns0:row r="339" ht="72" customHeight="1">
      <ns0:c r="A339" s="94" t="inlineStr">
        <ns0:is>
          <ns0:t>BelaFormosa</ns0:t>
        </ns0:is>
      </ns0:c>
      <ns0:c r="B339" s="94" t="inlineStr">
        <ns0:is>
          <ns0:t>LB208</ns0:t>
        </ns0:is>
      </ns0:c>
      <ns0:c r="C339" s="94" t="n">
        <ns0:v>2</ns0:v>
      </ns0:c>
      <ns0:c r="D339" s="94" t="inlineStr">
        <ns0:is>
          <ns0:t>T1</ns0:t>
        </ns0:is>
      </ns0:c>
      <ns0:c r="E339" s="94"/>
      <ns0:c r="F339" s="97" t="n">
        <ns0:v>60.25</ns0:v>
      </ns0:c>
      <ns0:c r="G339" s="97" t="n">
        <ns0:v>12.0</ns0:v>
      </ns0:c>
      <ns0:c r="H339" s="97" t="n">
        <ns0:v>72.25</ns0:v>
      </ns0:c>
      <ns0:c r="I339" s="95" t="n">
        <ns0:v>450000</ns0:v>
      </ns0:c>
      <ns0:c r="J339" s="94" t="n">
        <ns0:v>2026</ns0:v>
      </ns0:c>
      <ns0:c r="K339" s="95" t="n">
        <ns0:v>7468.879668049793</ns0:v>
      </ns0:c>
      <ns0:c r="L339" s="95" t="n">
        <ns0:v>6228.3737024221455</ns0:v>
      </ns0:c>
      <ns0:c r="M339" s="94" t="inlineStr">
        <ns0:is>
          <ns0:t>Reservado</ns0:t>
        </ns0:is>
      </ns0:c>
      <ns0:c r="N339" s="94" t="inlineStr">
        <ns0:is>
          <ns0:t>BelaFormosa · Price List September 2026 · p. 1</ns0:t>
        </ns0:is>
      </ns0:c>
      <ns0:c r="O339" s="94"/>
      <ns0:c r="P339" s="94" t="inlineStr">
        <ns0:is>
          <ns0:t>2026-09</ns0:t>
        </ns0:is>
      </ns0:c>
      <ns0:c r="Q339" s="94" t="inlineStr">
        <ns0:is>
          <ns0:t>Premium local</ns0:t>
        </ns0:is>
      </ns0:c>
      <ns0:c r="R339" s="94" t="inlineStr">
        <ns0:is>
          <ns0:t>Nova construção</ns0:t>
        </ns0:is>
      </ns0:c>
      <ns0:c r="S339" s="94"/>
      <ns0:c r="T339" s="94" t="inlineStr">
        <ns0:is>
          <ns0:t>Não incluído no preço; disponibilidade por confirmar</ns0:t>
        </ns0:is>
      </ns0:c>
      <ns0:c r="U339" s="94"/>
      <ns0:c r="V339" s="94"/>
      <ns0:c r="W339" s="97" t="n">
        <ns0:v>0.9</ns0:v>
      </ns0:c>
      <ns0:c r="X339" s="94" t="inlineStr">
        <ns0:is>
          <ns0:t>A · Premium local; vistas estimadas</ns0:t>
        </ns0:is>
      </ns0:c>
      <ns0:c r="Y339" s="94" t="inlineStr">
        <ns0:is>
          <ns0:t>Média</ns0:t>
        </ns0:is>
      </ns0:c>
      <ns0:c r="Z339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 Reservado, não vendido. Preço extraído mantido por autorização da gestão; não constitui oferta ativa.</ns0:t>
        </ns0:is>
      </ns0:c>
      <ns0:c r="AA339" s="94" t="inlineStr">
        <ns0:is>
          <ns0:t>Confirmar vista, orientação, disponibilidade e condições atuais.</ns0:t>
        </ns0:is>
      </ns0:c>
      <ns0:c r="AB339" s="94" t="inlineStr">
        <ns0:is>
          <ns0:t>Alta</ns0:t>
        </ns0:is>
      </ns0:c>
      <ns0:c r="AJ339" s="94" t="inlineStr">
        <ns0:is>
          <ns0:t>LB</ns0:t>
        </ns0:is>
      </ns0:c>
      <ns0:c r="AK339" s="94" t="inlineStr">
        <ns0:is>
          <ns0:t>Convencional</ns0:t>
        </ns0:is>
      </ns0:c>
      <ns0:c r="AL339" s="94" t="n">
        <ns0:v>2</ns0:v>
      </ns0:c>
      <ns0:c r="AM339" s="94" t="n">
        <ns0:v>3</ns0:v>
      </ns0:c>
      <ns0:c r="AN339" s="94" t="inlineStr">
        <ns0:is>
          <ns0:t>Estimada · baixa</ns0:t>
        </ns0:is>
      </ns0:c>
      <ns0:c r="AO339" s="94" t="inlineStr">
        <ns0:is>
          <ns0:t>Estimativa de implantação fornecida pela gestão; piso considerado sem confirmação geométrica.</ns0:t>
        </ns0:is>
      </ns0:c>
      <ns0:c r="AP339" s="94" t="inlineStr">
        <ns0:is>
          <ns0:t>Não · reservado</ns0:t>
        </ns0:is>
      </ns0:c>
      <ns0:c r="AQ339" s="94" t="inlineStr">
        <ns0:is>
          <ns0:t>Olhão</ns0:t>
        </ns0:is>
      </ns0:c>
      <ns0:c r="AR339" s="94" t="inlineStr">
        <ns0:is>
          <ns0:t>BelaFormosa Price List September 2026, p. 1</ns0:t>
        </ns0:is>
      </ns0:c>
    </ns0:row>
    <ns0:row r="340" ht="72" customHeight="1">
      <ns0:c r="A340" s="94" t="inlineStr">
        <ns0:is>
          <ns0:t>BelaFormosa</ns0:t>
        </ns0:is>
      </ns0:c>
      <ns0:c r="B340" s="94" t="inlineStr">
        <ns0:is>
          <ns0:t>LB209</ns0:t>
        </ns0:is>
      </ns0:c>
      <ns0:c r="C340" s="94" t="n">
        <ns0:v>2</ns0:v>
      </ns0:c>
      <ns0:c r="D340" s="94" t="inlineStr">
        <ns0:is>
          <ns0:t>T2</ns0:t>
        </ns0:is>
      </ns0:c>
      <ns0:c r="E340" s="94"/>
      <ns0:c r="F340" s="97" t="n">
        <ns0:v>89.25</ns0:v>
      </ns0:c>
      <ns0:c r="G340" s="97" t="n">
        <ns0:v>18.0</ns0:v>
      </ns0:c>
      <ns0:c r="H340" s="97" t="n">
        <ns0:v>107.25</ns0:v>
      </ns0:c>
      <ns0:c r="I340" s="95" t="n">
        <ns0:v>655000</ns0:v>
      </ns0:c>
      <ns0:c r="J340" s="94" t="n">
        <ns0:v>2026</ns0:v>
      </ns0:c>
      <ns0:c r="K340" s="95" t="n">
        <ns0:v>7338.935574229692</ns0:v>
      </ns0:c>
      <ns0:c r="L340" s="95" t="n">
        <ns0:v>6107.226107226107</ns0:v>
      </ns0:c>
      <ns0:c r="M340" s="94" t="inlineStr">
        <ns0:is>
          <ns0:t>Ativo</ns0:t>
        </ns0:is>
      </ns0:c>
      <ns0:c r="N340" s="94" t="inlineStr">
        <ns0:is>
          <ns0:t>BelaFormosa · Price List September 2026 · p. 1</ns0:t>
        </ns0:is>
      </ns0:c>
      <ns0:c r="O340" s="94"/>
      <ns0:c r="P340" s="94" t="inlineStr">
        <ns0:is>
          <ns0:t>2026-09</ns0:t>
        </ns0:is>
      </ns0:c>
      <ns0:c r="Q340" s="94" t="inlineStr">
        <ns0:is>
          <ns0:t>Premium local</ns0:t>
        </ns0:is>
      </ns0:c>
      <ns0:c r="R340" s="94" t="inlineStr">
        <ns0:is>
          <ns0:t>Nova construção</ns0:t>
        </ns0:is>
      </ns0:c>
      <ns0:c r="S340" s="94"/>
      <ns0:c r="T340" s="94" t="inlineStr">
        <ns0:is>
          <ns0:t>Não incluído no preço; disponibilidade por confirmar</ns0:t>
        </ns0:is>
      </ns0:c>
      <ns0:c r="U340" s="94"/>
      <ns0:c r="V340" s="94"/>
      <ns0:c r="W340" s="97" t="n">
        <ns0:v>0.9</ns0:v>
      </ns0:c>
      <ns0:c r="X340" s="94" t="inlineStr">
        <ns0:is>
          <ns0:t>A · Premium local; vistas estimadas</ns0:t>
        </ns0:is>
      </ns0:c>
      <ns0:c r="Y340" s="94" t="inlineStr">
        <ns0:is>
          <ns0:t>Média</ns0:t>
        </ns0:is>
      </ns0:c>
      <ns0:c r="Z340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40" s="94" t="inlineStr">
        <ns0:is>
          <ns0:t>Confirmar vista, orientação, disponibilidade e condições atuais.</ns0:t>
        </ns0:is>
      </ns0:c>
      <ns0:c r="AB340" s="94" t="inlineStr">
        <ns0:is>
          <ns0:t>Média</ns0:t>
        </ns0:is>
      </ns0:c>
      <ns0:c r="AJ340" s="94" t="inlineStr">
        <ns0:is>
          <ns0:t>LB</ns0:t>
        </ns0:is>
      </ns0:c>
      <ns0:c r="AK340" s="94" t="inlineStr">
        <ns0:is>
          <ns0:t>Convencional</ns0:t>
        </ns0:is>
      </ns0:c>
      <ns0:c r="AL340" s="94" t="n">
        <ns0:v>2</ns0:v>
      </ns0:c>
      <ns0:c r="AM340" s="94" t="n">
        <ns0:v>3</ns0:v>
      </ns0:c>
      <ns0:c r="AN340" s="94" t="inlineStr">
        <ns0:is>
          <ns0:t>Estimada · baixa</ns0:t>
        </ns0:is>
      </ns0:c>
      <ns0:c r="AO340" s="94" t="inlineStr">
        <ns0:is>
          <ns0:t>Estimativa de implantação fornecida pela gestão; piso considerado sem confirmação geométrica.</ns0:t>
        </ns0:is>
      </ns0:c>
      <ns0:c r="AP340" s="94" t="inlineStr">
        <ns0:is>
          <ns0:t>Sim</ns0:t>
        </ns0:is>
      </ns0:c>
      <ns0:c r="AQ340" s="94" t="inlineStr">
        <ns0:is>
          <ns0:t>Olhão</ns0:t>
        </ns0:is>
      </ns0:c>
      <ns0:c r="AR340" s="94" t="inlineStr">
        <ns0:is>
          <ns0:t>BelaFormosa Price List September 2026, p. 1</ns0:t>
        </ns0:is>
      </ns0:c>
    </ns0:row>
    <ns0:row r="341" ht="72" customHeight="1">
      <ns0:c r="A341" s="94" t="inlineStr">
        <ns0:is>
          <ns0:t>BelaFormosa</ns0:t>
        </ns0:is>
      </ns0:c>
      <ns0:c r="B341" s="94" t="inlineStr">
        <ns0:is>
          <ns0:t>LB210</ns0:t>
        </ns0:is>
      </ns0:c>
      <ns0:c r="C341" s="94" t="n">
        <ns0:v>2</ns0:v>
      </ns0:c>
      <ns0:c r="D341" s="94" t="inlineStr">
        <ns0:is>
          <ns0:t>T2</ns0:t>
        </ns0:is>
      </ns0:c>
      <ns0:c r="E341" s="94"/>
      <ns0:c r="F341" s="97" t="n">
        <ns0:v>91.0</ns0:v>
      </ns0:c>
      <ns0:c r="G341" s="97" t="n">
        <ns0:v>42.5</ns0:v>
      </ns0:c>
      <ns0:c r="H341" s="97" t="n">
        <ns0:v>133.5</ns0:v>
      </ns0:c>
      <ns0:c r="I341" s="95" t="n">
        <ns0:v>670000</ns0:v>
      </ns0:c>
      <ns0:c r="J341" s="94" t="n">
        <ns0:v>2026</ns0:v>
      </ns0:c>
      <ns0:c r="K341" s="95" t="n">
        <ns0:v>7362.6373626373625</ns0:v>
      </ns0:c>
      <ns0:c r="L341" s="95" t="n">
        <ns0:v>5018.7265917603</ns0:v>
      </ns0:c>
      <ns0:c r="M341" s="94" t="inlineStr">
        <ns0:is>
          <ns0:t>Reservado</ns0:t>
        </ns0:is>
      </ns0:c>
      <ns0:c r="N341" s="94" t="inlineStr">
        <ns0:is>
          <ns0:t>BelaFormosa · Price List September 2026 · p. 1</ns0:t>
        </ns0:is>
      </ns0:c>
      <ns0:c r="O341" s="94"/>
      <ns0:c r="P341" s="94" t="inlineStr">
        <ns0:is>
          <ns0:t>2026-09</ns0:t>
        </ns0:is>
      </ns0:c>
      <ns0:c r="Q341" s="94" t="inlineStr">
        <ns0:is>
          <ns0:t>Premium local</ns0:t>
        </ns0:is>
      </ns0:c>
      <ns0:c r="R341" s="94" t="inlineStr">
        <ns0:is>
          <ns0:t>Nova construção</ns0:t>
        </ns0:is>
      </ns0:c>
      <ns0:c r="S341" s="94"/>
      <ns0:c r="T341" s="94" t="inlineStr">
        <ns0:is>
          <ns0:t>Não incluído no preço; disponibilidade por confirmar</ns0:t>
        </ns0:is>
      </ns0:c>
      <ns0:c r="U341" s="94"/>
      <ns0:c r="V341" s="94"/>
      <ns0:c r="W341" s="97" t="n">
        <ns0:v>0.9</ns0:v>
      </ns0:c>
      <ns0:c r="X341" s="94" t="inlineStr">
        <ns0:is>
          <ns0:t>A · Premium local; vistas estimadas</ns0:t>
        </ns0:is>
      </ns0:c>
      <ns0:c r="Y341" s="94" t="inlineStr">
        <ns0:is>
          <ns0:t>Média</ns0:t>
        </ns0:is>
      </ns0:c>
      <ns0:c r="Z341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 Reservado, não vendido. Preço extraído mantido por autorização da gestão; não constitui oferta ativa.</ns0:t>
        </ns0:is>
      </ns0:c>
      <ns0:c r="AA341" s="94" t="inlineStr">
        <ns0:is>
          <ns0:t>Confirmar vista, orientação, disponibilidade e condições atuais.</ns0:t>
        </ns0:is>
      </ns0:c>
      <ns0:c r="AB341" s="94" t="inlineStr">
        <ns0:is>
          <ns0:t>Alta</ns0:t>
        </ns0:is>
      </ns0:c>
      <ns0:c r="AJ341" s="94" t="inlineStr">
        <ns0:is>
          <ns0:t>LB</ns0:t>
        </ns0:is>
      </ns0:c>
      <ns0:c r="AK341" s="94" t="inlineStr">
        <ns0:is>
          <ns0:t>Convencional</ns0:t>
        </ns0:is>
      </ns0:c>
      <ns0:c r="AL341" s="94" t="n">
        <ns0:v>3</ns0:v>
      </ns0:c>
      <ns0:c r="AM341" s="94" t="n">
        <ns0:v>4</ns0:v>
      </ns0:c>
      <ns0:c r="AN341" s="94" t="inlineStr">
        <ns0:is>
          <ns0:t>Estimada · baixa</ns0:t>
        </ns0:is>
      </ns0:c>
      <ns0:c r="AO341" s="94" t="inlineStr">
        <ns0:is>
          <ns0:t>Estimativa de implantação fornecida pela gestão; piso considerado sem confirmação geométrica.</ns0:t>
        </ns0:is>
      </ns0:c>
      <ns0:c r="AP341" s="94" t="inlineStr">
        <ns0:is>
          <ns0:t>Não · reservado</ns0:t>
        </ns0:is>
      </ns0:c>
      <ns0:c r="AQ341" s="94" t="inlineStr">
        <ns0:is>
          <ns0:t>Olhão</ns0:t>
        </ns0:is>
      </ns0:c>
      <ns0:c r="AR341" s="94" t="inlineStr">
        <ns0:is>
          <ns0:t>BelaFormosa Price List September 2026, p. 1</ns0:t>
        </ns0:is>
      </ns0:c>
    </ns0:row>
    <ns0:row r="342" ht="72" customHeight="1">
      <ns0:c r="A342" s="94" t="inlineStr">
        <ns0:is>
          <ns0:t>BelaFormosa</ns0:t>
        </ns0:is>
      </ns0:c>
      <ns0:c r="B342" s="94" t="inlineStr">
        <ns0:is>
          <ns0:t>LB211</ns0:t>
        </ns0:is>
      </ns0:c>
      <ns0:c r="C342" s="94" t="n">
        <ns0:v>2</ns0:v>
      </ns0:c>
      <ns0:c r="D342" s="94" t="inlineStr">
        <ns0:is>
          <ns0:t>T2</ns0:t>
        </ns0:is>
      </ns0:c>
      <ns0:c r="E342" s="94"/>
      <ns0:c r="F342" s="97" t="n">
        <ns0:v>93.75</ns0:v>
      </ns0:c>
      <ns0:c r="G342" s="97" t="n">
        <ns0:v>19.25</ns0:v>
      </ns0:c>
      <ns0:c r="H342" s="97" t="n">
        <ns0:v>113.0</ns0:v>
      </ns0:c>
      <ns0:c r="I342" s="95" t="n">
        <ns0:v>690000</ns0:v>
      </ns0:c>
      <ns0:c r="J342" s="94" t="n">
        <ns0:v>2026</ns0:v>
      </ns0:c>
      <ns0:c r="K342" s="95" t="n">
        <ns0:v>7360.0</ns0:v>
      </ns0:c>
      <ns0:c r="L342" s="95" t="n">
        <ns0:v>6106.194690265486</ns0:v>
      </ns0:c>
      <ns0:c r="M342" s="94" t="inlineStr">
        <ns0:is>
          <ns0:t>Ativo</ns0:t>
        </ns0:is>
      </ns0:c>
      <ns0:c r="N342" s="94" t="inlineStr">
        <ns0:is>
          <ns0:t>BelaFormosa · Price List September 2026 · p. 1</ns0:t>
        </ns0:is>
      </ns0:c>
      <ns0:c r="O342" s="94"/>
      <ns0:c r="P342" s="94" t="inlineStr">
        <ns0:is>
          <ns0:t>2026-09</ns0:t>
        </ns0:is>
      </ns0:c>
      <ns0:c r="Q342" s="94" t="inlineStr">
        <ns0:is>
          <ns0:t>Premium local</ns0:t>
        </ns0:is>
      </ns0:c>
      <ns0:c r="R342" s="94" t="inlineStr">
        <ns0:is>
          <ns0:t>Nova construção</ns0:t>
        </ns0:is>
      </ns0:c>
      <ns0:c r="S342" s="94"/>
      <ns0:c r="T342" s="94" t="inlineStr">
        <ns0:is>
          <ns0:t>Não incluído no preço; disponibilidade por confirmar</ns0:t>
        </ns0:is>
      </ns0:c>
      <ns0:c r="U342" s="94"/>
      <ns0:c r="V342" s="94"/>
      <ns0:c r="W342" s="97" t="n">
        <ns0:v>0.9</ns0:v>
      </ns0:c>
      <ns0:c r="X342" s="94" t="inlineStr">
        <ns0:is>
          <ns0:t>A · Premium local; vistas estimadas</ns0:t>
        </ns0:is>
      </ns0:c>
      <ns0:c r="Y342" s="94" t="inlineStr">
        <ns0:is>
          <ns0:t>Média</ns0:t>
        </ns0:is>
      </ns0:c>
      <ns0:c r="Z342" s="94" t="inlineStr">
        <ns0:is>
          <ns0:t>Preço pedido, não transação. Garagem/arrecadação não incluídas. Desconto de 5% mencionado na fonte não aplicado automaticamente. Tipologia de planta: E. Posição lateral/retaguarda; intervalo preliminar 3–4, sem confirmação por altura.</ns0:t>
        </ns0:is>
      </ns0:c>
      <ns0:c r="AA342" s="94" t="inlineStr">
        <ns0:is>
          <ns0:t>Confirmar vista, orientação, disponibilidade e condições atuais.</ns0:t>
        </ns0:is>
      </ns0:c>
      <ns0:c r="AB342" s="94" t="inlineStr">
        <ns0:is>
          <ns0:t>Média</ns0:t>
        </ns0:is>
      </ns0:c>
      <ns0:c r="AJ342" s="94" t="inlineStr">
        <ns0:is>
          <ns0:t>LB</ns0:t>
        </ns0:is>
      </ns0:c>
      <ns0:c r="AK342" s="94" t="inlineStr">
        <ns0:is>
          <ns0:t>Convencional</ns0:t>
        </ns0:is>
      </ns0:c>
      <ns0:c r="AL342" s="94" t="n">
        <ns0:v>3</ns0:v>
      </ns0:c>
      <ns0:c r="AM342" s="94" t="n">
        <ns0:v>4</ns0:v>
      </ns0:c>
      <ns0:c r="AN342" s="94" t="inlineStr">
        <ns0:is>
          <ns0:t>Estimada · baixa</ns0:t>
        </ns0:is>
      </ns0:c>
      <ns0:c r="AO342" s="94" t="inlineStr">
        <ns0:is>
          <ns0:t>Estimativa de implantação fornecida pela gestão; piso considerado sem confirmação geométrica.</ns0:t>
        </ns0:is>
      </ns0:c>
      <ns0:c r="AP342" s="94" t="inlineStr">
        <ns0:is>
          <ns0:t>Sim</ns0:t>
        </ns0:is>
      </ns0:c>
      <ns0:c r="AQ342" s="94" t="inlineStr">
        <ns0:is>
          <ns0:t>Olhão</ns0:t>
        </ns0:is>
      </ns0:c>
      <ns0:c r="AR342" s="94" t="inlineStr">
        <ns0:is>
          <ns0:t>BelaFormosa Price List September 2026, p. 1</ns0:t>
        </ns0:is>
      </ns0:c>
    </ns0:row>
    <ns0:row r="343" ht="72" customHeight="1">
      <ns0:c r="A343" s="94" t="inlineStr">
        <ns0:is>
          <ns0:t>BelaFormosa</ns0:t>
        </ns0:is>
      </ns0:c>
      <ns0:c r="B343" s="94" t="inlineStr">
        <ns0:is>
          <ns0:t>LB301</ns0:t>
        </ns0:is>
      </ns0:c>
      <ns0:c r="C343" s="94" t="n">
        <ns0:v>3</ns0:v>
      </ns0:c>
      <ns0:c r="D343" s="94" t="inlineStr">
        <ns0:is>
          <ns0:t>T2</ns0:t>
        </ns0:is>
      </ns0:c>
      <ns0:c r="E343" s="94"/>
      <ns0:c r="F343" s="97" t="n">
        <ns0:v>91.0</ns0:v>
      </ns0:c>
      <ns0:c r="G343" s="97" t="n">
        <ns0:v>42.5</ns0:v>
      </ns0:c>
      <ns0:c r="H343" s="97" t="n">
        <ns0:v>133.5</ns0:v>
      </ns0:c>
      <ns0:c r="I343" s="95" t="n">
        <ns0:v>705000</ns0:v>
      </ns0:c>
      <ns0:c r="J343" s="94" t="n">
        <ns0:v>2026</ns0:v>
      </ns0:c>
      <ns0:c r="K343" s="95" t="n">
        <ns0:v>7747.252747252747</ns0:v>
      </ns0:c>
      <ns0:c r="L343" s="95" t="n">
        <ns0:v>5280.898876404494</ns0:v>
      </ns0:c>
      <ns0:c r="M343" s="94" t="inlineStr">
        <ns0:is>
          <ns0:t>Ativo</ns0:t>
        </ns0:is>
      </ns0:c>
      <ns0:c r="N343" s="94" t="inlineStr">
        <ns0:is>
          <ns0:t>BelaFormosa · Price List September 2026 · p. 1</ns0:t>
        </ns0:is>
      </ns0:c>
      <ns0:c r="O343" s="94"/>
      <ns0:c r="P343" s="94" t="inlineStr">
        <ns0:is>
          <ns0:t>2026-09</ns0:t>
        </ns0:is>
      </ns0:c>
      <ns0:c r="Q343" s="94" t="inlineStr">
        <ns0:is>
          <ns0:t>Premium local</ns0:t>
        </ns0:is>
      </ns0:c>
      <ns0:c r="R343" s="94" t="inlineStr">
        <ns0:is>
          <ns0:t>Nova construção</ns0:t>
        </ns0:is>
      </ns0:c>
      <ns0:c r="S343" s="94"/>
      <ns0:c r="T343" s="94" t="inlineStr">
        <ns0:is>
          <ns0:t>Não incluído no preço; disponibilidade por confirmar</ns0:t>
        </ns0:is>
      </ns0:c>
      <ns0:c r="U343" s="94"/>
      <ns0:c r="V343" s="94"/>
      <ns0:c r="W343" s="97" t="n">
        <ns0:v>0.9</ns0:v>
      </ns0:c>
      <ns0:c r="X343" s="94" t="inlineStr">
        <ns0:is>
          <ns0:t>A · Premium local; vistas estimadas</ns0:t>
        </ns0:is>
      </ns0:c>
      <ns0:c r="Y343" s="94" t="inlineStr">
        <ns0:is>
          <ns0:t>Média</ns0:t>
        </ns0:is>
      </ns0:c>
      <ns0:c r="Z343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</ns0:t>
        </ns0:is>
      </ns0:c>
      <ns0:c r="AA343" s="94" t="inlineStr">
        <ns0:is>
          <ns0:t>Confirmar vista, orientação, disponibilidade e condições atuais.</ns0:t>
        </ns0:is>
      </ns0:c>
      <ns0:c r="AB343" s="94" t="inlineStr">
        <ns0:is>
          <ns0:t>Média</ns0:t>
        </ns0:is>
      </ns0:c>
      <ns0:c r="AJ343" s="94" t="inlineStr">
        <ns0:is>
          <ns0:t>LB</ns0:t>
        </ns0:is>
      </ns0:c>
      <ns0:c r="AK343" s="94" t="inlineStr">
        <ns0:is>
          <ns0:t>Convencional</ns0:t>
        </ns0:is>
      </ns0:c>
      <ns0:c r="AL343" s="94" t="n">
        <ns0:v>3</ns0:v>
      </ns0:c>
      <ns0:c r="AM343" s="94" t="n">
        <ns0:v>4</ns0:v>
      </ns0:c>
      <ns0:c r="AN343" s="94" t="inlineStr">
        <ns0:is>
          <ns0:t>Estimada · baixa</ns0:t>
        </ns0:is>
      </ns0:c>
      <ns0:c r="AO343" s="94" t="inlineStr">
        <ns0:is>
          <ns0:t>Estimativa de implantação fornecida pela gestão; piso considerado sem confirmação geométrica.</ns0:t>
        </ns0:is>
      </ns0:c>
      <ns0:c r="AP343" s="94" t="inlineStr">
        <ns0:is>
          <ns0:t>Sim</ns0:t>
        </ns0:is>
      </ns0:c>
      <ns0:c r="AQ343" s="94" t="inlineStr">
        <ns0:is>
          <ns0:t>Olhão</ns0:t>
        </ns0:is>
      </ns0:c>
      <ns0:c r="AR343" s="94" t="inlineStr">
        <ns0:is>
          <ns0:t>BelaFormosa Price List September 2026, p. 1</ns0:t>
        </ns0:is>
      </ns0:c>
    </ns0:row>
    <ns0:row r="344" ht="72" customHeight="1">
      <ns0:c r="A344" s="94" t="inlineStr">
        <ns0:is>
          <ns0:t>BelaFormosa</ns0:t>
        </ns0:is>
      </ns0:c>
      <ns0:c r="B344" s="94" t="inlineStr">
        <ns0:is>
          <ns0:t>LB302</ns0:t>
        </ns0:is>
      </ns0:c>
      <ns0:c r="C344" s="94" t="n">
        <ns0:v>3</ns0:v>
      </ns0:c>
      <ns0:c r="D344" s="94" t="inlineStr">
        <ns0:is>
          <ns0:t>T2</ns0:t>
        </ns0:is>
      </ns0:c>
      <ns0:c r="E344" s="94"/>
      <ns0:c r="F344" s="97" t="n">
        <ns0:v>89.25</ns0:v>
      </ns0:c>
      <ns0:c r="G344" s="97" t="n">
        <ns0:v>18.0</ns0:v>
      </ns0:c>
      <ns0:c r="H344" s="97" t="n">
        <ns0:v>107.25</ns0:v>
      </ns0:c>
      <ns0:c r="I344" s="95" t="n">
        <ns0:v>685000</ns0:v>
      </ns0:c>
      <ns0:c r="J344" s="94" t="n">
        <ns0:v>2026</ns0:v>
      </ns0:c>
      <ns0:c r="K344" s="95" t="n">
        <ns0:v>7675.070028011204</ns0:v>
      </ns0:c>
      <ns0:c r="L344" s="95" t="n">
        <ns0:v>6386.946386946387</ns0:v>
      </ns0:c>
      <ns0:c r="M344" s="94" t="inlineStr">
        <ns0:is>
          <ns0:t>Ativo</ns0:t>
        </ns0:is>
      </ns0:c>
      <ns0:c r="N344" s="94" t="inlineStr">
        <ns0:is>
          <ns0:t>BelaFormosa · Price List September 2026 · p. 1</ns0:t>
        </ns0:is>
      </ns0:c>
      <ns0:c r="O344" s="94"/>
      <ns0:c r="P344" s="94" t="inlineStr">
        <ns0:is>
          <ns0:t>2026-09</ns0:t>
        </ns0:is>
      </ns0:c>
      <ns0:c r="Q344" s="94" t="inlineStr">
        <ns0:is>
          <ns0:t>Premium local</ns0:t>
        </ns0:is>
      </ns0:c>
      <ns0:c r="R344" s="94" t="inlineStr">
        <ns0:is>
          <ns0:t>Nova construção</ns0:t>
        </ns0:is>
      </ns0:c>
      <ns0:c r="S344" s="94"/>
      <ns0:c r="T344" s="94" t="inlineStr">
        <ns0:is>
          <ns0:t>Não incluído no preço; disponibilidade por confirmar</ns0:t>
        </ns0:is>
      </ns0:c>
      <ns0:c r="U344" s="94"/>
      <ns0:c r="V344" s="94"/>
      <ns0:c r="W344" s="97" t="n">
        <ns0:v>0.9</ns0:v>
      </ns0:c>
      <ns0:c r="X344" s="94" t="inlineStr">
        <ns0:is>
          <ns0:t>A · Premium local; vistas estimadas</ns0:t>
        </ns0:is>
      </ns0:c>
      <ns0:c r="Y344" s="94" t="inlineStr">
        <ns0:is>
          <ns0:t>Média</ns0:t>
        </ns0:is>
      </ns0:c>
      <ns0:c r="Z344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44" s="94" t="inlineStr">
        <ns0:is>
          <ns0:t>Confirmar vista, orientação, disponibilidade e condições atuais.</ns0:t>
        </ns0:is>
      </ns0:c>
      <ns0:c r="AB344" s="94" t="inlineStr">
        <ns0:is>
          <ns0:t>Média</ns0:t>
        </ns0:is>
      </ns0:c>
      <ns0:c r="AJ344" s="94" t="inlineStr">
        <ns0:is>
          <ns0:t>LB</ns0:t>
        </ns0:is>
      </ns0:c>
      <ns0:c r="AK344" s="94" t="inlineStr">
        <ns0:is>
          <ns0:t>Convencional</ns0:t>
        </ns0:is>
      </ns0:c>
      <ns0:c r="AL344" s="94" t="n">
        <ns0:v>3</ns0:v>
      </ns0:c>
      <ns0:c r="AM344" s="94" t="n">
        <ns0:v>4</ns0:v>
      </ns0:c>
      <ns0:c r="AN344" s="94" t="inlineStr">
        <ns0:is>
          <ns0:t>Estimada · baixa</ns0:t>
        </ns0:is>
      </ns0:c>
      <ns0:c r="AO344" s="94" t="inlineStr">
        <ns0:is>
          <ns0:t>Estimativa de implantação fornecida pela gestão; piso considerado sem confirmação geométrica.</ns0:t>
        </ns0:is>
      </ns0:c>
      <ns0:c r="AP344" s="94" t="inlineStr">
        <ns0:is>
          <ns0:t>Sim</ns0:t>
        </ns0:is>
      </ns0:c>
      <ns0:c r="AQ344" s="94" t="inlineStr">
        <ns0:is>
          <ns0:t>Olhão</ns0:t>
        </ns0:is>
      </ns0:c>
      <ns0:c r="AR344" s="94" t="inlineStr">
        <ns0:is>
          <ns0:t>BelaFormosa Price List September 2026, p. 1</ns0:t>
        </ns0:is>
      </ns0:c>
    </ns0:row>
    <ns0:row r="345" ht="72" customHeight="1">
      <ns0:c r="A345" s="94" t="inlineStr">
        <ns0:is>
          <ns0:t>BelaFormosa</ns0:t>
        </ns0:is>
      </ns0:c>
      <ns0:c r="B345" s="94" t="inlineStr">
        <ns0:is>
          <ns0:t>LB303</ns0:t>
        </ns0:is>
      </ns0:c>
      <ns0:c r="C345" s="94" t="n">
        <ns0:v>3</ns0:v>
      </ns0:c>
      <ns0:c r="D345" s="94" t="inlineStr">
        <ns0:is>
          <ns0:t>T1</ns0:t>
        </ns0:is>
      </ns0:c>
      <ns0:c r="E345" s="94"/>
      <ns0:c r="F345" s="97" t="n">
        <ns0:v>60.25</ns0:v>
      </ns0:c>
      <ns0:c r="G345" s="97" t="n">
        <ns0:v>12.0</ns0:v>
      </ns0:c>
      <ns0:c r="H345" s="97" t="n">
        <ns0:v>72.25</ns0:v>
      </ns0:c>
      <ns0:c r="I345" s="95" t="n">
        <ns0:v>470000</ns0:v>
      </ns0:c>
      <ns0:c r="J345" s="94" t="n">
        <ns0:v>2026</ns0:v>
      </ns0:c>
      <ns0:c r="K345" s="95" t="n">
        <ns0:v>7800.829875518672</ns0:v>
      </ns0:c>
      <ns0:c r="L345" s="95" t="n">
        <ns0:v>6505.190311418685</ns0:v>
      </ns0:c>
      <ns0:c r="M345" s="94" t="inlineStr">
        <ns0:is>
          <ns0:t>Ativo</ns0:t>
        </ns0:is>
      </ns0:c>
      <ns0:c r="N345" s="94" t="inlineStr">
        <ns0:is>
          <ns0:t>BelaFormosa · Price List September 2026 · p. 1</ns0:t>
        </ns0:is>
      </ns0:c>
      <ns0:c r="O345" s="94"/>
      <ns0:c r="P345" s="94" t="inlineStr">
        <ns0:is>
          <ns0:t>2026-09</ns0:t>
        </ns0:is>
      </ns0:c>
      <ns0:c r="Q345" s="94" t="inlineStr">
        <ns0:is>
          <ns0:t>Premium local</ns0:t>
        </ns0:is>
      </ns0:c>
      <ns0:c r="R345" s="94" t="inlineStr">
        <ns0:is>
          <ns0:t>Nova construção</ns0:t>
        </ns0:is>
      </ns0:c>
      <ns0:c r="S345" s="94"/>
      <ns0:c r="T345" s="94" t="inlineStr">
        <ns0:is>
          <ns0:t>Não incluído no preço; disponibilidade por confirmar</ns0:t>
        </ns0:is>
      </ns0:c>
      <ns0:c r="U345" s="94"/>
      <ns0:c r="V345" s="94"/>
      <ns0:c r="W345" s="97" t="n">
        <ns0:v>0.9</ns0:v>
      </ns0:c>
      <ns0:c r="X345" s="94" t="inlineStr">
        <ns0:is>
          <ns0:t>A · Premium local; vistas estimadas</ns0:t>
        </ns0:is>
      </ns0:c>
      <ns0:c r="Y345" s="94" t="inlineStr">
        <ns0:is>
          <ns0:t>Média</ns0:t>
        </ns0:is>
      </ns0:c>
      <ns0:c r="Z345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345" s="94" t="inlineStr">
        <ns0:is>
          <ns0:t>Confirmar vista, orientação, disponibilidade e condições atuais.</ns0:t>
        </ns0:is>
      </ns0:c>
      <ns0:c r="AB345" s="94" t="inlineStr">
        <ns0:is>
          <ns0:t>Média</ns0:t>
        </ns0:is>
      </ns0:c>
      <ns0:c r="AJ345" s="94" t="inlineStr">
        <ns0:is>
          <ns0:t>LB</ns0:t>
        </ns0:is>
      </ns0:c>
      <ns0:c r="AK345" s="94" t="inlineStr">
        <ns0:is>
          <ns0:t>Convencional</ns0:t>
        </ns0:is>
      </ns0:c>
      <ns0:c r="AL345" s="94" t="n">
        <ns0:v>3</ns0:v>
      </ns0:c>
      <ns0:c r="AM345" s="94" t="n">
        <ns0:v>4</ns0:v>
      </ns0:c>
      <ns0:c r="AN345" s="94" t="inlineStr">
        <ns0:is>
          <ns0:t>Estimada · baixa</ns0:t>
        </ns0:is>
      </ns0:c>
      <ns0:c r="AO345" s="94" t="inlineStr">
        <ns0:is>
          <ns0:t>Estimativa de implantação fornecida pela gestão; piso considerado sem confirmação geométrica.</ns0:t>
        </ns0:is>
      </ns0:c>
      <ns0:c r="AP345" s="94" t="inlineStr">
        <ns0:is>
          <ns0:t>Sim</ns0:t>
        </ns0:is>
      </ns0:c>
      <ns0:c r="AQ345" s="94" t="inlineStr">
        <ns0:is>
          <ns0:t>Olhão</ns0:t>
        </ns0:is>
      </ns0:c>
      <ns0:c r="AR345" s="94" t="inlineStr">
        <ns0:is>
          <ns0:t>BelaFormosa Price List September 2026, p. 1</ns0:t>
        </ns0:is>
      </ns0:c>
    </ns0:row>
    <ns0:row r="346" ht="72" customHeight="1">
      <ns0:c r="A346" s="94" t="inlineStr">
        <ns0:is>
          <ns0:t>BelaFormosa</ns0:t>
        </ns0:is>
      </ns0:c>
      <ns0:c r="B346" s="94" t="inlineStr">
        <ns0:is>
          <ns0:t>LB304</ns0:t>
        </ns0:is>
      </ns0:c>
      <ns0:c r="C346" s="94" t="n">
        <ns0:v>3</ns0:v>
      </ns0:c>
      <ns0:c r="D346" s="94" t="inlineStr">
        <ns0:is>
          <ns0:t>T1</ns0:t>
        </ns0:is>
      </ns0:c>
      <ns0:c r="E346" s="94"/>
      <ns0:c r="F346" s="97" t="n">
        <ns0:v>60.25</ns0:v>
      </ns0:c>
      <ns0:c r="G346" s="97" t="n">
        <ns0:v>12.0</ns0:v>
      </ns0:c>
      <ns0:c r="H346" s="97" t="n">
        <ns0:v>72.25</ns0:v>
      </ns0:c>
      <ns0:c r="I346" s="95" t="n">
        <ns0:v>470000</ns0:v>
      </ns0:c>
      <ns0:c r="J346" s="94" t="n">
        <ns0:v>2026</ns0:v>
      </ns0:c>
      <ns0:c r="K346" s="95" t="n">
        <ns0:v>7800.829875518672</ns0:v>
      </ns0:c>
      <ns0:c r="L346" s="95" t="n">
        <ns0:v>6505.190311418685</ns0:v>
      </ns0:c>
      <ns0:c r="M346" s="94" t="inlineStr">
        <ns0:is>
          <ns0:t>Ativo</ns0:t>
        </ns0:is>
      </ns0:c>
      <ns0:c r="N346" s="94" t="inlineStr">
        <ns0:is>
          <ns0:t>BelaFormosa · Price List September 2026 · p. 1</ns0:t>
        </ns0:is>
      </ns0:c>
      <ns0:c r="O346" s="94"/>
      <ns0:c r="P346" s="94" t="inlineStr">
        <ns0:is>
          <ns0:t>2026-09</ns0:t>
        </ns0:is>
      </ns0:c>
      <ns0:c r="Q346" s="94" t="inlineStr">
        <ns0:is>
          <ns0:t>Premium local</ns0:t>
        </ns0:is>
      </ns0:c>
      <ns0:c r="R346" s="94" t="inlineStr">
        <ns0:is>
          <ns0:t>Nova construção</ns0:t>
        </ns0:is>
      </ns0:c>
      <ns0:c r="S346" s="94"/>
      <ns0:c r="T346" s="94" t="inlineStr">
        <ns0:is>
          <ns0:t>Não incluído no preço; disponibilidade por confirmar</ns0:t>
        </ns0:is>
      </ns0:c>
      <ns0:c r="U346" s="94"/>
      <ns0:c r="V346" s="94"/>
      <ns0:c r="W346" s="97" t="n">
        <ns0:v>0.9</ns0:v>
      </ns0:c>
      <ns0:c r="X346" s="94" t="inlineStr">
        <ns0:is>
          <ns0:t>A · Premium local; vistas estimadas</ns0:t>
        </ns0:is>
      </ns0:c>
      <ns0:c r="Y346" s="94" t="inlineStr">
        <ns0:is>
          <ns0:t>Média</ns0:t>
        </ns0:is>
      </ns0:c>
      <ns0:c r="Z346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346" s="94" t="inlineStr">
        <ns0:is>
          <ns0:t>Confirmar vista, orientação, disponibilidade e condições atuais.</ns0:t>
        </ns0:is>
      </ns0:c>
      <ns0:c r="AB346" s="94" t="inlineStr">
        <ns0:is>
          <ns0:t>Média</ns0:t>
        </ns0:is>
      </ns0:c>
      <ns0:c r="AJ346" s="94" t="inlineStr">
        <ns0:is>
          <ns0:t>LB</ns0:t>
        </ns0:is>
      </ns0:c>
      <ns0:c r="AK346" s="94" t="inlineStr">
        <ns0:is>
          <ns0:t>Convencional</ns0:t>
        </ns0:is>
      </ns0:c>
      <ns0:c r="AL346" s="94" t="n">
        <ns0:v>3</ns0:v>
      </ns0:c>
      <ns0:c r="AM346" s="94" t="n">
        <ns0:v>4</ns0:v>
      </ns0:c>
      <ns0:c r="AN346" s="94" t="inlineStr">
        <ns0:is>
          <ns0:t>Estimada · baixa</ns0:t>
        </ns0:is>
      </ns0:c>
      <ns0:c r="AO346" s="94" t="inlineStr">
        <ns0:is>
          <ns0:t>Estimativa de implantação fornecida pela gestão; piso considerado sem confirmação geométrica.</ns0:t>
        </ns0:is>
      </ns0:c>
      <ns0:c r="AP346" s="94" t="inlineStr">
        <ns0:is>
          <ns0:t>Sim</ns0:t>
        </ns0:is>
      </ns0:c>
      <ns0:c r="AQ346" s="94" t="inlineStr">
        <ns0:is>
          <ns0:t>Olhão</ns0:t>
        </ns0:is>
      </ns0:c>
      <ns0:c r="AR346" s="94" t="inlineStr">
        <ns0:is>
          <ns0:t>BelaFormosa Price List September 2026, p. 1</ns0:t>
        </ns0:is>
      </ns0:c>
    </ns0:row>
    <ns0:row r="347" ht="72" customHeight="1">
      <ns0:c r="A347" s="94" t="inlineStr">
        <ns0:is>
          <ns0:t>BelaFormosa</ns0:t>
        </ns0:is>
      </ns0:c>
      <ns0:c r="B347" s="94" t="inlineStr">
        <ns0:is>
          <ns0:t>LB305</ns0:t>
        </ns0:is>
      </ns0:c>
      <ns0:c r="C347" s="94" t="n">
        <ns0:v>3</ns0:v>
      </ns0:c>
      <ns0:c r="D347" s="94" t="inlineStr">
        <ns0:is>
          <ns0:t>T2</ns0:t>
        </ns0:is>
      </ns0:c>
      <ns0:c r="E347" s="94"/>
      <ns0:c r="F347" s="97" t="n">
        <ns0:v>89.25</ns0:v>
      </ns0:c>
      <ns0:c r="G347" s="97" t="n">
        <ns0:v>17.5</ns0:v>
      </ns0:c>
      <ns0:c r="H347" s="97" t="n">
        <ns0:v>106.75</ns0:v>
      </ns0:c>
      <ns0:c r="I347" s="95" t="n">
        <ns0:v>705000</ns0:v>
      </ns0:c>
      <ns0:c r="J347" s="94" t="n">
        <ns0:v>2026</ns0:v>
      </ns0:c>
      <ns0:c r="K347" s="95" t="n">
        <ns0:v>7899.1596638655465</ns0:v>
      </ns0:c>
      <ns0:c r="L347" s="95" t="n">
        <ns0:v>6604.215456674473</ns0:v>
      </ns0:c>
      <ns0:c r="M347" s="94" t="inlineStr">
        <ns0:is>
          <ns0:t>Ativo</ns0:t>
        </ns0:is>
      </ns0:c>
      <ns0:c r="N347" s="94" t="inlineStr">
        <ns0:is>
          <ns0:t>BelaFormosa · Price List September 2026 · p. 1</ns0:t>
        </ns0:is>
      </ns0:c>
      <ns0:c r="O347" s="94"/>
      <ns0:c r="P347" s="94" t="inlineStr">
        <ns0:is>
          <ns0:t>2026-09</ns0:t>
        </ns0:is>
      </ns0:c>
      <ns0:c r="Q347" s="94" t="inlineStr">
        <ns0:is>
          <ns0:t>Premium local</ns0:t>
        </ns0:is>
      </ns0:c>
      <ns0:c r="R347" s="94" t="inlineStr">
        <ns0:is>
          <ns0:t>Nova construção</ns0:t>
        </ns0:is>
      </ns0:c>
      <ns0:c r="S347" s="94"/>
      <ns0:c r="T347" s="94" t="inlineStr">
        <ns0:is>
          <ns0:t>Não incluído no preço; disponibilidade por confirmar</ns0:t>
        </ns0:is>
      </ns0:c>
      <ns0:c r="U347" s="94"/>
      <ns0:c r="V347" s="94"/>
      <ns0:c r="W347" s="97" t="n">
        <ns0:v>0.9</ns0:v>
      </ns0:c>
      <ns0:c r="X347" s="94" t="inlineStr">
        <ns0:is>
          <ns0:t>A · Premium local; vistas estimadas</ns0:t>
        </ns0:is>
      </ns0:c>
      <ns0:c r="Y347" s="94" t="inlineStr">
        <ns0:is>
          <ns0:t>Média</ns0:t>
        </ns0:is>
      </ns0:c>
      <ns0:c r="Z347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47" s="94" t="inlineStr">
        <ns0:is>
          <ns0:t>Confirmar vista, orientação, disponibilidade e condições atuais.</ns0:t>
        </ns0:is>
      </ns0:c>
      <ns0:c r="AB347" s="94" t="inlineStr">
        <ns0:is>
          <ns0:t>Média</ns0:t>
        </ns0:is>
      </ns0:c>
      <ns0:c r="AJ347" s="94" t="inlineStr">
        <ns0:is>
          <ns0:t>LB</ns0:t>
        </ns0:is>
      </ns0:c>
      <ns0:c r="AK347" s="94" t="inlineStr">
        <ns0:is>
          <ns0:t>Convencional</ns0:t>
        </ns0:is>
      </ns0:c>
      <ns0:c r="AL347" s="94" t="n">
        <ns0:v>3</ns0:v>
      </ns0:c>
      <ns0:c r="AM347" s="94" t="n">
        <ns0:v>4</ns0:v>
      </ns0:c>
      <ns0:c r="AN347" s="94" t="inlineStr">
        <ns0:is>
          <ns0:t>Estimada · baixa</ns0:t>
        </ns0:is>
      </ns0:c>
      <ns0:c r="AO347" s="94" t="inlineStr">
        <ns0:is>
          <ns0:t>Estimativa de implantação fornecida pela gestão; piso considerado sem confirmação geométrica.</ns0:t>
        </ns0:is>
      </ns0:c>
      <ns0:c r="AP347" s="94" t="inlineStr">
        <ns0:is>
          <ns0:t>Sim</ns0:t>
        </ns0:is>
      </ns0:c>
      <ns0:c r="AQ347" s="94" t="inlineStr">
        <ns0:is>
          <ns0:t>Olhão</ns0:t>
        </ns0:is>
      </ns0:c>
      <ns0:c r="AR347" s="94" t="inlineStr">
        <ns0:is>
          <ns0:t>BelaFormosa Price List September 2026, p. 1</ns0:t>
        </ns0:is>
      </ns0:c>
    </ns0:row>
    <ns0:row r="348" ht="72" customHeight="1">
      <ns0:c r="A348" s="94" t="inlineStr">
        <ns0:is>
          <ns0:t>BelaFormosa</ns0:t>
        </ns0:is>
      </ns0:c>
      <ns0:c r="B348" s="94" t="inlineStr">
        <ns0:is>
          <ns0:t>LB306</ns0:t>
        </ns0:is>
      </ns0:c>
      <ns0:c r="C348" s="94" t="n">
        <ns0:v>3</ns0:v>
      </ns0:c>
      <ns0:c r="D348" s="94" t="inlineStr">
        <ns0:is>
          <ns0:t>T2</ns0:t>
        </ns0:is>
      </ns0:c>
      <ns0:c r="E348" s="94"/>
      <ns0:c r="F348" s="97" t="n">
        <ns0:v>89.25</ns0:v>
      </ns0:c>
      <ns0:c r="G348" s="97" t="n">
        <ns0:v>17.5</ns0:v>
      </ns0:c>
      <ns0:c r="H348" s="97" t="n">
        <ns0:v>106.75</ns0:v>
      </ns0:c>
      <ns0:c r="I348" s="95" t="n">
        <ns0:v>760000</ns0:v>
      </ns0:c>
      <ns0:c r="J348" s="94" t="n">
        <ns0:v>2026</ns0:v>
      </ns0:c>
      <ns0:c r="K348" s="95" t="n">
        <ns0:v>8515.406162464986</ns0:v>
      </ns0:c>
      <ns0:c r="L348" s="95" t="n">
        <ns0:v>7119.43793911007</ns0:v>
      </ns0:c>
      <ns0:c r="M348" s="94" t="inlineStr">
        <ns0:is>
          <ns0:t>Ativo</ns0:t>
        </ns0:is>
      </ns0:c>
      <ns0:c r="N348" s="94" t="inlineStr">
        <ns0:is>
          <ns0:t>BelaFormosa · Price List September 2026 · p. 1</ns0:t>
        </ns0:is>
      </ns0:c>
      <ns0:c r="O348" s="94"/>
      <ns0:c r="P348" s="94" t="inlineStr">
        <ns0:is>
          <ns0:t>2026-09</ns0:t>
        </ns0:is>
      </ns0:c>
      <ns0:c r="Q348" s="94" t="inlineStr">
        <ns0:is>
          <ns0:t>Premium local</ns0:t>
        </ns0:is>
      </ns0:c>
      <ns0:c r="R348" s="94" t="inlineStr">
        <ns0:is>
          <ns0:t>Nova construção</ns0:t>
        </ns0:is>
      </ns0:c>
      <ns0:c r="S348" s="94"/>
      <ns0:c r="T348" s="94" t="inlineStr">
        <ns0:is>
          <ns0:t>Não incluído no preço; disponibilidade por confirmar</ns0:t>
        </ns0:is>
      </ns0:c>
      <ns0:c r="U348" s="94"/>
      <ns0:c r="V348" s="94"/>
      <ns0:c r="W348" s="97" t="n">
        <ns0:v>0.9</ns0:v>
      </ns0:c>
      <ns0:c r="X348" s="94" t="inlineStr">
        <ns0:is>
          <ns0:t>A · Premium local; vistas estimadas</ns0:t>
        </ns0:is>
      </ns0:c>
      <ns0:c r="Y348" s="94" t="inlineStr">
        <ns0:is>
          <ns0:t>Média</ns0:t>
        </ns0:is>
      </ns0:c>
      <ns0:c r="Z348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48" s="94" t="inlineStr">
        <ns0:is>
          <ns0:t>Confirmar vista, orientação, disponibilidade e condições atuais.</ns0:t>
        </ns0:is>
      </ns0:c>
      <ns0:c r="AB348" s="94" t="inlineStr">
        <ns0:is>
          <ns0:t>Média</ns0:t>
        </ns0:is>
      </ns0:c>
      <ns0:c r="AJ348" s="94" t="inlineStr">
        <ns0:is>
          <ns0:t>LB</ns0:t>
        </ns0:is>
      </ns0:c>
      <ns0:c r="AK348" s="94" t="inlineStr">
        <ns0:is>
          <ns0:t>Convencional</ns0:t>
        </ns0:is>
      </ns0:c>
      <ns0:c r="AL348" s="94" t="n">
        <ns0:v>2</ns0:v>
      </ns0:c>
      <ns0:c r="AM348" s="94" t="n">
        <ns0:v>3</ns0:v>
      </ns0:c>
      <ns0:c r="AN348" s="94" t="inlineStr">
        <ns0:is>
          <ns0:t>Estimada · baixa</ns0:t>
        </ns0:is>
      </ns0:c>
      <ns0:c r="AO348" s="94" t="inlineStr">
        <ns0:is>
          <ns0:t>Estimativa de implantação fornecida pela gestão; piso considerado sem confirmação geométrica.</ns0:t>
        </ns0:is>
      </ns0:c>
      <ns0:c r="AP348" s="94" t="inlineStr">
        <ns0:is>
          <ns0:t>Sim</ns0:t>
        </ns0:is>
      </ns0:c>
      <ns0:c r="AQ348" s="94" t="inlineStr">
        <ns0:is>
          <ns0:t>Olhão</ns0:t>
        </ns0:is>
      </ns0:c>
      <ns0:c r="AR348" s="94" t="inlineStr">
        <ns0:is>
          <ns0:t>BelaFormosa Price List September 2026, p. 1</ns0:t>
        </ns0:is>
      </ns0:c>
    </ns0:row>
    <ns0:row r="349" ht="72" customHeight="1">
      <ns0:c r="A349" s="94" t="inlineStr">
        <ns0:is>
          <ns0:t>BelaFormosa</ns0:t>
        </ns0:is>
      </ns0:c>
      <ns0:c r="B349" s="94" t="inlineStr">
        <ns0:is>
          <ns0:t>LB307</ns0:t>
        </ns0:is>
      </ns0:c>
      <ns0:c r="C349" s="94" t="n">
        <ns0:v>3</ns0:v>
      </ns0:c>
      <ns0:c r="D349" s="94" t="inlineStr">
        <ns0:is>
          <ns0:t>T1</ns0:t>
        </ns0:is>
      </ns0:c>
      <ns0:c r="E349" s="94"/>
      <ns0:c r="F349" s="97" t="n">
        <ns0:v>60.25</ns0:v>
      </ns0:c>
      <ns0:c r="G349" s="97" t="n">
        <ns0:v>12.0</ns0:v>
      </ns0:c>
      <ns0:c r="H349" s="97" t="n">
        <ns0:v>72.25</ns0:v>
      </ns0:c>
      <ns0:c r="I349" s="95" t="n">
        <ns0:v>495000</ns0:v>
      </ns0:c>
      <ns0:c r="J349" s="94" t="n">
        <ns0:v>2026</ns0:v>
      </ns0:c>
      <ns0:c r="K349" s="95" t="n">
        <ns0:v>8215.767634854772</ns0:v>
      </ns0:c>
      <ns0:c r="L349" s="95" t="n">
        <ns0:v>6851.21107266436</ns0:v>
      </ns0:c>
      <ns0:c r="M349" s="94" t="inlineStr">
        <ns0:is>
          <ns0:t>Reservado</ns0:t>
        </ns0:is>
      </ns0:c>
      <ns0:c r="N349" s="94" t="inlineStr">
        <ns0:is>
          <ns0:t>BelaFormosa · Price List September 2026 · p. 1</ns0:t>
        </ns0:is>
      </ns0:c>
      <ns0:c r="O349" s="94"/>
      <ns0:c r="P349" s="94" t="inlineStr">
        <ns0:is>
          <ns0:t>2026-09</ns0:t>
        </ns0:is>
      </ns0:c>
      <ns0:c r="Q349" s="94" t="inlineStr">
        <ns0:is>
          <ns0:t>Premium local</ns0:t>
        </ns0:is>
      </ns0:c>
      <ns0:c r="R349" s="94" t="inlineStr">
        <ns0:is>
          <ns0:t>Nova construção</ns0:t>
        </ns0:is>
      </ns0:c>
      <ns0:c r="S349" s="94"/>
      <ns0:c r="T349" s="94" t="inlineStr">
        <ns0:is>
          <ns0:t>Não incluído no preço; disponibilidade por confirmar</ns0:t>
        </ns0:is>
      </ns0:c>
      <ns0:c r="U349" s="94"/>
      <ns0:c r="V349" s="94"/>
      <ns0:c r="W349" s="97" t="n">
        <ns0:v>0.9</ns0:v>
      </ns0:c>
      <ns0:c r="X349" s="94" t="inlineStr">
        <ns0:is>
          <ns0:t>A · Premium local; vistas estimadas</ns0:t>
        </ns0:is>
      </ns0:c>
      <ns0:c r="Y349" s="94" t="inlineStr">
        <ns0:is>
          <ns0:t>Média</ns0:t>
        </ns0:is>
      </ns0:c>
      <ns0:c r="Z349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 Reservado, não vendido. Preço extraído mantido por autorização da gestão; não constitui oferta ativa.</ns0:t>
        </ns0:is>
      </ns0:c>
      <ns0:c r="AA349" s="94" t="inlineStr">
        <ns0:is>
          <ns0:t>Confirmar vista, orientação, disponibilidade e condições atuais.</ns0:t>
        </ns0:is>
      </ns0:c>
      <ns0:c r="AB349" s="94" t="inlineStr">
        <ns0:is>
          <ns0:t>Alta</ns0:t>
        </ns0:is>
      </ns0:c>
      <ns0:c r="AJ349" s="94" t="inlineStr">
        <ns0:is>
          <ns0:t>LB</ns0:t>
        </ns0:is>
      </ns0:c>
      <ns0:c r="AK349" s="94" t="inlineStr">
        <ns0:is>
          <ns0:t>Convencional</ns0:t>
        </ns0:is>
      </ns0:c>
      <ns0:c r="AL349" s="94" t="n">
        <ns0:v>2</ns0:v>
      </ns0:c>
      <ns0:c r="AM349" s="94" t="n">
        <ns0:v>3</ns0:v>
      </ns0:c>
      <ns0:c r="AN349" s="94" t="inlineStr">
        <ns0:is>
          <ns0:t>Estimada · baixa</ns0:t>
        </ns0:is>
      </ns0:c>
      <ns0:c r="AO349" s="94" t="inlineStr">
        <ns0:is>
          <ns0:t>Estimativa de implantação fornecida pela gestão; piso considerado sem confirmação geométrica.</ns0:t>
        </ns0:is>
      </ns0:c>
      <ns0:c r="AP349" s="94" t="inlineStr">
        <ns0:is>
          <ns0:t>Não · reservado</ns0:t>
        </ns0:is>
      </ns0:c>
      <ns0:c r="AQ349" s="94" t="inlineStr">
        <ns0:is>
          <ns0:t>Olhão</ns0:t>
        </ns0:is>
      </ns0:c>
      <ns0:c r="AR349" s="94" t="inlineStr">
        <ns0:is>
          <ns0:t>BelaFormosa Price List September 2026, p. 1</ns0:t>
        </ns0:is>
      </ns0:c>
    </ns0:row>
    <ns0:row r="350" ht="72" customHeight="1">
      <ns0:c r="A350" s="94" t="inlineStr">
        <ns0:is>
          <ns0:t>BelaFormosa</ns0:t>
        </ns0:is>
      </ns0:c>
      <ns0:c r="B350" s="94" t="inlineStr">
        <ns0:is>
          <ns0:t>LB308</ns0:t>
        </ns0:is>
      </ns0:c>
      <ns0:c r="C350" s="94" t="n">
        <ns0:v>3</ns0:v>
      </ns0:c>
      <ns0:c r="D350" s="94" t="inlineStr">
        <ns0:is>
          <ns0:t>T1</ns0:t>
        </ns0:is>
      </ns0:c>
      <ns0:c r="E350" s="94"/>
      <ns0:c r="F350" s="97" t="n">
        <ns0:v>60.25</ns0:v>
      </ns0:c>
      <ns0:c r="G350" s="97" t="n">
        <ns0:v>12.0</ns0:v>
      </ns0:c>
      <ns0:c r="H350" s="97" t="n">
        <ns0:v>72.25</ns0:v>
      </ns0:c>
      <ns0:c r="I350" s="95" t="n">
        <ns0:v>495000</ns0:v>
      </ns0:c>
      <ns0:c r="J350" s="94" t="n">
        <ns0:v>2026</ns0:v>
      </ns0:c>
      <ns0:c r="K350" s="95" t="n">
        <ns0:v>8215.767634854772</ns0:v>
      </ns0:c>
      <ns0:c r="L350" s="95" t="n">
        <ns0:v>6851.21107266436</ns0:v>
      </ns0:c>
      <ns0:c r="M350" s="94" t="inlineStr">
        <ns0:is>
          <ns0:t>Reservado</ns0:t>
        </ns0:is>
      </ns0:c>
      <ns0:c r="N350" s="94" t="inlineStr">
        <ns0:is>
          <ns0:t>BelaFormosa · Price List September 2026 · p. 1</ns0:t>
        </ns0:is>
      </ns0:c>
      <ns0:c r="O350" s="94"/>
      <ns0:c r="P350" s="94" t="inlineStr">
        <ns0:is>
          <ns0:t>2026-09</ns0:t>
        </ns0:is>
      </ns0:c>
      <ns0:c r="Q350" s="94" t="inlineStr">
        <ns0:is>
          <ns0:t>Premium local</ns0:t>
        </ns0:is>
      </ns0:c>
      <ns0:c r="R350" s="94" t="inlineStr">
        <ns0:is>
          <ns0:t>Nova construção</ns0:t>
        </ns0:is>
      </ns0:c>
      <ns0:c r="S350" s="94"/>
      <ns0:c r="T350" s="94" t="inlineStr">
        <ns0:is>
          <ns0:t>Não incluído no preço; disponibilidade por confirmar</ns0:t>
        </ns0:is>
      </ns0:c>
      <ns0:c r="U350" s="94"/>
      <ns0:c r="V350" s="94"/>
      <ns0:c r="W350" s="97" t="n">
        <ns0:v>0.9</ns0:v>
      </ns0:c>
      <ns0:c r="X350" s="94" t="inlineStr">
        <ns0:is>
          <ns0:t>A · Premium local; vistas estimadas</ns0:t>
        </ns0:is>
      </ns0:c>
      <ns0:c r="Y350" s="94" t="inlineStr">
        <ns0:is>
          <ns0:t>Média</ns0:t>
        </ns0:is>
      </ns0:c>
      <ns0:c r="Z350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 Reservado, não vendido. Preço extraído mantido por autorização da gestão; não constitui oferta ativa.</ns0:t>
        </ns0:is>
      </ns0:c>
      <ns0:c r="AA350" s="94" t="inlineStr">
        <ns0:is>
          <ns0:t>Confirmar vista, orientação, disponibilidade e condições atuais.</ns0:t>
        </ns0:is>
      </ns0:c>
      <ns0:c r="AB350" s="94" t="inlineStr">
        <ns0:is>
          <ns0:t>Alta</ns0:t>
        </ns0:is>
      </ns0:c>
      <ns0:c r="AJ350" s="94" t="inlineStr">
        <ns0:is>
          <ns0:t>LB</ns0:t>
        </ns0:is>
      </ns0:c>
      <ns0:c r="AK350" s="94" t="inlineStr">
        <ns0:is>
          <ns0:t>Convencional</ns0:t>
        </ns0:is>
      </ns0:c>
      <ns0:c r="AL350" s="94" t="n">
        <ns0:v>2</ns0:v>
      </ns0:c>
      <ns0:c r="AM350" s="94" t="n">
        <ns0:v>3</ns0:v>
      </ns0:c>
      <ns0:c r="AN350" s="94" t="inlineStr">
        <ns0:is>
          <ns0:t>Estimada · baixa</ns0:t>
        </ns0:is>
      </ns0:c>
      <ns0:c r="AO350" s="94" t="inlineStr">
        <ns0:is>
          <ns0:t>Estimativa de implantação fornecida pela gestão; piso considerado sem confirmação geométrica.</ns0:t>
        </ns0:is>
      </ns0:c>
      <ns0:c r="AP350" s="94" t="inlineStr">
        <ns0:is>
          <ns0:t>Não · reservado</ns0:t>
        </ns0:is>
      </ns0:c>
      <ns0:c r="AQ350" s="94" t="inlineStr">
        <ns0:is>
          <ns0:t>Olhão</ns0:t>
        </ns0:is>
      </ns0:c>
      <ns0:c r="AR350" s="94" t="inlineStr">
        <ns0:is>
          <ns0:t>BelaFormosa Price List September 2026, p. 1</ns0:t>
        </ns0:is>
      </ns0:c>
    </ns0:row>
    <ns0:row r="351" ht="72" customHeight="1">
      <ns0:c r="A351" s="94" t="inlineStr">
        <ns0:is>
          <ns0:t>BelaFormosa</ns0:t>
        </ns0:is>
      </ns0:c>
      <ns0:c r="B351" s="94" t="inlineStr">
        <ns0:is>
          <ns0:t>LB309</ns0:t>
        </ns0:is>
      </ns0:c>
      <ns0:c r="C351" s="94" t="n">
        <ns0:v>3</ns0:v>
      </ns0:c>
      <ns0:c r="D351" s="94" t="inlineStr">
        <ns0:is>
          <ns0:t>T2</ns0:t>
        </ns0:is>
      </ns0:c>
      <ns0:c r="E351" s="94"/>
      <ns0:c r="F351" s="97" t="n">
        <ns0:v>89.25</ns0:v>
      </ns0:c>
      <ns0:c r="G351" s="97" t="n">
        <ns0:v>18.0</ns0:v>
      </ns0:c>
      <ns0:c r="H351" s="97" t="n">
        <ns0:v>107.25</ns0:v>
      </ns0:c>
      <ns0:c r="I351" s="95" t="n">
        <ns0:v>720000</ns0:v>
      </ns0:c>
      <ns0:c r="J351" s="94" t="n">
        <ns0:v>2026</ns0:v>
      </ns0:c>
      <ns0:c r="K351" s="95" t="n">
        <ns0:v>8067.226890756303</ns0:v>
      </ns0:c>
      <ns0:c r="L351" s="95" t="n">
        <ns0:v>6713.286713286713</ns0:v>
      </ns0:c>
      <ns0:c r="M351" s="94" t="inlineStr">
        <ns0:is>
          <ns0:t>Ativo</ns0:t>
        </ns0:is>
      </ns0:c>
      <ns0:c r="N351" s="94" t="inlineStr">
        <ns0:is>
          <ns0:t>BelaFormosa · Price List September 2026 · p. 1</ns0:t>
        </ns0:is>
      </ns0:c>
      <ns0:c r="O351" s="94"/>
      <ns0:c r="P351" s="94" t="inlineStr">
        <ns0:is>
          <ns0:t>2026-09</ns0:t>
        </ns0:is>
      </ns0:c>
      <ns0:c r="Q351" s="94" t="inlineStr">
        <ns0:is>
          <ns0:t>Premium local</ns0:t>
        </ns0:is>
      </ns0:c>
      <ns0:c r="R351" s="94" t="inlineStr">
        <ns0:is>
          <ns0:t>Nova construção</ns0:t>
        </ns0:is>
      </ns0:c>
      <ns0:c r="S351" s="94"/>
      <ns0:c r="T351" s="94" t="inlineStr">
        <ns0:is>
          <ns0:t>Não incluído no preço; disponibilidade por confirmar</ns0:t>
        </ns0:is>
      </ns0:c>
      <ns0:c r="U351" s="94"/>
      <ns0:c r="V351" s="94"/>
      <ns0:c r="W351" s="97" t="n">
        <ns0:v>0.9</ns0:v>
      </ns0:c>
      <ns0:c r="X351" s="94" t="inlineStr">
        <ns0:is>
          <ns0:t>A · Premium local; vistas estimadas</ns0:t>
        </ns0:is>
      </ns0:c>
      <ns0:c r="Y351" s="94" t="inlineStr">
        <ns0:is>
          <ns0:t>Média</ns0:t>
        </ns0:is>
      </ns0:c>
      <ns0:c r="Z351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51" s="94" t="inlineStr">
        <ns0:is>
          <ns0:t>Confirmar vista, orientação, disponibilidade e condições atuais.</ns0:t>
        </ns0:is>
      </ns0:c>
      <ns0:c r="AB351" s="94" t="inlineStr">
        <ns0:is>
          <ns0:t>Média</ns0:t>
        </ns0:is>
      </ns0:c>
      <ns0:c r="AJ351" s="94" t="inlineStr">
        <ns0:is>
          <ns0:t>LB</ns0:t>
        </ns0:is>
      </ns0:c>
      <ns0:c r="AK351" s="94" t="inlineStr">
        <ns0:is>
          <ns0:t>Convencional</ns0:t>
        </ns0:is>
      </ns0:c>
      <ns0:c r="AL351" s="94" t="n">
        <ns0:v>2</ns0:v>
      </ns0:c>
      <ns0:c r="AM351" s="94" t="n">
        <ns0:v>3</ns0:v>
      </ns0:c>
      <ns0:c r="AN351" s="94" t="inlineStr">
        <ns0:is>
          <ns0:t>Estimada · baixa</ns0:t>
        </ns0:is>
      </ns0:c>
      <ns0:c r="AO351" s="94" t="inlineStr">
        <ns0:is>
          <ns0:t>Estimativa de implantação fornecida pela gestão; piso considerado sem confirmação geométrica.</ns0:t>
        </ns0:is>
      </ns0:c>
      <ns0:c r="AP351" s="94" t="inlineStr">
        <ns0:is>
          <ns0:t>Sim</ns0:t>
        </ns0:is>
      </ns0:c>
      <ns0:c r="AQ351" s="94" t="inlineStr">
        <ns0:is>
          <ns0:t>Olhão</ns0:t>
        </ns0:is>
      </ns0:c>
      <ns0:c r="AR351" s="94" t="inlineStr">
        <ns0:is>
          <ns0:t>BelaFormosa Price List September 2026, p. 1</ns0:t>
        </ns0:is>
      </ns0:c>
    </ns0:row>
    <ns0:row r="352" ht="72" customHeight="1">
      <ns0:c r="A352" s="94" t="inlineStr">
        <ns0:is>
          <ns0:t>BelaFormosa</ns0:t>
        </ns0:is>
      </ns0:c>
      <ns0:c r="B352" s="94" t="inlineStr">
        <ns0:is>
          <ns0:t>LB310</ns0:t>
        </ns0:is>
      </ns0:c>
      <ns0:c r="C352" s="94" t="n">
        <ns0:v>3</ns0:v>
      </ns0:c>
      <ns0:c r="D352" s="94" t="inlineStr">
        <ns0:is>
          <ns0:t>T2</ns0:t>
        </ns0:is>
      </ns0:c>
      <ns0:c r="E352" s="94"/>
      <ns0:c r="F352" s="97" t="n">
        <ns0:v>91.0</ns0:v>
      </ns0:c>
      <ns0:c r="G352" s="97" t="n">
        <ns0:v>42.5</ns0:v>
      </ns0:c>
      <ns0:c r="H352" s="97" t="n">
        <ns0:v>133.5</ns0:v>
      </ns0:c>
      <ns0:c r="I352" s="95" t="n">
        <ns0:v>735000</ns0:v>
      </ns0:c>
      <ns0:c r="J352" s="94" t="n">
        <ns0:v>2026</ns0:v>
      </ns0:c>
      <ns0:c r="K352" s="95" t="n">
        <ns0:v>8076.923076923077</ns0:v>
      </ns0:c>
      <ns0:c r="L352" s="95" t="n">
        <ns0:v>5505.61797752809</ns0:v>
      </ns0:c>
      <ns0:c r="M352" s="94" t="inlineStr">
        <ns0:is>
          <ns0:t>Ativo</ns0:t>
        </ns0:is>
      </ns0:c>
      <ns0:c r="N352" s="94" t="inlineStr">
        <ns0:is>
          <ns0:t>BelaFormosa · Price List September 2026 · p. 2</ns0:t>
        </ns0:is>
      </ns0:c>
      <ns0:c r="O352" s="94"/>
      <ns0:c r="P352" s="94" t="inlineStr">
        <ns0:is>
          <ns0:t>2026-09</ns0:t>
        </ns0:is>
      </ns0:c>
      <ns0:c r="Q352" s="94" t="inlineStr">
        <ns0:is>
          <ns0:t>Premium local</ns0:t>
        </ns0:is>
      </ns0:c>
      <ns0:c r="R352" s="94" t="inlineStr">
        <ns0:is>
          <ns0:t>Nova construção</ns0:t>
        </ns0:is>
      </ns0:c>
      <ns0:c r="S352" s="94"/>
      <ns0:c r="T352" s="94" t="inlineStr">
        <ns0:is>
          <ns0:t>Não incluído no preço; disponibilidade por confirmar</ns0:t>
        </ns0:is>
      </ns0:c>
      <ns0:c r="U352" s="94"/>
      <ns0:c r="V352" s="94"/>
      <ns0:c r="W352" s="97" t="n">
        <ns0:v>0.9</ns0:v>
      </ns0:c>
      <ns0:c r="X352" s="94" t="inlineStr">
        <ns0:is>
          <ns0:t>A · Premium local; vistas estimadas</ns0:t>
        </ns0:is>
      </ns0:c>
      <ns0:c r="Y352" s="94" t="inlineStr">
        <ns0:is>
          <ns0:t>Média</ns0:t>
        </ns0:is>
      </ns0:c>
      <ns0:c r="Z352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</ns0:t>
        </ns0:is>
      </ns0:c>
      <ns0:c r="AA352" s="94" t="inlineStr">
        <ns0:is>
          <ns0:t>Confirmar vista, orientação, disponibilidade e condições atuais.</ns0:t>
        </ns0:is>
      </ns0:c>
      <ns0:c r="AB352" s="94" t="inlineStr">
        <ns0:is>
          <ns0:t>Média</ns0:t>
        </ns0:is>
      </ns0:c>
      <ns0:c r="AJ352" s="94" t="inlineStr">
        <ns0:is>
          <ns0:t>LB</ns0:t>
        </ns0:is>
      </ns0:c>
      <ns0:c r="AK352" s="94" t="inlineStr">
        <ns0:is>
          <ns0:t>Convencional</ns0:t>
        </ns0:is>
      </ns0:c>
      <ns0:c r="AL352" s="94" t="n">
        <ns0:v>3</ns0:v>
      </ns0:c>
      <ns0:c r="AM352" s="94" t="n">
        <ns0:v>4</ns0:v>
      </ns0:c>
      <ns0:c r="AN352" s="94" t="inlineStr">
        <ns0:is>
          <ns0:t>Estimada · baixa</ns0:t>
        </ns0:is>
      </ns0:c>
      <ns0:c r="AO352" s="94" t="inlineStr">
        <ns0:is>
          <ns0:t>Estimativa de implantação fornecida pela gestão; piso considerado sem confirmação geométrica.</ns0:t>
        </ns0:is>
      </ns0:c>
      <ns0:c r="AP352" s="94" t="inlineStr">
        <ns0:is>
          <ns0:t>Sim</ns0:t>
        </ns0:is>
      </ns0:c>
      <ns0:c r="AQ352" s="94" t="inlineStr">
        <ns0:is>
          <ns0:t>Olhão</ns0:t>
        </ns0:is>
      </ns0:c>
      <ns0:c r="AR352" s="94" t="inlineStr">
        <ns0:is>
          <ns0:t>BelaFormosa Price List September 2026, p. 1</ns0:t>
        </ns0:is>
      </ns0:c>
    </ns0:row>
    <ns0:row r="353" ht="72" customHeight="1">
      <ns0:c r="A353" s="94" t="inlineStr">
        <ns0:is>
          <ns0:t>BelaFormosa</ns0:t>
        </ns0:is>
      </ns0:c>
      <ns0:c r="B353" s="94" t="inlineStr">
        <ns0:is>
          <ns0:t>LB311</ns0:t>
        </ns0:is>
      </ns0:c>
      <ns0:c r="C353" s="94" t="n">
        <ns0:v>3</ns0:v>
      </ns0:c>
      <ns0:c r="D353" s="94" t="inlineStr">
        <ns0:is>
          <ns0:t>T2</ns0:t>
        </ns0:is>
      </ns0:c>
      <ns0:c r="E353" s="94"/>
      <ns0:c r="F353" s="97" t="n">
        <ns0:v>93.75</ns0:v>
      </ns0:c>
      <ns0:c r="G353" s="97" t="n">
        <ns0:v>18.25</ns0:v>
      </ns0:c>
      <ns0:c r="H353" s="97" t="n">
        <ns0:v>112.0</ns0:v>
      </ns0:c>
      <ns0:c r="I353" s="95" t="n">
        <ns0:v>760000</ns0:v>
      </ns0:c>
      <ns0:c r="J353" s="94" t="n">
        <ns0:v>2026</ns0:v>
      </ns0:c>
      <ns0:c r="K353" s="95" t="n">
        <ns0:v>8106.666666666667</ns0:v>
      </ns0:c>
      <ns0:c r="L353" s="95" t="n">
        <ns0:v>6785.714285714285</ns0:v>
      </ns0:c>
      <ns0:c r="M353" s="94" t="inlineStr">
        <ns0:is>
          <ns0:t>Ativo</ns0:t>
        </ns0:is>
      </ns0:c>
      <ns0:c r="N353" s="94" t="inlineStr">
        <ns0:is>
          <ns0:t>BelaFormosa · Price List September 2026 · p. 2</ns0:t>
        </ns0:is>
      </ns0:c>
      <ns0:c r="O353" s="94"/>
      <ns0:c r="P353" s="94" t="inlineStr">
        <ns0:is>
          <ns0:t>2026-09</ns0:t>
        </ns0:is>
      </ns0:c>
      <ns0:c r="Q353" s="94" t="inlineStr">
        <ns0:is>
          <ns0:t>Premium local</ns0:t>
        </ns0:is>
      </ns0:c>
      <ns0:c r="R353" s="94" t="inlineStr">
        <ns0:is>
          <ns0:t>Nova construção</ns0:t>
        </ns0:is>
      </ns0:c>
      <ns0:c r="S353" s="94"/>
      <ns0:c r="T353" s="94" t="inlineStr">
        <ns0:is>
          <ns0:t>Não incluído no preço; disponibilidade por confirmar</ns0:t>
        </ns0:is>
      </ns0:c>
      <ns0:c r="U353" s="94"/>
      <ns0:c r="V353" s="94"/>
      <ns0:c r="W353" s="97" t="n">
        <ns0:v>0.9</ns0:v>
      </ns0:c>
      <ns0:c r="X353" s="94" t="inlineStr">
        <ns0:is>
          <ns0:t>A · Premium local; vistas estimadas</ns0:t>
        </ns0:is>
      </ns0:c>
      <ns0:c r="Y353" s="94" t="inlineStr">
        <ns0:is>
          <ns0:t>Média</ns0:t>
        </ns0:is>
      </ns0:c>
      <ns0:c r="Z353" s="94" t="inlineStr">
        <ns0:is>
          <ns0:t>Preço pedido, não transação. Garagem/arrecadação não incluídas. Desconto de 5% mencionado na fonte não aplicado automaticamente. Tipologia de planta: E. Posição lateral/retaguarda; intervalo preliminar 3–4, sem confirmação por altura.</ns0:t>
        </ns0:is>
      </ns0:c>
      <ns0:c r="AA353" s="94" t="inlineStr">
        <ns0:is>
          <ns0:t>Confirmar vista, orientação, disponibilidade e condições atuais.</ns0:t>
        </ns0:is>
      </ns0:c>
      <ns0:c r="AB353" s="94" t="inlineStr">
        <ns0:is>
          <ns0:t>Média</ns0:t>
        </ns0:is>
      </ns0:c>
      <ns0:c r="AJ353" s="94" t="inlineStr">
        <ns0:is>
          <ns0:t>LB</ns0:t>
        </ns0:is>
      </ns0:c>
      <ns0:c r="AK353" s="94" t="inlineStr">
        <ns0:is>
          <ns0:t>Convencional</ns0:t>
        </ns0:is>
      </ns0:c>
      <ns0:c r="AL353" s="94" t="n">
        <ns0:v>3</ns0:v>
      </ns0:c>
      <ns0:c r="AM353" s="94" t="n">
        <ns0:v>4</ns0:v>
      </ns0:c>
      <ns0:c r="AN353" s="94" t="inlineStr">
        <ns0:is>
          <ns0:t>Estimada · baixa</ns0:t>
        </ns0:is>
      </ns0:c>
      <ns0:c r="AO353" s="94" t="inlineStr">
        <ns0:is>
          <ns0:t>Estimativa de implantação fornecida pela gestão; piso considerado sem confirmação geométrica.</ns0:t>
        </ns0:is>
      </ns0:c>
      <ns0:c r="AP353" s="94" t="inlineStr">
        <ns0:is>
          <ns0:t>Sim</ns0:t>
        </ns0:is>
      </ns0:c>
      <ns0:c r="AQ353" s="94" t="inlineStr">
        <ns0:is>
          <ns0:t>Olhão</ns0:t>
        </ns0:is>
      </ns0:c>
      <ns0:c r="AR353" s="94" t="inlineStr">
        <ns0:is>
          <ns0:t>BelaFormosa Price List September 2026, p. 1</ns0:t>
        </ns0:is>
      </ns0:c>
    </ns0:row>
    <ns0:row r="354" ht="72" customHeight="1">
      <ns0:c r="A354" s="94" t="inlineStr">
        <ns0:is>
          <ns0:t>BelaFormosa</ns0:t>
        </ns0:is>
      </ns0:c>
      <ns0:c r="B354" s="94" t="inlineStr">
        <ns0:is>
          <ns0:t>LB401</ns0:t>
        </ns0:is>
      </ns0:c>
      <ns0:c r="C354" s="94" t="n">
        <ns0:v>4</ns0:v>
      </ns0:c>
      <ns0:c r="D354" s="94" t="inlineStr">
        <ns0:is>
          <ns0:t>T1</ns0:t>
        </ns0:is>
      </ns0:c>
      <ns0:c r="E354" s="94"/>
      <ns0:c r="F354" s="97" t="n">
        <ns0:v>60.25</ns0:v>
      </ns0:c>
      <ns0:c r="G354" s="97" t="n">
        <ns0:v>70.5</ns0:v>
      </ns0:c>
      <ns0:c r="H354" s="97" t="n">
        <ns0:v>130.75</ns0:v>
      </ns0:c>
      <ns0:c r="I354" s="95" t="n">
        <ns0:v>515000</ns0:v>
      </ns0:c>
      <ns0:c r="J354" s="94" t="n">
        <ns0:v>2026</ns0:v>
      </ns0:c>
      <ns0:c r="K354" s="95" t="n">
        <ns0:v>8547.717842323651</ns0:v>
      </ns0:c>
      <ns0:c r="L354" s="95" t="n">
        <ns0:v>3938.8145315487573</ns0:v>
      </ns0:c>
      <ns0:c r="M354" s="94" t="inlineStr">
        <ns0:is>
          <ns0:t>Reservado</ns0:t>
        </ns0:is>
      </ns0:c>
      <ns0:c r="N354" s="94" t="inlineStr">
        <ns0:is>
          <ns0:t>BelaFormosa · Price List September 2026 · p. 2</ns0:t>
        </ns0:is>
      </ns0:c>
      <ns0:c r="O354" s="94"/>
      <ns0:c r="P354" s="94" t="inlineStr">
        <ns0:is>
          <ns0:t>2026-09</ns0:t>
        </ns0:is>
      </ns0:c>
      <ns0:c r="Q354" s="94" t="inlineStr">
        <ns0:is>
          <ns0:t>Premium local</ns0:t>
        </ns0:is>
      </ns0:c>
      <ns0:c r="R354" s="94" t="inlineStr">
        <ns0:is>
          <ns0:t>Nova construção</ns0:t>
        </ns0:is>
      </ns0:c>
      <ns0:c r="S354" s="94"/>
      <ns0:c r="T354" s="94" t="inlineStr">
        <ns0:is>
          <ns0:t>Não incluído no preço; disponibilidade por confirmar</ns0:t>
        </ns0:is>
      </ns0:c>
      <ns0:c r="U354" s="94"/>
      <ns0:c r="V354" s="94"/>
      <ns0:c r="W354" s="97" t="n">
        <ns0:v>0.9</ns0:v>
      </ns0:c>
      <ns0:c r="X354" s="94" t="inlineStr">
        <ns0:is>
          <ns0:t>A · Premium local; vistas estimadas</ns0:t>
        </ns0:is>
      </ns0:c>
      <ns0:c r="Y354" s="94" t="inlineStr">
        <ns0:is>
          <ns0:t>Média</ns0:t>
        </ns0:is>
      </ns0:c>
      <ns0:c r="Z354" s="94" t="inlineStr">
        <ns0:is>
          <ns0:t>Preço pedido, não transação. Garagem/arrecadação não incluídas. Desconto de 5% mencionado na fonte não aplicado automaticamente. Tipologia de planta: B. Posição lateral/retaguarda; intervalo preliminar 3–4, sem confirmação por altura. Reservado, não vendido. Preço extraído mantido por autorização da gestão; não constitui oferta ativa.</ns0:t>
        </ns0:is>
      </ns0:c>
      <ns0:c r="AA354" s="94" t="inlineStr">
        <ns0:is>
          <ns0:t>Confirmar vista, orientação, disponibilidade e condições atuais.</ns0:t>
        </ns0:is>
      </ns0:c>
      <ns0:c r="AB354" s="94" t="inlineStr">
        <ns0:is>
          <ns0:t>Alta</ns0:t>
        </ns0:is>
      </ns0:c>
      <ns0:c r="AJ354" s="94" t="inlineStr">
        <ns0:is>
          <ns0:t>LB</ns0:t>
        </ns0:is>
      </ns0:c>
      <ns0:c r="AK354" s="94" t="inlineStr">
        <ns0:is>
          <ns0:t>Convencional</ns0:t>
        </ns0:is>
      </ns0:c>
      <ns0:c r="AL354" s="94" t="n">
        <ns0:v>3</ns0:v>
      </ns0:c>
      <ns0:c r="AM354" s="94" t="n">
        <ns0:v>4</ns0:v>
      </ns0:c>
      <ns0:c r="AN354" s="94" t="inlineStr">
        <ns0:is>
          <ns0:t>Estimada · média</ns0:t>
        </ns0:is>
      </ns0:c>
      <ns0:c r="AO354" s="94" t="inlineStr">
        <ns0:is>
          <ns0:t>Estimativa de implantação fornecida pela gestão; piso considerado sem confirmação geométrica.</ns0:t>
        </ns0:is>
      </ns0:c>
      <ns0:c r="AP354" s="94" t="inlineStr">
        <ns0:is>
          <ns0:t>Não · reservado</ns0:t>
        </ns0:is>
      </ns0:c>
      <ns0:c r="AQ354" s="94" t="inlineStr">
        <ns0:is>
          <ns0:t>Olhão</ns0:t>
        </ns0:is>
      </ns0:c>
      <ns0:c r="AR354" s="94" t="inlineStr">
        <ns0:is>
          <ns0:t>BelaFormosa Price List September 2026, p. 1</ns0:t>
        </ns0:is>
      </ns0:c>
    </ns0:row>
    <ns0:row r="355" ht="72" customHeight="1">
      <ns0:c r="A355" s="94" t="inlineStr">
        <ns0:is>
          <ns0:t>BelaFormosa</ns0:t>
        </ns0:is>
      </ns0:c>
      <ns0:c r="B355" s="94" t="inlineStr">
        <ns0:is>
          <ns0:t>LB402</ns0:t>
        </ns0:is>
      </ns0:c>
      <ns0:c r="C355" s="94" t="n">
        <ns0:v>4</ns0:v>
      </ns0:c>
      <ns0:c r="D355" s="94" t="inlineStr">
        <ns0:is>
          <ns0:t>T2</ns0:t>
        </ns0:is>
      </ns0:c>
      <ns0:c r="E355" s="94"/>
      <ns0:c r="F355" s="97" t="n">
        <ns0:v>89.25</ns0:v>
      </ns0:c>
      <ns0:c r="G355" s="97" t="n">
        <ns0:v>18.0</ns0:v>
      </ns0:c>
      <ns0:c r="H355" s="97" t="n">
        <ns0:v>107.25</ns0:v>
      </ns0:c>
      <ns0:c r="I355" s="95" t="n">
        <ns0:v>790000</ns0:v>
      </ns0:c>
      <ns0:c r="J355" s="94" t="n">
        <ns0:v>2026</ns0:v>
      </ns0:c>
      <ns0:c r="K355" s="95" t="n">
        <ns0:v>8851.540616246499</ns0:v>
      </ns0:c>
      <ns0:c r="L355" s="95" t="n">
        <ns0:v>7365.967365967366</ns0:v>
      </ns0:c>
      <ns0:c r="M355" s="94" t="inlineStr">
        <ns0:is>
          <ns0:t>Ativo</ns0:t>
        </ns0:is>
      </ns0:c>
      <ns0:c r="N355" s="94" t="inlineStr">
        <ns0:is>
          <ns0:t>BelaFormosa · Price List September 2026 · p. 2</ns0:t>
        </ns0:is>
      </ns0:c>
      <ns0:c r="O355" s="94"/>
      <ns0:c r="P355" s="94" t="inlineStr">
        <ns0:is>
          <ns0:t>2026-09</ns0:t>
        </ns0:is>
      </ns0:c>
      <ns0:c r="Q355" s="94" t="inlineStr">
        <ns0:is>
          <ns0:t>Premium local</ns0:t>
        </ns0:is>
      </ns0:c>
      <ns0:c r="R355" s="94" t="inlineStr">
        <ns0:is>
          <ns0:t>Nova construção</ns0:t>
        </ns0:is>
      </ns0:c>
      <ns0:c r="S355" s="94"/>
      <ns0:c r="T355" s="94" t="inlineStr">
        <ns0:is>
          <ns0:t>Não incluído no preço; disponibilidade por confirmar</ns0:t>
        </ns0:is>
      </ns0:c>
      <ns0:c r="U355" s="94"/>
      <ns0:c r="V355" s="94"/>
      <ns0:c r="W355" s="97" t="n">
        <ns0:v>0.9</ns0:v>
      </ns0:c>
      <ns0:c r="X355" s="94" t="inlineStr">
        <ns0:is>
          <ns0:t>A · Premium local; vistas estimadas</ns0:t>
        </ns0:is>
      </ns0:c>
      <ns0:c r="Y355" s="94" t="inlineStr">
        <ns0:is>
          <ns0:t>Média</ns0:t>
        </ns0:is>
      </ns0:c>
      <ns0:c r="Z355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55" s="94" t="inlineStr">
        <ns0:is>
          <ns0:t>Confirmar vista, orientação, disponibilidade e condições atuais.</ns0:t>
        </ns0:is>
      </ns0:c>
      <ns0:c r="AB355" s="94" t="inlineStr">
        <ns0:is>
          <ns0:t>Média</ns0:t>
        </ns0:is>
      </ns0:c>
      <ns0:c r="AJ355" s="94" t="inlineStr">
        <ns0:is>
          <ns0:t>LB</ns0:t>
        </ns0:is>
      </ns0:c>
      <ns0:c r="AK355" s="94" t="inlineStr">
        <ns0:is>
          <ns0:t>Convencional</ns0:t>
        </ns0:is>
      </ns0:c>
      <ns0:c r="AL355" s="94" t="n">
        <ns0:v>3</ns0:v>
      </ns0:c>
      <ns0:c r="AM355" s="94" t="n">
        <ns0:v>4</ns0:v>
      </ns0:c>
      <ns0:c r="AN355" s="94" t="inlineStr">
        <ns0:is>
          <ns0:t>Estimada · média</ns0:t>
        </ns0:is>
      </ns0:c>
      <ns0:c r="AO355" s="94" t="inlineStr">
        <ns0:is>
          <ns0:t>Estimativa de implantação fornecida pela gestão; piso considerado sem confirmação geométrica.</ns0:t>
        </ns0:is>
      </ns0:c>
      <ns0:c r="AP355" s="94" t="inlineStr">
        <ns0:is>
          <ns0:t>Sim</ns0:t>
        </ns0:is>
      </ns0:c>
      <ns0:c r="AQ355" s="94" t="inlineStr">
        <ns0:is>
          <ns0:t>Olhão</ns0:t>
        </ns0:is>
      </ns0:c>
      <ns0:c r="AR355" s="94" t="inlineStr">
        <ns0:is>
          <ns0:t>BelaFormosa Price List September 2026, p. 1</ns0:t>
        </ns0:is>
      </ns0:c>
    </ns0:row>
    <ns0:row r="356" ht="72" customHeight="1">
      <ns0:c r="A356" s="94" t="inlineStr">
        <ns0:is>
          <ns0:t>BelaFormosa</ns0:t>
        </ns0:is>
      </ns0:c>
      <ns0:c r="B356" s="94" t="inlineStr">
        <ns0:is>
          <ns0:t>LB403</ns0:t>
        </ns0:is>
      </ns0:c>
      <ns0:c r="C356" s="94" t="n">
        <ns0:v>4</ns0:v>
      </ns0:c>
      <ns0:c r="D356" s="94" t="inlineStr">
        <ns0:is>
          <ns0:t>T1</ns0:t>
        </ns0:is>
      </ns0:c>
      <ns0:c r="E356" s="94"/>
      <ns0:c r="F356" s="97" t="n">
        <ns0:v>60.25</ns0:v>
      </ns0:c>
      <ns0:c r="G356" s="97" t="n">
        <ns0:v>12.0</ns0:v>
      </ns0:c>
      <ns0:c r="H356" s="97" t="n">
        <ns0:v>72.25</ns0:v>
      </ns0:c>
      <ns0:c r="I356" s="95" t="n">
        <ns0:v>515000</ns0:v>
      </ns0:c>
      <ns0:c r="J356" s="94" t="n">
        <ns0:v>2026</ns0:v>
      </ns0:c>
      <ns0:c r="K356" s="95" t="n">
        <ns0:v>8547.717842323651</ns0:v>
      </ns0:c>
      <ns0:c r="L356" s="95" t="n">
        <ns0:v>7128.027681660899</ns0:v>
      </ns0:c>
      <ns0:c r="M356" s="94" t="inlineStr">
        <ns0:is>
          <ns0:t>Ativo</ns0:t>
        </ns0:is>
      </ns0:c>
      <ns0:c r="N356" s="94" t="inlineStr">
        <ns0:is>
          <ns0:t>BelaFormosa · Price List September 2026 · p. 2</ns0:t>
        </ns0:is>
      </ns0:c>
      <ns0:c r="O356" s="94"/>
      <ns0:c r="P356" s="94" t="inlineStr">
        <ns0:is>
          <ns0:t>2026-09</ns0:t>
        </ns0:is>
      </ns0:c>
      <ns0:c r="Q356" s="94" t="inlineStr">
        <ns0:is>
          <ns0:t>Premium local</ns0:t>
        </ns0:is>
      </ns0:c>
      <ns0:c r="R356" s="94" t="inlineStr">
        <ns0:is>
          <ns0:t>Nova construção</ns0:t>
        </ns0:is>
      </ns0:c>
      <ns0:c r="S356" s="94"/>
      <ns0:c r="T356" s="94" t="inlineStr">
        <ns0:is>
          <ns0:t>Não incluído no preço; disponibilidade por confirmar</ns0:t>
        </ns0:is>
      </ns0:c>
      <ns0:c r="U356" s="94"/>
      <ns0:c r="V356" s="94"/>
      <ns0:c r="W356" s="97" t="n">
        <ns0:v>0.9</ns0:v>
      </ns0:c>
      <ns0:c r="X356" s="94" t="inlineStr">
        <ns0:is>
          <ns0:t>A · Premium local; vistas estimadas</ns0:t>
        </ns0:is>
      </ns0:c>
      <ns0:c r="Y356" s="94" t="inlineStr">
        <ns0:is>
          <ns0:t>Média</ns0:t>
        </ns0:is>
      </ns0:c>
      <ns0:c r="Z356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356" s="94" t="inlineStr">
        <ns0:is>
          <ns0:t>Confirmar vista, orientação, disponibilidade e condições atuais.</ns0:t>
        </ns0:is>
      </ns0:c>
      <ns0:c r="AB356" s="94" t="inlineStr">
        <ns0:is>
          <ns0:t>Média</ns0:t>
        </ns0:is>
      </ns0:c>
      <ns0:c r="AJ356" s="94" t="inlineStr">
        <ns0:is>
          <ns0:t>LB</ns0:t>
        </ns0:is>
      </ns0:c>
      <ns0:c r="AK356" s="94" t="inlineStr">
        <ns0:is>
          <ns0:t>Convencional</ns0:t>
        </ns0:is>
      </ns0:c>
      <ns0:c r="AL356" s="94" t="n">
        <ns0:v>3</ns0:v>
      </ns0:c>
      <ns0:c r="AM356" s="94" t="n">
        <ns0:v>4</ns0:v>
      </ns0:c>
      <ns0:c r="AN356" s="94" t="inlineStr">
        <ns0:is>
          <ns0:t>Estimada · média</ns0:t>
        </ns0:is>
      </ns0:c>
      <ns0:c r="AO356" s="94" t="inlineStr">
        <ns0:is>
          <ns0:t>Estimativa de implantação fornecida pela gestão; piso considerado sem confirmação geométrica.</ns0:t>
        </ns0:is>
      </ns0:c>
      <ns0:c r="AP356" s="94" t="inlineStr">
        <ns0:is>
          <ns0:t>Sim</ns0:t>
        </ns0:is>
      </ns0:c>
      <ns0:c r="AQ356" s="94" t="inlineStr">
        <ns0:is>
          <ns0:t>Olhão</ns0:t>
        </ns0:is>
      </ns0:c>
      <ns0:c r="AR356" s="94" t="inlineStr">
        <ns0:is>
          <ns0:t>BelaFormosa Price List September 2026, p. 1</ns0:t>
        </ns0:is>
      </ns0:c>
    </ns0:row>
    <ns0:row r="357" ht="72" customHeight="1">
      <ns0:c r="A357" s="94" t="inlineStr">
        <ns0:is>
          <ns0:t>BelaFormosa</ns0:t>
        </ns0:is>
      </ns0:c>
      <ns0:c r="B357" s="94" t="inlineStr">
        <ns0:is>
          <ns0:t>LB404</ns0:t>
        </ns0:is>
      </ns0:c>
      <ns0:c r="C357" s="94" t="n">
        <ns0:v>4</ns0:v>
      </ns0:c>
      <ns0:c r="D357" s="94" t="inlineStr">
        <ns0:is>
          <ns0:t>T1</ns0:t>
        </ns0:is>
      </ns0:c>
      <ns0:c r="E357" s="94"/>
      <ns0:c r="F357" s="97" t="n">
        <ns0:v>60.25</ns0:v>
      </ns0:c>
      <ns0:c r="G357" s="97" t="n">
        <ns0:v>12.0</ns0:v>
      </ns0:c>
      <ns0:c r="H357" s="97" t="n">
        <ns0:v>72.25</ns0:v>
      </ns0:c>
      <ns0:c r="I357" s="95" t="n">
        <ns0:v>515000</ns0:v>
      </ns0:c>
      <ns0:c r="J357" s="94" t="n">
        <ns0:v>2026</ns0:v>
      </ns0:c>
      <ns0:c r="K357" s="95" t="n">
        <ns0:v>8547.717842323651</ns0:v>
      </ns0:c>
      <ns0:c r="L357" s="95" t="n">
        <ns0:v>7128.027681660899</ns0:v>
      </ns0:c>
      <ns0:c r="M357" s="94" t="inlineStr">
        <ns0:is>
          <ns0:t>Ativo</ns0:t>
        </ns0:is>
      </ns0:c>
      <ns0:c r="N357" s="94" t="inlineStr">
        <ns0:is>
          <ns0:t>BelaFormosa · Price List September 2026 · p. 2</ns0:t>
        </ns0:is>
      </ns0:c>
      <ns0:c r="O357" s="94"/>
      <ns0:c r="P357" s="94" t="inlineStr">
        <ns0:is>
          <ns0:t>2026-09</ns0:t>
        </ns0:is>
      </ns0:c>
      <ns0:c r="Q357" s="94" t="inlineStr">
        <ns0:is>
          <ns0:t>Premium local</ns0:t>
        </ns0:is>
      </ns0:c>
      <ns0:c r="R357" s="94" t="inlineStr">
        <ns0:is>
          <ns0:t>Nova construção</ns0:t>
        </ns0:is>
      </ns0:c>
      <ns0:c r="S357" s="94"/>
      <ns0:c r="T357" s="94" t="inlineStr">
        <ns0:is>
          <ns0:t>Não incluído no preço; disponibilidade por confirmar</ns0:t>
        </ns0:is>
      </ns0:c>
      <ns0:c r="U357" s="94"/>
      <ns0:c r="V357" s="94"/>
      <ns0:c r="W357" s="97" t="n">
        <ns0:v>0.9</ns0:v>
      </ns0:c>
      <ns0:c r="X357" s="94" t="inlineStr">
        <ns0:is>
          <ns0:t>A · Premium local; vistas estimadas</ns0:t>
        </ns0:is>
      </ns0:c>
      <ns0:c r="Y357" s="94" t="inlineStr">
        <ns0:is>
          <ns0:t>Média</ns0:t>
        </ns0:is>
      </ns0:c>
      <ns0:c r="Z357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357" s="94" t="inlineStr">
        <ns0:is>
          <ns0:t>Confirmar vista, orientação, disponibilidade e condições atuais.</ns0:t>
        </ns0:is>
      </ns0:c>
      <ns0:c r="AB357" s="94" t="inlineStr">
        <ns0:is>
          <ns0:t>Média</ns0:t>
        </ns0:is>
      </ns0:c>
      <ns0:c r="AJ357" s="94" t="inlineStr">
        <ns0:is>
          <ns0:t>LB</ns0:t>
        </ns0:is>
      </ns0:c>
      <ns0:c r="AK357" s="94" t="inlineStr">
        <ns0:is>
          <ns0:t>Convencional</ns0:t>
        </ns0:is>
      </ns0:c>
      <ns0:c r="AL357" s="94" t="n">
        <ns0:v>3</ns0:v>
      </ns0:c>
      <ns0:c r="AM357" s="94" t="n">
        <ns0:v>4</ns0:v>
      </ns0:c>
      <ns0:c r="AN357" s="94" t="inlineStr">
        <ns0:is>
          <ns0:t>Estimada · média</ns0:t>
        </ns0:is>
      </ns0:c>
      <ns0:c r="AO357" s="94" t="inlineStr">
        <ns0:is>
          <ns0:t>Estimativa de implantação fornecida pela gestão; piso considerado sem confirmação geométrica.</ns0:t>
        </ns0:is>
      </ns0:c>
      <ns0:c r="AP357" s="94" t="inlineStr">
        <ns0:is>
          <ns0:t>Sim</ns0:t>
        </ns0:is>
      </ns0:c>
      <ns0:c r="AQ357" s="94" t="inlineStr">
        <ns0:is>
          <ns0:t>Olhão</ns0:t>
        </ns0:is>
      </ns0:c>
      <ns0:c r="AR357" s="94" t="inlineStr">
        <ns0:is>
          <ns0:t>BelaFormosa Price List September 2026, p. 1</ns0:t>
        </ns0:is>
      </ns0:c>
    </ns0:row>
    <ns0:row r="358" ht="72" customHeight="1">
      <ns0:c r="A358" s="94" t="inlineStr">
        <ns0:is>
          <ns0:t>BelaFormosa</ns0:t>
        </ns0:is>
      </ns0:c>
      <ns0:c r="B358" s="94" t="inlineStr">
        <ns0:is>
          <ns0:t>LB405</ns0:t>
        </ns0:is>
      </ns0:c>
      <ns0:c r="C358" s="94" t="n">
        <ns0:v>4</ns0:v>
      </ns0:c>
      <ns0:c r="D358" s="94" t="inlineStr">
        <ns0:is>
          <ns0:t>T2</ns0:t>
        </ns0:is>
      </ns0:c>
      <ns0:c r="E358" s="94"/>
      <ns0:c r="F358" s="97" t="n">
        <ns0:v>89.25</ns0:v>
      </ns0:c>
      <ns0:c r="G358" s="97" t="n">
        <ns0:v>17.5</ns0:v>
      </ns0:c>
      <ns0:c r="H358" s="97" t="n">
        <ns0:v>106.75</ns0:v>
      </ns0:c>
      <ns0:c r="I358" s="95" t="n">
        <ns0:v>810000</ns0:v>
      </ns0:c>
      <ns0:c r="J358" s="94" t="n">
        <ns0:v>2026</ns0:v>
      </ns0:c>
      <ns0:c r="K358" s="95" t="n">
        <ns0:v>9075.63025210084</ns0:v>
      </ns0:c>
      <ns0:c r="L358" s="95" t="n">
        <ns0:v>7587.822014051522</ns0:v>
      </ns0:c>
      <ns0:c r="M358" s="94" t="inlineStr">
        <ns0:is>
          <ns0:t>Ativo</ns0:t>
        </ns0:is>
      </ns0:c>
      <ns0:c r="N358" s="94" t="inlineStr">
        <ns0:is>
          <ns0:t>BelaFormosa · Price List September 2026 · p. 2</ns0:t>
        </ns0:is>
      </ns0:c>
      <ns0:c r="O358" s="94"/>
      <ns0:c r="P358" s="94" t="inlineStr">
        <ns0:is>
          <ns0:t>2026-09</ns0:t>
        </ns0:is>
      </ns0:c>
      <ns0:c r="Q358" s="94" t="inlineStr">
        <ns0:is>
          <ns0:t>Premium local</ns0:t>
        </ns0:is>
      </ns0:c>
      <ns0:c r="R358" s="94" t="inlineStr">
        <ns0:is>
          <ns0:t>Nova construção</ns0:t>
        </ns0:is>
      </ns0:c>
      <ns0:c r="S358" s="94"/>
      <ns0:c r="T358" s="94" t="inlineStr">
        <ns0:is>
          <ns0:t>Não incluído no preço; disponibilidade por confirmar</ns0:t>
        </ns0:is>
      </ns0:c>
      <ns0:c r="U358" s="94"/>
      <ns0:c r="V358" s="94"/>
      <ns0:c r="W358" s="97" t="n">
        <ns0:v>0.9</ns0:v>
      </ns0:c>
      <ns0:c r="X358" s="94" t="inlineStr">
        <ns0:is>
          <ns0:t>A · Premium local; vistas estimadas</ns0:t>
        </ns0:is>
      </ns0:c>
      <ns0:c r="Y358" s="94" t="inlineStr">
        <ns0:is>
          <ns0:t>Média</ns0:t>
        </ns0:is>
      </ns0:c>
      <ns0:c r="Z358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58" s="94" t="inlineStr">
        <ns0:is>
          <ns0:t>Confirmar vista, orientação, disponibilidade e condições atuais.</ns0:t>
        </ns0:is>
      </ns0:c>
      <ns0:c r="AB358" s="94" t="inlineStr">
        <ns0:is>
          <ns0:t>Média</ns0:t>
        </ns0:is>
      </ns0:c>
      <ns0:c r="AJ358" s="94" t="inlineStr">
        <ns0:is>
          <ns0:t>LB</ns0:t>
        </ns0:is>
      </ns0:c>
      <ns0:c r="AK358" s="94" t="inlineStr">
        <ns0:is>
          <ns0:t>Convencional</ns0:t>
        </ns0:is>
      </ns0:c>
      <ns0:c r="AL358" s="94" t="n">
        <ns0:v>3</ns0:v>
      </ns0:c>
      <ns0:c r="AM358" s="94" t="n">
        <ns0:v>4</ns0:v>
      </ns0:c>
      <ns0:c r="AN358" s="94" t="inlineStr">
        <ns0:is>
          <ns0:t>Estimada · média</ns0:t>
        </ns0:is>
      </ns0:c>
      <ns0:c r="AO358" s="94" t="inlineStr">
        <ns0:is>
          <ns0:t>Estimativa de implantação fornecida pela gestão; piso considerado sem confirmação geométrica.</ns0:t>
        </ns0:is>
      </ns0:c>
      <ns0:c r="AP358" s="94" t="inlineStr">
        <ns0:is>
          <ns0:t>Sim</ns0:t>
        </ns0:is>
      </ns0:c>
      <ns0:c r="AQ358" s="94" t="inlineStr">
        <ns0:is>
          <ns0:t>Olhão</ns0:t>
        </ns0:is>
      </ns0:c>
      <ns0:c r="AR358" s="94" t="inlineStr">
        <ns0:is>
          <ns0:t>BelaFormosa Price List September 2026, p. 1</ns0:t>
        </ns0:is>
      </ns0:c>
    </ns0:row>
    <ns0:row r="359" ht="72" customHeight="1">
      <ns0:c r="A359" s="94" t="inlineStr">
        <ns0:is>
          <ns0:t>BelaFormosa</ns0:t>
        </ns0:is>
      </ns0:c>
      <ns0:c r="B359" s="94" t="inlineStr">
        <ns0:is>
          <ns0:t>LB406</ns0:t>
        </ns0:is>
      </ns0:c>
      <ns0:c r="C359" s="94" t="n">
        <ns0:v>4</ns0:v>
      </ns0:c>
      <ns0:c r="D359" s="94" t="inlineStr">
        <ns0:is>
          <ns0:t>T2</ns0:t>
        </ns0:is>
      </ns0:c>
      <ns0:c r="E359" s="94"/>
      <ns0:c r="F359" s="97" t="n">
        <ns0:v>89.25</ns0:v>
      </ns0:c>
      <ns0:c r="G359" s="97" t="n">
        <ns0:v>17.5</ns0:v>
      </ns0:c>
      <ns0:c r="H359" s="97" t="n">
        <ns0:v>106.75</ns0:v>
      </ns0:c>
      <ns0:c r="I359" s="95" t="n">
        <ns0:v>870000</ns0:v>
      </ns0:c>
      <ns0:c r="J359" s="94" t="n">
        <ns0:v>2026</ns0:v>
      </ns0:c>
      <ns0:c r="K359" s="95" t="n">
        <ns0:v>9747.899159663866</ns0:v>
      </ns0:c>
      <ns0:c r="L359" s="95" t="n">
        <ns0:v>8149.8829039812645</ns0:v>
      </ns0:c>
      <ns0:c r="M359" s="94" t="inlineStr">
        <ns0:is>
          <ns0:t>Ativo</ns0:t>
        </ns0:is>
      </ns0:c>
      <ns0:c r="N359" s="94" t="inlineStr">
        <ns0:is>
          <ns0:t>BelaFormosa · Price List September 2026 · p. 2</ns0:t>
        </ns0:is>
      </ns0:c>
      <ns0:c r="O359" s="94"/>
      <ns0:c r="P359" s="94" t="inlineStr">
        <ns0:is>
          <ns0:t>2026-09</ns0:t>
        </ns0:is>
      </ns0:c>
      <ns0:c r="Q359" s="94" t="inlineStr">
        <ns0:is>
          <ns0:t>Premium local</ns0:t>
        </ns0:is>
      </ns0:c>
      <ns0:c r="R359" s="94" t="inlineStr">
        <ns0:is>
          <ns0:t>Nova construção</ns0:t>
        </ns0:is>
      </ns0:c>
      <ns0:c r="S359" s="94"/>
      <ns0:c r="T359" s="94" t="inlineStr">
        <ns0:is>
          <ns0:t>Não incluído no preço; disponibilidade por confirmar</ns0:t>
        </ns0:is>
      </ns0:c>
      <ns0:c r="U359" s="94"/>
      <ns0:c r="V359" s="94"/>
      <ns0:c r="W359" s="97" t="n">
        <ns0:v>0.9</ns0:v>
      </ns0:c>
      <ns0:c r="X359" s="94" t="inlineStr">
        <ns0:is>
          <ns0:t>A · Premium local; vistas estimadas</ns0:t>
        </ns0:is>
      </ns0:c>
      <ns0:c r="Y359" s="94" t="inlineStr">
        <ns0:is>
          <ns0:t>Média</ns0:t>
        </ns0:is>
      </ns0:c>
      <ns0:c r="Z359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59" s="94" t="inlineStr">
        <ns0:is>
          <ns0:t>Confirmar vista, orientação, disponibilidade e condições atuais.</ns0:t>
        </ns0:is>
      </ns0:c>
      <ns0:c r="AB359" s="94" t="inlineStr">
        <ns0:is>
          <ns0:t>Média</ns0:t>
        </ns0:is>
      </ns0:c>
      <ns0:c r="AJ359" s="94" t="inlineStr">
        <ns0:is>
          <ns0:t>LB</ns0:t>
        </ns0:is>
      </ns0:c>
      <ns0:c r="AK359" s="94" t="inlineStr">
        <ns0:is>
          <ns0:t>Convencional</ns0:t>
        </ns0:is>
      </ns0:c>
      <ns0:c r="AL359" s="94" t="n">
        <ns0:v>2</ns0:v>
      </ns0:c>
      <ns0:c r="AM359" s="94" t="n">
        <ns0:v>3</ns0:v>
      </ns0:c>
      <ns0:c r="AN359" s="94" t="inlineStr">
        <ns0:is>
          <ns0:t>Estimada · média</ns0:t>
        </ns0:is>
      </ns0:c>
      <ns0:c r="AO359" s="94" t="inlineStr">
        <ns0:is>
          <ns0:t>Estimativa de implantação fornecida pela gestão; piso considerado sem confirmação geométrica.</ns0:t>
        </ns0:is>
      </ns0:c>
      <ns0:c r="AP359" s="94" t="inlineStr">
        <ns0:is>
          <ns0:t>Sim</ns0:t>
        </ns0:is>
      </ns0:c>
      <ns0:c r="AQ359" s="94" t="inlineStr">
        <ns0:is>
          <ns0:t>Olhão</ns0:t>
        </ns0:is>
      </ns0:c>
      <ns0:c r="AR359" s="94" t="inlineStr">
        <ns0:is>
          <ns0:t>BelaFormosa Price List September 2026, p. 1</ns0:t>
        </ns0:is>
      </ns0:c>
    </ns0:row>
    <ns0:row r="360" ht="72" customHeight="1">
      <ns0:c r="A360" s="94" t="inlineStr">
        <ns0:is>
          <ns0:t>BelaFormosa</ns0:t>
        </ns0:is>
      </ns0:c>
      <ns0:c r="B360" s="94" t="inlineStr">
        <ns0:is>
          <ns0:t>LB407</ns0:t>
        </ns0:is>
      </ns0:c>
      <ns0:c r="C360" s="94" t="n">
        <ns0:v>4</ns0:v>
      </ns0:c>
      <ns0:c r="D360" s="94" t="inlineStr">
        <ns0:is>
          <ns0:t>T1</ns0:t>
        </ns0:is>
      </ns0:c>
      <ns0:c r="E360" s="94"/>
      <ns0:c r="F360" s="97" t="n">
        <ns0:v>60.25</ns0:v>
      </ns0:c>
      <ns0:c r="G360" s="97" t="n">
        <ns0:v>12.0</ns0:v>
      </ns0:c>
      <ns0:c r="H360" s="97" t="n">
        <ns0:v>72.25</ns0:v>
      </ns0:c>
      <ns0:c r="I360" s="95" t="n">
        <ns0:v>540000</ns0:v>
      </ns0:c>
      <ns0:c r="J360" s="94" t="n">
        <ns0:v>2026</ns0:v>
      </ns0:c>
      <ns0:c r="K360" s="95" t="n">
        <ns0:v>8962.655601659751</ns0:v>
      </ns0:c>
      <ns0:c r="L360" s="95" t="n">
        <ns0:v>7474.048442906575</ns0:v>
      </ns0:c>
      <ns0:c r="M360" s="94" t="inlineStr">
        <ns0:is>
          <ns0:t>Ativo</ns0:t>
        </ns0:is>
      </ns0:c>
      <ns0:c r="N360" s="94" t="inlineStr">
        <ns0:is>
          <ns0:t>BelaFormosa · Price List September 2026 · p. 2</ns0:t>
        </ns0:is>
      </ns0:c>
      <ns0:c r="O360" s="94"/>
      <ns0:c r="P360" s="94" t="inlineStr">
        <ns0:is>
          <ns0:t>2026-09</ns0:t>
        </ns0:is>
      </ns0:c>
      <ns0:c r="Q360" s="94" t="inlineStr">
        <ns0:is>
          <ns0:t>Premium local</ns0:t>
        </ns0:is>
      </ns0:c>
      <ns0:c r="R360" s="94" t="inlineStr">
        <ns0:is>
          <ns0:t>Nova construção</ns0:t>
        </ns0:is>
      </ns0:c>
      <ns0:c r="S360" s="94"/>
      <ns0:c r="T360" s="94" t="inlineStr">
        <ns0:is>
          <ns0:t>Não incluído no preço; disponibilidade por confirmar</ns0:t>
        </ns0:is>
      </ns0:c>
      <ns0:c r="U360" s="94"/>
      <ns0:c r="V360" s="94"/>
      <ns0:c r="W360" s="97" t="n">
        <ns0:v>0.9</ns0:v>
      </ns0:c>
      <ns0:c r="X360" s="94" t="inlineStr">
        <ns0:is>
          <ns0:t>A · Premium local; vistas estimadas</ns0:t>
        </ns0:is>
      </ns0:c>
      <ns0:c r="Y360" s="94" t="inlineStr">
        <ns0:is>
          <ns0:t>Média</ns0:t>
        </ns0:is>
      </ns0:c>
      <ns0:c r="Z360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</ns0:t>
        </ns0:is>
      </ns0:c>
      <ns0:c r="AA360" s="94" t="inlineStr">
        <ns0:is>
          <ns0:t>Confirmar vista, orientação, disponibilidade e condições atuais.</ns0:t>
        </ns0:is>
      </ns0:c>
      <ns0:c r="AB360" s="94" t="inlineStr">
        <ns0:is>
          <ns0:t>Média</ns0:t>
        </ns0:is>
      </ns0:c>
      <ns0:c r="AJ360" s="94" t="inlineStr">
        <ns0:is>
          <ns0:t>LB</ns0:t>
        </ns0:is>
      </ns0:c>
      <ns0:c r="AK360" s="94" t="inlineStr">
        <ns0:is>
          <ns0:t>Convencional</ns0:t>
        </ns0:is>
      </ns0:c>
      <ns0:c r="AL360" s="94" t="n">
        <ns0:v>2</ns0:v>
      </ns0:c>
      <ns0:c r="AM360" s="94" t="n">
        <ns0:v>3</ns0:v>
      </ns0:c>
      <ns0:c r="AN360" s="94" t="inlineStr">
        <ns0:is>
          <ns0:t>Estimada · média</ns0:t>
        </ns0:is>
      </ns0:c>
      <ns0:c r="AO360" s="94" t="inlineStr">
        <ns0:is>
          <ns0:t>Estimativa de implantação fornecida pela gestão; piso considerado sem confirmação geométrica.</ns0:t>
        </ns0:is>
      </ns0:c>
      <ns0:c r="AP360" s="94" t="inlineStr">
        <ns0:is>
          <ns0:t>Sim</ns0:t>
        </ns0:is>
      </ns0:c>
      <ns0:c r="AQ360" s="94" t="inlineStr">
        <ns0:is>
          <ns0:t>Olhão</ns0:t>
        </ns0:is>
      </ns0:c>
      <ns0:c r="AR360" s="94" t="inlineStr">
        <ns0:is>
          <ns0:t>BelaFormosa Price List September 2026, p. 1</ns0:t>
        </ns0:is>
      </ns0:c>
    </ns0:row>
    <ns0:row r="361" ht="72" customHeight="1">
      <ns0:c r="A361" s="94" t="inlineStr">
        <ns0:is>
          <ns0:t>BelaFormosa</ns0:t>
        </ns0:is>
      </ns0:c>
      <ns0:c r="B361" s="94" t="inlineStr">
        <ns0:is>
          <ns0:t>LB408</ns0:t>
        </ns0:is>
      </ns0:c>
      <ns0:c r="C361" s="94" t="n">
        <ns0:v>4</ns0:v>
      </ns0:c>
      <ns0:c r="D361" s="94" t="inlineStr">
        <ns0:is>
          <ns0:t>T1</ns0:t>
        </ns0:is>
      </ns0:c>
      <ns0:c r="E361" s="94"/>
      <ns0:c r="F361" s="97" t="n">
        <ns0:v>60.25</ns0:v>
      </ns0:c>
      <ns0:c r="G361" s="97" t="n">
        <ns0:v>12.0</ns0:v>
      </ns0:c>
      <ns0:c r="H361" s="97" t="n">
        <ns0:v>72.25</ns0:v>
      </ns0:c>
      <ns0:c r="I361" s="95" t="n">
        <ns0:v>540000</ns0:v>
      </ns0:c>
      <ns0:c r="J361" s="94" t="n">
        <ns0:v>2026</ns0:v>
      </ns0:c>
      <ns0:c r="K361" s="95" t="n">
        <ns0:v>8962.655601659751</ns0:v>
      </ns0:c>
      <ns0:c r="L361" s="95" t="n">
        <ns0:v>7474.048442906575</ns0:v>
      </ns0:c>
      <ns0:c r="M361" s="94" t="inlineStr">
        <ns0:is>
          <ns0:t>Ativo</ns0:t>
        </ns0:is>
      </ns0:c>
      <ns0:c r="N361" s="94" t="inlineStr">
        <ns0:is>
          <ns0:t>BelaFormosa · Price List September 2026 · p. 2</ns0:t>
        </ns0:is>
      </ns0:c>
      <ns0:c r="O361" s="94"/>
      <ns0:c r="P361" s="94" t="inlineStr">
        <ns0:is>
          <ns0:t>2026-09</ns0:t>
        </ns0:is>
      </ns0:c>
      <ns0:c r="Q361" s="94" t="inlineStr">
        <ns0:is>
          <ns0:t>Premium local</ns0:t>
        </ns0:is>
      </ns0:c>
      <ns0:c r="R361" s="94" t="inlineStr">
        <ns0:is>
          <ns0:t>Nova construção</ns0:t>
        </ns0:is>
      </ns0:c>
      <ns0:c r="S361" s="94"/>
      <ns0:c r="T361" s="94" t="inlineStr">
        <ns0:is>
          <ns0:t>Não incluído no preço; disponibilidade por confirmar</ns0:t>
        </ns0:is>
      </ns0:c>
      <ns0:c r="U361" s="94"/>
      <ns0:c r="V361" s="94"/>
      <ns0:c r="W361" s="97" t="n">
        <ns0:v>0.9</ns0:v>
      </ns0:c>
      <ns0:c r="X361" s="94" t="inlineStr">
        <ns0:is>
          <ns0:t>A · Premium local; vistas estimadas</ns0:t>
        </ns0:is>
      </ns0:c>
      <ns0:c r="Y361" s="94" t="inlineStr">
        <ns0:is>
          <ns0:t>Média</ns0:t>
        </ns0:is>
      </ns0:c>
      <ns0:c r="Z361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</ns0:t>
        </ns0:is>
      </ns0:c>
      <ns0:c r="AA361" s="94" t="inlineStr">
        <ns0:is>
          <ns0:t>Confirmar vista, orientação, disponibilidade e condições atuais.</ns0:t>
        </ns0:is>
      </ns0:c>
      <ns0:c r="AB361" s="94" t="inlineStr">
        <ns0:is>
          <ns0:t>Média</ns0:t>
        </ns0:is>
      </ns0:c>
      <ns0:c r="AJ361" s="94" t="inlineStr">
        <ns0:is>
          <ns0:t>LB</ns0:t>
        </ns0:is>
      </ns0:c>
      <ns0:c r="AK361" s="94" t="inlineStr">
        <ns0:is>
          <ns0:t>Convencional</ns0:t>
        </ns0:is>
      </ns0:c>
      <ns0:c r="AL361" s="94" t="n">
        <ns0:v>2</ns0:v>
      </ns0:c>
      <ns0:c r="AM361" s="94" t="n">
        <ns0:v>3</ns0:v>
      </ns0:c>
      <ns0:c r="AN361" s="94" t="inlineStr">
        <ns0:is>
          <ns0:t>Estimada · média</ns0:t>
        </ns0:is>
      </ns0:c>
      <ns0:c r="AO361" s="94" t="inlineStr">
        <ns0:is>
          <ns0:t>Estimativa de implantação fornecida pela gestão; piso considerado sem confirmação geométrica.</ns0:t>
        </ns0:is>
      </ns0:c>
      <ns0:c r="AP361" s="94" t="inlineStr">
        <ns0:is>
          <ns0:t>Sim</ns0:t>
        </ns0:is>
      </ns0:c>
      <ns0:c r="AQ361" s="94" t="inlineStr">
        <ns0:is>
          <ns0:t>Olhão</ns0:t>
        </ns0:is>
      </ns0:c>
      <ns0:c r="AR361" s="94" t="inlineStr">
        <ns0:is>
          <ns0:t>BelaFormosa Price List September 2026, p. 1</ns0:t>
        </ns0:is>
      </ns0:c>
    </ns0:row>
    <ns0:row r="362" ht="72" customHeight="1">
      <ns0:c r="A362" s="94" t="inlineStr">
        <ns0:is>
          <ns0:t>BelaFormosa</ns0:t>
        </ns0:is>
      </ns0:c>
      <ns0:c r="B362" s="94" t="inlineStr">
        <ns0:is>
          <ns0:t>LB409</ns0:t>
        </ns0:is>
      </ns0:c>
      <ns0:c r="C362" s="94" t="n">
        <ns0:v>4</ns0:v>
      </ns0:c>
      <ns0:c r="D362" s="94" t="inlineStr">
        <ns0:is>
          <ns0:t>T2</ns0:t>
        </ns0:is>
      </ns0:c>
      <ns0:c r="E362" s="94"/>
      <ns0:c r="F362" s="97" t="n">
        <ns0:v>89.25</ns0:v>
      </ns0:c>
      <ns0:c r="G362" s="97" t="n">
        <ns0:v>18.0</ns0:v>
      </ns0:c>
      <ns0:c r="H362" s="97" t="n">
        <ns0:v>107.25</ns0:v>
      </ns0:c>
      <ns0:c r="I362" s="95" t="n">
        <ns0:v>830000</ns0:v>
      </ns0:c>
      <ns0:c r="J362" s="94" t="n">
        <ns0:v>2026</ns0:v>
      </ns0:c>
      <ns0:c r="K362" s="95" t="n">
        <ns0:v>9299.719887955182</ns0:v>
      </ns0:c>
      <ns0:c r="L362" s="95" t="n">
        <ns0:v>7738.927738927739</ns0:v>
      </ns0:c>
      <ns0:c r="M362" s="94" t="inlineStr">
        <ns0:is>
          <ns0:t>Ativo</ns0:t>
        </ns0:is>
      </ns0:c>
      <ns0:c r="N362" s="94" t="inlineStr">
        <ns0:is>
          <ns0:t>BelaFormosa · Price List September 2026 · p. 2</ns0:t>
        </ns0:is>
      </ns0:c>
      <ns0:c r="O362" s="94"/>
      <ns0:c r="P362" s="94" t="inlineStr">
        <ns0:is>
          <ns0:t>2026-09</ns0:t>
        </ns0:is>
      </ns0:c>
      <ns0:c r="Q362" s="94" t="inlineStr">
        <ns0:is>
          <ns0:t>Premium local</ns0:t>
        </ns0:is>
      </ns0:c>
      <ns0:c r="R362" s="94" t="inlineStr">
        <ns0:is>
          <ns0:t>Nova construção</ns0:t>
        </ns0:is>
      </ns0:c>
      <ns0:c r="S362" s="94"/>
      <ns0:c r="T362" s="94" t="inlineStr">
        <ns0:is>
          <ns0:t>Não incluído no preço; disponibilidade por confirmar</ns0:t>
        </ns0:is>
      </ns0:c>
      <ns0:c r="U362" s="94"/>
      <ns0:c r="V362" s="94"/>
      <ns0:c r="W362" s="97" t="n">
        <ns0:v>0.9</ns0:v>
      </ns0:c>
      <ns0:c r="X362" s="94" t="inlineStr">
        <ns0:is>
          <ns0:t>A · Premium local; vistas estimadas</ns0:t>
        </ns0:is>
      </ns0:c>
      <ns0:c r="Y362" s="94" t="inlineStr">
        <ns0:is>
          <ns0:t>Média</ns0:t>
        </ns0:is>
      </ns0:c>
      <ns0:c r="Z362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62" s="94" t="inlineStr">
        <ns0:is>
          <ns0:t>Confirmar vista, orientação, disponibilidade e condições atuais.</ns0:t>
        </ns0:is>
      </ns0:c>
      <ns0:c r="AB362" s="94" t="inlineStr">
        <ns0:is>
          <ns0:t>Média</ns0:t>
        </ns0:is>
      </ns0:c>
      <ns0:c r="AJ362" s="94" t="inlineStr">
        <ns0:is>
          <ns0:t>LB</ns0:t>
        </ns0:is>
      </ns0:c>
      <ns0:c r="AK362" s="94" t="inlineStr">
        <ns0:is>
          <ns0:t>Convencional</ns0:t>
        </ns0:is>
      </ns0:c>
      <ns0:c r="AL362" s="94" t="n">
        <ns0:v>2</ns0:v>
      </ns0:c>
      <ns0:c r="AM362" s="94" t="n">
        <ns0:v>3</ns0:v>
      </ns0:c>
      <ns0:c r="AN362" s="94" t="inlineStr">
        <ns0:is>
          <ns0:t>Estimada · média</ns0:t>
        </ns0:is>
      </ns0:c>
      <ns0:c r="AO362" s="94" t="inlineStr">
        <ns0:is>
          <ns0:t>Estimativa de implantação fornecida pela gestão; piso considerado sem confirmação geométrica.</ns0:t>
        </ns0:is>
      </ns0:c>
      <ns0:c r="AP362" s="94" t="inlineStr">
        <ns0:is>
          <ns0:t>Sim</ns0:t>
        </ns0:is>
      </ns0:c>
      <ns0:c r="AQ362" s="94" t="inlineStr">
        <ns0:is>
          <ns0:t>Olhão</ns0:t>
        </ns0:is>
      </ns0:c>
      <ns0:c r="AR362" s="94" t="inlineStr">
        <ns0:is>
          <ns0:t>BelaFormosa Price List September 2026, p. 1</ns0:t>
        </ns0:is>
      </ns0:c>
    </ns0:row>
    <ns0:row r="363" ht="72" customHeight="1">
      <ns0:c r="A363" s="94" t="inlineStr">
        <ns0:is>
          <ns0:t>BelaFormosa</ns0:t>
        </ns0:is>
      </ns0:c>
      <ns0:c r="B363" s="94" t="inlineStr">
        <ns0:is>
          <ns0:t>LB410</ns0:t>
        </ns0:is>
      </ns0:c>
      <ns0:c r="C363" s="94" t="n">
        <ns0:v>4</ns0:v>
      </ns0:c>
      <ns0:c r="D363" s="94" t="inlineStr">
        <ns0:is>
          <ns0:t>T1</ns0:t>
        </ns0:is>
      </ns0:c>
      <ns0:c r="E363" s="94"/>
      <ns0:c r="F363" s="97" t="n">
        <ns0:v>60.25</ns0:v>
      </ns0:c>
      <ns0:c r="G363" s="97" t="n">
        <ns0:v>70.5</ns0:v>
      </ns0:c>
      <ns0:c r="H363" s="97" t="n">
        <ns0:v>130.75</ns0:v>
      </ns0:c>
      <ns0:c r="I363" s="95" t="n">
        <ns0:v>545000</ns0:v>
      </ns0:c>
      <ns0:c r="J363" s="94" t="n">
        <ns0:v>2026</ns0:v>
      </ns0:c>
      <ns0:c r="K363" s="95" t="n">
        <ns0:v>9045.643153526971</ns0:v>
      </ns0:c>
      <ns0:c r="L363" s="95" t="n">
        <ns0:v>4168.260038240918</ns0:v>
      </ns0:c>
      <ns0:c r="M363" s="94" t="inlineStr">
        <ns0:is>
          <ns0:t>Ativo</ns0:t>
        </ns0:is>
      </ns0:c>
      <ns0:c r="N363" s="94" t="inlineStr">
        <ns0:is>
          <ns0:t>BelaFormosa · Price List September 2026 · p. 2</ns0:t>
        </ns0:is>
      </ns0:c>
      <ns0:c r="O363" s="94"/>
      <ns0:c r="P363" s="94" t="inlineStr">
        <ns0:is>
          <ns0:t>2026-09</ns0:t>
        </ns0:is>
      </ns0:c>
      <ns0:c r="Q363" s="94" t="inlineStr">
        <ns0:is>
          <ns0:t>Premium local</ns0:t>
        </ns0:is>
      </ns0:c>
      <ns0:c r="R363" s="94" t="inlineStr">
        <ns0:is>
          <ns0:t>Nova construção</ns0:t>
        </ns0:is>
      </ns0:c>
      <ns0:c r="S363" s="94"/>
      <ns0:c r="T363" s="94" t="inlineStr">
        <ns0:is>
          <ns0:t>Não incluído no preço; disponibilidade por confirmar</ns0:t>
        </ns0:is>
      </ns0:c>
      <ns0:c r="U363" s="94"/>
      <ns0:c r="V363" s="94"/>
      <ns0:c r="W363" s="97" t="n">
        <ns0:v>0.9</ns0:v>
      </ns0:c>
      <ns0:c r="X363" s="94" t="inlineStr">
        <ns0:is>
          <ns0:t>A · Premium local; vistas estimadas</ns0:t>
        </ns0:is>
      </ns0:c>
      <ns0:c r="Y363" s="94" t="inlineStr">
        <ns0:is>
          <ns0:t>Média</ns0:t>
        </ns0:is>
      </ns0:c>
      <ns0:c r="Z363" s="94" t="inlineStr">
        <ns0:is>
          <ns0:t>Preço pedido, não transação. Garagem/arrecadação não incluídas. Desconto de 5% mencionado na fonte não aplicado automaticamente. Tipologia de planta: B. Posição lateral/retaguarda; intervalo preliminar 3–4, sem confirmação por altura.</ns0:t>
        </ns0:is>
      </ns0:c>
      <ns0:c r="AA363" s="94" t="inlineStr">
        <ns0:is>
          <ns0:t>Confirmar vista, orientação, disponibilidade e condições atuais.</ns0:t>
        </ns0:is>
      </ns0:c>
      <ns0:c r="AB363" s="94" t="inlineStr">
        <ns0:is>
          <ns0:t>Média</ns0:t>
        </ns0:is>
      </ns0:c>
      <ns0:c r="AJ363" s="94" t="inlineStr">
        <ns0:is>
          <ns0:t>LB</ns0:t>
        </ns0:is>
      </ns0:c>
      <ns0:c r="AK363" s="94" t="inlineStr">
        <ns0:is>
          <ns0:t>Convencional</ns0:t>
        </ns0:is>
      </ns0:c>
      <ns0:c r="AL363" s="94" t="n">
        <ns0:v>3</ns0:v>
      </ns0:c>
      <ns0:c r="AM363" s="94" t="n">
        <ns0:v>4</ns0:v>
      </ns0:c>
      <ns0:c r="AN363" s="94" t="inlineStr">
        <ns0:is>
          <ns0:t>Estimada · média</ns0:t>
        </ns0:is>
      </ns0:c>
      <ns0:c r="AO363" s="94" t="inlineStr">
        <ns0:is>
          <ns0:t>Estimativa de implantação fornecida pela gestão; piso considerado sem confirmação geométrica.</ns0:t>
        </ns0:is>
      </ns0:c>
      <ns0:c r="AP363" s="94" t="inlineStr">
        <ns0:is>
          <ns0:t>Sim</ns0:t>
        </ns0:is>
      </ns0:c>
      <ns0:c r="AQ363" s="94" t="inlineStr">
        <ns0:is>
          <ns0:t>Olhão</ns0:t>
        </ns0:is>
      </ns0:c>
      <ns0:c r="AR363" s="94" t="inlineStr">
        <ns0:is>
          <ns0:t>BelaFormosa Price List September 2026, p. 1</ns0:t>
        </ns0:is>
      </ns0:c>
    </ns0:row>
    <ns0:row r="364" ht="72" customHeight="1">
      <ns0:c r="A364" s="94" t="inlineStr">
        <ns0:is>
          <ns0:t>BelaFormosa</ns0:t>
        </ns0:is>
      </ns0:c>
      <ns0:c r="B364" s="94" t="inlineStr">
        <ns0:is>
          <ns0:t>LB411</ns0:t>
        </ns0:is>
      </ns0:c>
      <ns0:c r="C364" s="94" t="n">
        <ns0:v>4</ns0:v>
      </ns0:c>
      <ns0:c r="D364" s="94" t="inlineStr">
        <ns0:is>
          <ns0:t>T2 Rooftop</ns0:t>
        </ns0:is>
      </ns0:c>
      <ns0:c r="E364" s="94"/>
      <ns0:c r="F364" s="97" t="n">
        <ns0:v>93.75</ns0:v>
      </ns0:c>
      <ns0:c r="G364" s="97" t="n">
        <ns0:v>107.75</ns0:v>
      </ns0:c>
      <ns0:c r="H364" s="97" t="n">
        <ns0:v>201.5</ns0:v>
      </ns0:c>
      <ns0:c r="I364" s="95" t="n">
        <ns0:v>1120000</ns0:v>
      </ns0:c>
      <ns0:c r="J364" s="94" t="n">
        <ns0:v>2026</ns0:v>
      </ns0:c>
      <ns0:c r="K364" s="95" t="n">
        <ns0:v>11946.666666666666</ns0:v>
      </ns0:c>
      <ns0:c r="L364" s="95" t="n">
        <ns0:v>5558.312655086848</ns0:v>
      </ns0:c>
      <ns0:c r="M364" s="94" t="inlineStr">
        <ns0:is>
          <ns0:t>Ativo</ns0:t>
        </ns0:is>
      </ns0:c>
      <ns0:c r="N364" s="94" t="inlineStr">
        <ns0:is>
          <ns0:t>BelaFormosa · Price List September 2026 · p. 2</ns0:t>
        </ns0:is>
      </ns0:c>
      <ns0:c r="O364" s="94"/>
      <ns0:c r="P364" s="94" t="inlineStr">
        <ns0:is>
          <ns0:t>2026-09</ns0:t>
        </ns0:is>
      </ns0:c>
      <ns0:c r="Q364" s="94" t="inlineStr">
        <ns0:is>
          <ns0:t>Premium local</ns0:t>
        </ns0:is>
      </ns0:c>
      <ns0:c r="R364" s="94" t="inlineStr">
        <ns0:is>
          <ns0:t>Nova construção</ns0:t>
        </ns0:is>
      </ns0:c>
      <ns0:c r="S364" s="94"/>
      <ns0:c r="T364" s="94" t="inlineStr">
        <ns0:is>
          <ns0:t>Não incluído no preço; disponibilidade por confirmar</ns0:t>
        </ns0:is>
      </ns0:c>
      <ns0:c r="U364" s="94"/>
      <ns0:c r="V364" s="94"/>
      <ns0:c r="W364" s="97" t="n">
        <ns0:v>0.9</ns0:v>
      </ns0:c>
      <ns0:c r="X364" s="94" t="inlineStr">
        <ns0:is>
          <ns0:t>A · Premium local; vistas estimadas</ns0:t>
        </ns0:is>
      </ns0:c>
      <ns0:c r="Y364" s="94" t="inlineStr">
        <ns0:is>
          <ns0:t>Média</ns0:t>
        </ns0:is>
      </ns0:c>
      <ns0:c r="Z364" s="94" t="inlineStr">
        <ns0:is>
          <ns0:t>Preço pedido, não transação. Garagem/arrecadação não incluídas. Desconto de 5% mencionado na fonte não aplicado automaticamente. Tipologia de planta: E. Posição lateral/retaguarda; intervalo preliminar 3–4, sem confirmação por altura.</ns0:t>
        </ns0:is>
      </ns0:c>
      <ns0:c r="AA364" s="94" t="inlineStr">
        <ns0:is>
          <ns0:t>Confirmar vista, orientação, disponibilidade e condições atuais.</ns0:t>
        </ns0:is>
      </ns0:c>
      <ns0:c r="AB364" s="94" t="inlineStr">
        <ns0:is>
          <ns0:t>Média</ns0:t>
        </ns0:is>
      </ns0:c>
      <ns0:c r="AJ364" s="94" t="inlineStr">
        <ns0:is>
          <ns0:t>LB</ns0:t>
        </ns0:is>
      </ns0:c>
      <ns0:c r="AK364" s="94" t="inlineStr">
        <ns0:is>
          <ns0:t>Rooftop</ns0:t>
        </ns0:is>
      </ns0:c>
      <ns0:c r="AL364" s="94" t="n">
        <ns0:v>3</ns0:v>
      </ns0:c>
      <ns0:c r="AM364" s="94" t="n">
        <ns0:v>4</ns0:v>
      </ns0:c>
      <ns0:c r="AN364" s="94" t="inlineStr">
        <ns0:is>
          <ns0:t>Estimada · média</ns0:t>
        </ns0:is>
      </ns0:c>
      <ns0:c r="AO364" s="94" t="inlineStr">
        <ns0:is>
          <ns0:t>Estimativa de implantação fornecida pela gestão; piso considerado sem confirmação geométrica.</ns0:t>
        </ns0:is>
      </ns0:c>
      <ns0:c r="AP364" s="94" t="inlineStr">
        <ns0:is>
          <ns0:t>Sim</ns0:t>
        </ns0:is>
      </ns0:c>
      <ns0:c r="AQ364" s="94" t="inlineStr">
        <ns0:is>
          <ns0:t>Olhão</ns0:t>
        </ns0:is>
      </ns0:c>
      <ns0:c r="AR364" s="94" t="inlineStr">
        <ns0:is>
          <ns0:t>BelaFormosa Price List September 2026, p. 1</ns0:t>
        </ns0:is>
      </ns0:c>
    </ns0:row>
    <ns0:row r="365" ht="72" customHeight="1">
      <ns0:c r="A365" s="94" t="inlineStr">
        <ns0:is>
          <ns0:t>BelaFormosa</ns0:t>
        </ns0:is>
      </ns0:c>
      <ns0:c r="B365" s="94" t="inlineStr">
        <ns0:is>
          <ns0:t>LB501</ns0:t>
        </ns0:is>
      </ns0:c>
      <ns0:c r="C365" s="94" t="n">
        <ns0:v>5</ns0:v>
      </ns0:c>
      <ns0:c r="D365" s="94" t="inlineStr">
        <ns0:is>
          <ns0:t>T2 Duplex</ns0:t>
        </ns0:is>
      </ns0:c>
      <ns0:c r="E365" s="94"/>
      <ns0:c r="F365" s="97" t="n">
        <ns0:v>120.0</ns0:v>
      </ns0:c>
      <ns0:c r="G365" s="97" t="n">
        <ns0:v>170.75</ns0:v>
      </ns0:c>
      <ns0:c r="H365" s="97" t="n">
        <ns0:v>290.75</ns0:v>
      </ns0:c>
      <ns0:c r="I365" s="95" t="n">
        <ns0:v>1550000</ns0:v>
      </ns0:c>
      <ns0:c r="J365" s="94" t="n">
        <ns0:v>2026</ns0:v>
      </ns0:c>
      <ns0:c r="K365" s="95" t="n">
        <ns0:v>12916.666666666666</ns0:v>
      </ns0:c>
      <ns0:c r="L365" s="95" t="n">
        <ns0:v>5331.04041272571</ns0:v>
      </ns0:c>
      <ns0:c r="M365" s="94" t="inlineStr">
        <ns0:is>
          <ns0:t>Ativo</ns0:t>
        </ns0:is>
      </ns0:c>
      <ns0:c r="N365" s="94" t="inlineStr">
        <ns0:is>
          <ns0:t>BelaFormosa · Price List September 2026 · p. 2</ns0:t>
        </ns0:is>
      </ns0:c>
      <ns0:c r="O365" s="94"/>
      <ns0:c r="P365" s="94" t="inlineStr">
        <ns0:is>
          <ns0:t>2026-09</ns0:t>
        </ns0:is>
      </ns0:c>
      <ns0:c r="Q365" s="94" t="inlineStr">
        <ns0:is>
          <ns0:t>Premium local</ns0:t>
        </ns0:is>
      </ns0:c>
      <ns0:c r="R365" s="94" t="inlineStr">
        <ns0:is>
          <ns0:t>Nova construção</ns0:t>
        </ns0:is>
      </ns0:c>
      <ns0:c r="S365" s="94"/>
      <ns0:c r="T365" s="94" t="inlineStr">
        <ns0:is>
          <ns0:t>Não incluído no preço; disponibilidade por confirmar</ns0:t>
        </ns0:is>
      </ns0:c>
      <ns0:c r="U365" s="94"/>
      <ns0:c r="V365" s="94"/>
      <ns0:c r="W365" s="97" t="n">
        <ns0:v>0.9</ns0:v>
      </ns0:c>
      <ns0:c r="X365" s="94" t="inlineStr">
        <ns0:is>
          <ns0:t>A · Premium local; vistas estimadas</ns0:t>
        </ns0:is>
      </ns0:c>
      <ns0:c r="Y365" s="94" t="inlineStr">
        <ns0:is>
          <ns0:t>Média</ns0:t>
        </ns0:is>
      </ns0:c>
      <ns0:c r="Z365" s="94" t="inlineStr">
        <ns0:is>
          <ns0:t>Preço pedido, não transação. Garagem/arrecadação não incluídas. Desconto de 5% mencionado na fonte não aplicado automaticamente. Tipologia de planta: A. Posição lateral/retaguarda; intervalo preliminar 3–4, sem confirmação por altura.</ns0:t>
        </ns0:is>
      </ns0:c>
      <ns0:c r="AA365" s="94" t="inlineStr">
        <ns0:is>
          <ns0:t>Confirmar vista, orientação, disponibilidade e condições atuais.</ns0:t>
        </ns0:is>
      </ns0:c>
      <ns0:c r="AB365" s="94" t="inlineStr">
        <ns0:is>
          <ns0:t>Média</ns0:t>
        </ns0:is>
      </ns0:c>
      <ns0:c r="AJ365" s="94" t="inlineStr">
        <ns0:is>
          <ns0:t>LB</ns0:t>
        </ns0:is>
      </ns0:c>
      <ns0:c r="AK365" s="94" t="inlineStr">
        <ns0:is>
          <ns0:t>Duplex</ns0:t>
        </ns0:is>
      </ns0:c>
      <ns0:c r="AL365" s="94" t="n">
        <ns0:v>3</ns0:v>
      </ns0:c>
      <ns0:c r="AM365" s="94" t="n">
        <ns0:v>4</ns0:v>
      </ns0:c>
      <ns0:c r="AN365" s="94" t="inlineStr">
        <ns0:is>
          <ns0:t>Estimada · média</ns0:t>
        </ns0:is>
      </ns0:c>
      <ns0:c r="AO365" s="94" t="inlineStr">
        <ns0:is>
          <ns0:t>Estimativa de implantação fornecida pela gestão; piso considerado sem confirmação geométrica.</ns0:t>
        </ns0:is>
      </ns0:c>
      <ns0:c r="AP365" s="94" t="inlineStr">
        <ns0:is>
          <ns0:t>Sim</ns0:t>
        </ns0:is>
      </ns0:c>
      <ns0:c r="AQ365" s="94" t="inlineStr">
        <ns0:is>
          <ns0:t>Olhão</ns0:t>
        </ns0:is>
      </ns0:c>
      <ns0:c r="AR365" s="94" t="inlineStr">
        <ns0:is>
          <ns0:t>BelaFormosa Price List September 2026, p. 1</ns0:t>
        </ns0:is>
      </ns0:c>
    </ns0:row>
    <ns0:row r="366" ht="72" customHeight="1">
      <ns0:c r="A366" s="94" t="inlineStr">
        <ns0:is>
          <ns0:t>BelaFormosa</ns0:t>
        </ns0:is>
      </ns0:c>
      <ns0:c r="B366" s="94" t="inlineStr">
        <ns0:is>
          <ns0:t>LB502</ns0:t>
        </ns0:is>
      </ns0:c>
      <ns0:c r="C366" s="94" t="n">
        <ns0:v>5</ns0:v>
      </ns0:c>
      <ns0:c r="D366" s="94" t="inlineStr">
        <ns0:is>
          <ns0:t>T2</ns0:t>
        </ns0:is>
      </ns0:c>
      <ns0:c r="E366" s="94"/>
      <ns0:c r="F366" s="97" t="n">
        <ns0:v>89.25</ns0:v>
      </ns0:c>
      <ns0:c r="G366" s="97" t="n">
        <ns0:v>18.0</ns0:v>
      </ns0:c>
      <ns0:c r="H366" s="97" t="n">
        <ns0:v>107.25</ns0:v>
      </ns0:c>
      <ns0:c r="I366" s="95" t="n">
        <ns0:v>905000</ns0:v>
      </ns0:c>
      <ns0:c r="J366" s="94" t="n">
        <ns0:v>2026</ns0:v>
      </ns0:c>
      <ns0:c r="K366" s="95" t="n">
        <ns0:v>10140.056022408964</ns0:v>
      </ns0:c>
      <ns0:c r="L366" s="95" t="n">
        <ns0:v>8438.228438228438</ns0:v>
      </ns0:c>
      <ns0:c r="M366" s="94" t="inlineStr">
        <ns0:is>
          <ns0:t>Ativo</ns0:t>
        </ns0:is>
      </ns0:c>
      <ns0:c r="N366" s="94" t="inlineStr">
        <ns0:is>
          <ns0:t>BelaFormosa · Price List September 2026 · p. 2</ns0:t>
        </ns0:is>
      </ns0:c>
      <ns0:c r="O366" s="94"/>
      <ns0:c r="P366" s="94" t="inlineStr">
        <ns0:is>
          <ns0:t>2026-09</ns0:t>
        </ns0:is>
      </ns0:c>
      <ns0:c r="Q366" s="94" t="inlineStr">
        <ns0:is>
          <ns0:t>Premium local</ns0:t>
        </ns0:is>
      </ns0:c>
      <ns0:c r="R366" s="94" t="inlineStr">
        <ns0:is>
          <ns0:t>Nova construção</ns0:t>
        </ns0:is>
      </ns0:c>
      <ns0:c r="S366" s="94"/>
      <ns0:c r="T366" s="94" t="inlineStr">
        <ns0:is>
          <ns0:t>Não incluído no preço; disponibilidade por confirmar</ns0:t>
        </ns0:is>
      </ns0:c>
      <ns0:c r="U366" s="94"/>
      <ns0:c r="V366" s="94"/>
      <ns0:c r="W366" s="97" t="n">
        <ns0:v>0.9</ns0:v>
      </ns0:c>
      <ns0:c r="X366" s="94" t="inlineStr">
        <ns0:is>
          <ns0:t>A · Premium local; vistas estimadas</ns0:t>
        </ns0:is>
      </ns0:c>
      <ns0:c r="Y366" s="94" t="inlineStr">
        <ns0:is>
          <ns0:t>Média</ns0:t>
        </ns0:is>
      </ns0:c>
      <ns0:c r="Z366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66" s="94" t="inlineStr">
        <ns0:is>
          <ns0:t>Confirmar vista, orientação, disponibilidade e condições atuais.</ns0:t>
        </ns0:is>
      </ns0:c>
      <ns0:c r="AB366" s="94" t="inlineStr">
        <ns0:is>
          <ns0:t>Média</ns0:t>
        </ns0:is>
      </ns0:c>
      <ns0:c r="AJ366" s="94" t="inlineStr">
        <ns0:is>
          <ns0:t>LB</ns0:t>
        </ns0:is>
      </ns0:c>
      <ns0:c r="AK366" s="94" t="inlineStr">
        <ns0:is>
          <ns0:t>Convencional</ns0:t>
        </ns0:is>
      </ns0:c>
      <ns0:c r="AL366" s="94" t="n">
        <ns0:v>3</ns0:v>
      </ns0:c>
      <ns0:c r="AM366" s="94" t="n">
        <ns0:v>4</ns0:v>
      </ns0:c>
      <ns0:c r="AN366" s="94" t="inlineStr">
        <ns0:is>
          <ns0:t>Estimada · média</ns0:t>
        </ns0:is>
      </ns0:c>
      <ns0:c r="AO366" s="94" t="inlineStr">
        <ns0:is>
          <ns0:t>Estimativa de implantação fornecida pela gestão; piso considerado sem confirmação geométrica.</ns0:t>
        </ns0:is>
      </ns0:c>
      <ns0:c r="AP366" s="94" t="inlineStr">
        <ns0:is>
          <ns0:t>Sim</ns0:t>
        </ns0:is>
      </ns0:c>
      <ns0:c r="AQ366" s="94" t="inlineStr">
        <ns0:is>
          <ns0:t>Olhão</ns0:t>
        </ns0:is>
      </ns0:c>
      <ns0:c r="AR366" s="94" t="inlineStr">
        <ns0:is>
          <ns0:t>BelaFormosa Price List September 2026, p. 1</ns0:t>
        </ns0:is>
      </ns0:c>
    </ns0:row>
    <ns0:row r="367" ht="72" customHeight="1">
      <ns0:c r="A367" s="94" t="inlineStr">
        <ns0:is>
          <ns0:t>BelaFormosa</ns0:t>
        </ns0:is>
      </ns0:c>
      <ns0:c r="B367" s="94" t="inlineStr">
        <ns0:is>
          <ns0:t>LB503</ns0:t>
        </ns0:is>
      </ns0:c>
      <ns0:c r="C367" s="94" t="n">
        <ns0:v>5</ns0:v>
      </ns0:c>
      <ns0:c r="D367" s="94" t="inlineStr">
        <ns0:is>
          <ns0:t>T1</ns0:t>
        </ns0:is>
      </ns0:c>
      <ns0:c r="E367" s="94"/>
      <ns0:c r="F367" s="97" t="n">
        <ns0:v>60.25</ns0:v>
      </ns0:c>
      <ns0:c r="G367" s="97" t="n">
        <ns0:v>12.0</ns0:v>
      </ns0:c>
      <ns0:c r="H367" s="97" t="n">
        <ns0:v>72.25</ns0:v>
      </ns0:c>
      <ns0:c r="I367" s="95" t="n">
        <ns0:v>600000</ns0:v>
      </ns0:c>
      <ns0:c r="J367" s="94" t="n">
        <ns0:v>2026</ns0:v>
      </ns0:c>
      <ns0:c r="K367" s="95" t="n">
        <ns0:v>9958.50622406639</ns0:v>
      </ns0:c>
      <ns0:c r="L367" s="95" t="n">
        <ns0:v>8304.498269896194</ns0:v>
      </ns0:c>
      <ns0:c r="M367" s="94" t="inlineStr">
        <ns0:is>
          <ns0:t>Ativo</ns0:t>
        </ns0:is>
      </ns0:c>
      <ns0:c r="N367" s="94" t="inlineStr">
        <ns0:is>
          <ns0:t>BelaFormosa · Price List September 2026 · p. 2</ns0:t>
        </ns0:is>
      </ns0:c>
      <ns0:c r="O367" s="94"/>
      <ns0:c r="P367" s="94" t="inlineStr">
        <ns0:is>
          <ns0:t>2026-09</ns0:t>
        </ns0:is>
      </ns0:c>
      <ns0:c r="Q367" s="94" t="inlineStr">
        <ns0:is>
          <ns0:t>Premium local</ns0:t>
        </ns0:is>
      </ns0:c>
      <ns0:c r="R367" s="94" t="inlineStr">
        <ns0:is>
          <ns0:t>Nova construção</ns0:t>
        </ns0:is>
      </ns0:c>
      <ns0:c r="S367" s="94"/>
      <ns0:c r="T367" s="94" t="inlineStr">
        <ns0:is>
          <ns0:t>Não incluído no preço; disponibilidade por confirmar</ns0:t>
        </ns0:is>
      </ns0:c>
      <ns0:c r="U367" s="94"/>
      <ns0:c r="V367" s="94"/>
      <ns0:c r="W367" s="97" t="n">
        <ns0:v>0.9</ns0:v>
      </ns0:c>
      <ns0:c r="X367" s="94" t="inlineStr">
        <ns0:is>
          <ns0:t>A · Premium local; vistas estimadas</ns0:t>
        </ns0:is>
      </ns0:c>
      <ns0:c r="Y367" s="94" t="inlineStr">
        <ns0:is>
          <ns0:t>Média</ns0:t>
        </ns0:is>
      </ns0:c>
      <ns0:c r="Z367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367" s="94" t="inlineStr">
        <ns0:is>
          <ns0:t>Confirmar vista, orientação, disponibilidade e condições atuais.</ns0:t>
        </ns0:is>
      </ns0:c>
      <ns0:c r="AB367" s="94" t="inlineStr">
        <ns0:is>
          <ns0:t>Média</ns0:t>
        </ns0:is>
      </ns0:c>
      <ns0:c r="AJ367" s="94" t="inlineStr">
        <ns0:is>
          <ns0:t>LB</ns0:t>
        </ns0:is>
      </ns0:c>
      <ns0:c r="AK367" s="94" t="inlineStr">
        <ns0:is>
          <ns0:t>Convencional</ns0:t>
        </ns0:is>
      </ns0:c>
      <ns0:c r="AL367" s="94" t="n">
        <ns0:v>3</ns0:v>
      </ns0:c>
      <ns0:c r="AM367" s="94" t="n">
        <ns0:v>4</ns0:v>
      </ns0:c>
      <ns0:c r="AN367" s="94" t="inlineStr">
        <ns0:is>
          <ns0:t>Estimada · média</ns0:t>
        </ns0:is>
      </ns0:c>
      <ns0:c r="AO367" s="94" t="inlineStr">
        <ns0:is>
          <ns0:t>Estimativa de implantação fornecida pela gestão; piso considerado sem confirmação geométrica.</ns0:t>
        </ns0:is>
      </ns0:c>
      <ns0:c r="AP367" s="94" t="inlineStr">
        <ns0:is>
          <ns0:t>Sim</ns0:t>
        </ns0:is>
      </ns0:c>
      <ns0:c r="AQ367" s="94" t="inlineStr">
        <ns0:is>
          <ns0:t>Olhão</ns0:t>
        </ns0:is>
      </ns0:c>
      <ns0:c r="AR367" s="94" t="inlineStr">
        <ns0:is>
          <ns0:t>BelaFormosa Price List September 2026, p. 1</ns0:t>
        </ns0:is>
      </ns0:c>
    </ns0:row>
    <ns0:row r="368" ht="72" customHeight="1">
      <ns0:c r="A368" s="94" t="inlineStr">
        <ns0:is>
          <ns0:t>BelaFormosa</ns0:t>
        </ns0:is>
      </ns0:c>
      <ns0:c r="B368" s="94" t="inlineStr">
        <ns0:is>
          <ns0:t>LB504</ns0:t>
        </ns0:is>
      </ns0:c>
      <ns0:c r="C368" s="94" t="n">
        <ns0:v>5</ns0:v>
      </ns0:c>
      <ns0:c r="D368" s="94" t="inlineStr">
        <ns0:is>
          <ns0:t>T1</ns0:t>
        </ns0:is>
      </ns0:c>
      <ns0:c r="E368" s="94"/>
      <ns0:c r="F368" s="97" t="n">
        <ns0:v>60.25</ns0:v>
      </ns0:c>
      <ns0:c r="G368" s="97" t="n">
        <ns0:v>12.0</ns0:v>
      </ns0:c>
      <ns0:c r="H368" s="97" t="n">
        <ns0:v>72.25</ns0:v>
      </ns0:c>
      <ns0:c r="I368" s="95" t="n">
        <ns0:v>600000</ns0:v>
      </ns0:c>
      <ns0:c r="J368" s="94" t="n">
        <ns0:v>2026</ns0:v>
      </ns0:c>
      <ns0:c r="K368" s="95" t="n">
        <ns0:v>9958.50622406639</ns0:v>
      </ns0:c>
      <ns0:c r="L368" s="95" t="n">
        <ns0:v>8304.498269896194</ns0:v>
      </ns0:c>
      <ns0:c r="M368" s="94" t="inlineStr">
        <ns0:is>
          <ns0:t>Ativo</ns0:t>
        </ns0:is>
      </ns0:c>
      <ns0:c r="N368" s="94" t="inlineStr">
        <ns0:is>
          <ns0:t>BelaFormosa · Price List September 2026 · p. 2</ns0:t>
        </ns0:is>
      </ns0:c>
      <ns0:c r="O368" s="94"/>
      <ns0:c r="P368" s="94" t="inlineStr">
        <ns0:is>
          <ns0:t>2026-09</ns0:t>
        </ns0:is>
      </ns0:c>
      <ns0:c r="Q368" s="94" t="inlineStr">
        <ns0:is>
          <ns0:t>Premium local</ns0:t>
        </ns0:is>
      </ns0:c>
      <ns0:c r="R368" s="94" t="inlineStr">
        <ns0:is>
          <ns0:t>Nova construção</ns0:t>
        </ns0:is>
      </ns0:c>
      <ns0:c r="S368" s="94"/>
      <ns0:c r="T368" s="94" t="inlineStr">
        <ns0:is>
          <ns0:t>Não incluído no preço; disponibilidade por confirmar</ns0:t>
        </ns0:is>
      </ns0:c>
      <ns0:c r="U368" s="94"/>
      <ns0:c r="V368" s="94"/>
      <ns0:c r="W368" s="97" t="n">
        <ns0:v>0.9</ns0:v>
      </ns0:c>
      <ns0:c r="X368" s="94" t="inlineStr">
        <ns0:is>
          <ns0:t>A · Premium local; vistas estimadas</ns0:t>
        </ns0:is>
      </ns0:c>
      <ns0:c r="Y368" s="94" t="inlineStr">
        <ns0:is>
          <ns0:t>Média</ns0:t>
        </ns0:is>
      </ns0:c>
      <ns0:c r="Z368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368" s="94" t="inlineStr">
        <ns0:is>
          <ns0:t>Confirmar vista, orientação, disponibilidade e condições atuais.</ns0:t>
        </ns0:is>
      </ns0:c>
      <ns0:c r="AB368" s="94" t="inlineStr">
        <ns0:is>
          <ns0:t>Média</ns0:t>
        </ns0:is>
      </ns0:c>
      <ns0:c r="AJ368" s="94" t="inlineStr">
        <ns0:is>
          <ns0:t>LB</ns0:t>
        </ns0:is>
      </ns0:c>
      <ns0:c r="AK368" s="94" t="inlineStr">
        <ns0:is>
          <ns0:t>Convencional</ns0:t>
        </ns0:is>
      </ns0:c>
      <ns0:c r="AL368" s="94" t="n">
        <ns0:v>3</ns0:v>
      </ns0:c>
      <ns0:c r="AM368" s="94" t="n">
        <ns0:v>4</ns0:v>
      </ns0:c>
      <ns0:c r="AN368" s="94" t="inlineStr">
        <ns0:is>
          <ns0:t>Estimada · média</ns0:t>
        </ns0:is>
      </ns0:c>
      <ns0:c r="AO368" s="94" t="inlineStr">
        <ns0:is>
          <ns0:t>Estimativa de implantação fornecida pela gestão; piso considerado sem confirmação geométrica.</ns0:t>
        </ns0:is>
      </ns0:c>
      <ns0:c r="AP368" s="94" t="inlineStr">
        <ns0:is>
          <ns0:t>Sim</ns0:t>
        </ns0:is>
      </ns0:c>
      <ns0:c r="AQ368" s="94" t="inlineStr">
        <ns0:is>
          <ns0:t>Olhão</ns0:t>
        </ns0:is>
      </ns0:c>
      <ns0:c r="AR368" s="94" t="inlineStr">
        <ns0:is>
          <ns0:t>BelaFormosa Price List September 2026, p. 1</ns0:t>
        </ns0:is>
      </ns0:c>
    </ns0:row>
    <ns0:row r="369" ht="72" customHeight="1">
      <ns0:c r="A369" s="94" t="inlineStr">
        <ns0:is>
          <ns0:t>BelaFormosa</ns0:t>
        </ns0:is>
      </ns0:c>
      <ns0:c r="B369" s="94" t="inlineStr">
        <ns0:is>
          <ns0:t>LB505</ns0:t>
        </ns0:is>
      </ns0:c>
      <ns0:c r="C369" s="94" t="n">
        <ns0:v>5</ns0:v>
      </ns0:c>
      <ns0:c r="D369" s="94" t="inlineStr">
        <ns0:is>
          <ns0:t>T2</ns0:t>
        </ns0:is>
      </ns0:c>
      <ns0:c r="E369" s="94"/>
      <ns0:c r="F369" s="97" t="n">
        <ns0:v>89.25</ns0:v>
      </ns0:c>
      <ns0:c r="G369" s="97" t="n">
        <ns0:v>17.5</ns0:v>
      </ns0:c>
      <ns0:c r="H369" s="97" t="n">
        <ns0:v>106.75</ns0:v>
      </ns0:c>
      <ns0:c r="I369" s="95" t="n">
        <ns0:v>930000</ns0:v>
      </ns0:c>
      <ns0:c r="J369" s="94" t="n">
        <ns0:v>2026</ns0:v>
      </ns0:c>
      <ns0:c r="K369" s="95" t="n">
        <ns0:v>10420.16806722689</ns0:v>
      </ns0:c>
      <ns0:c r="L369" s="95" t="n">
        <ns0:v>8711.943793911007</ns0:v>
      </ns0:c>
      <ns0:c r="M369" s="94" t="inlineStr">
        <ns0:is>
          <ns0:t>Ativo</ns0:t>
        </ns0:is>
      </ns0:c>
      <ns0:c r="N369" s="94" t="inlineStr">
        <ns0:is>
          <ns0:t>BelaFormosa · Price List September 2026 · p. 2</ns0:t>
        </ns0:is>
      </ns0:c>
      <ns0:c r="O369" s="94"/>
      <ns0:c r="P369" s="94" t="inlineStr">
        <ns0:is>
          <ns0:t>2026-09</ns0:t>
        </ns0:is>
      </ns0:c>
      <ns0:c r="Q369" s="94" t="inlineStr">
        <ns0:is>
          <ns0:t>Premium local</ns0:t>
        </ns0:is>
      </ns0:c>
      <ns0:c r="R369" s="94" t="inlineStr">
        <ns0:is>
          <ns0:t>Nova construção</ns0:t>
        </ns0:is>
      </ns0:c>
      <ns0:c r="S369" s="94"/>
      <ns0:c r="T369" s="94" t="inlineStr">
        <ns0:is>
          <ns0:t>Não incluído no preço; disponibilidade por confirmar</ns0:t>
        </ns0:is>
      </ns0:c>
      <ns0:c r="U369" s="94"/>
      <ns0:c r="V369" s="94"/>
      <ns0:c r="W369" s="97" t="n">
        <ns0:v>0.9</ns0:v>
      </ns0:c>
      <ns0:c r="X369" s="94" t="inlineStr">
        <ns0:is>
          <ns0:t>A · Premium local; vistas estimadas</ns0:t>
        </ns0:is>
      </ns0:c>
      <ns0:c r="Y369" s="94" t="inlineStr">
        <ns0:is>
          <ns0:t>Média</ns0:t>
        </ns0:is>
      </ns0:c>
      <ns0:c r="Z369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69" s="94" t="inlineStr">
        <ns0:is>
          <ns0:t>Confirmar vista, orientação, disponibilidade e condições atuais.</ns0:t>
        </ns0:is>
      </ns0:c>
      <ns0:c r="AB369" s="94" t="inlineStr">
        <ns0:is>
          <ns0:t>Média</ns0:t>
        </ns0:is>
      </ns0:c>
      <ns0:c r="AJ369" s="94" t="inlineStr">
        <ns0:is>
          <ns0:t>LB</ns0:t>
        </ns0:is>
      </ns0:c>
      <ns0:c r="AK369" s="94" t="inlineStr">
        <ns0:is>
          <ns0:t>Convencional</ns0:t>
        </ns0:is>
      </ns0:c>
      <ns0:c r="AL369" s="94" t="n">
        <ns0:v>3</ns0:v>
      </ns0:c>
      <ns0:c r="AM369" s="94" t="n">
        <ns0:v>4</ns0:v>
      </ns0:c>
      <ns0:c r="AN369" s="94" t="inlineStr">
        <ns0:is>
          <ns0:t>Estimada · média</ns0:t>
        </ns0:is>
      </ns0:c>
      <ns0:c r="AO369" s="94" t="inlineStr">
        <ns0:is>
          <ns0:t>Estimativa de implantação fornecida pela gestão; piso considerado sem confirmação geométrica.</ns0:t>
        </ns0:is>
      </ns0:c>
      <ns0:c r="AP369" s="94" t="inlineStr">
        <ns0:is>
          <ns0:t>Sim</ns0:t>
        </ns0:is>
      </ns0:c>
      <ns0:c r="AQ369" s="94" t="inlineStr">
        <ns0:is>
          <ns0:t>Olhão</ns0:t>
        </ns0:is>
      </ns0:c>
      <ns0:c r="AR369" s="94" t="inlineStr">
        <ns0:is>
          <ns0:t>BelaFormosa Price List September 2026, p. 1</ns0:t>
        </ns0:is>
      </ns0:c>
    </ns0:row>
    <ns0:row r="370" ht="72" customHeight="1">
      <ns0:c r="A370" s="94" t="inlineStr">
        <ns0:is>
          <ns0:t>BelaFormosa</ns0:t>
        </ns0:is>
      </ns0:c>
      <ns0:c r="B370" s="94" t="inlineStr">
        <ns0:is>
          <ns0:t>LB506</ns0:t>
        </ns0:is>
      </ns0:c>
      <ns0:c r="C370" s="94" t="n">
        <ns0:v>5</ns0:v>
      </ns0:c>
      <ns0:c r="D370" s="94" t="inlineStr">
        <ns0:is>
          <ns0:t>T2</ns0:t>
        </ns0:is>
      </ns0:c>
      <ns0:c r="E370" s="94"/>
      <ns0:c r="F370" s="97" t="n">
        <ns0:v>89.25</ns0:v>
      </ns0:c>
      <ns0:c r="G370" s="97" t="n">
        <ns0:v>17.5</ns0:v>
      </ns0:c>
      <ns0:c r="H370" s="97" t="n">
        <ns0:v>106.75</ns0:v>
      </ns0:c>
      <ns0:c r="I370" s="95" t="n">
        <ns0:v>1005000</ns0:v>
      </ns0:c>
      <ns0:c r="J370" s="94" t="n">
        <ns0:v>2026</ns0:v>
      </ns0:c>
      <ns0:c r="K370" s="95" t="n">
        <ns0:v>11260.504201680673</ns0:v>
      </ns0:c>
      <ns0:c r="L370" s="95" t="n">
        <ns0:v>9414.519906323185</ns0:v>
      </ns0:c>
      <ns0:c r="M370" s="94" t="inlineStr">
        <ns0:is>
          <ns0:t>Ativo</ns0:t>
        </ns0:is>
      </ns0:c>
      <ns0:c r="N370" s="94" t="inlineStr">
        <ns0:is>
          <ns0:t>BelaFormosa · Price List September 2026 · p. 2</ns0:t>
        </ns0:is>
      </ns0:c>
      <ns0:c r="O370" s="94"/>
      <ns0:c r="P370" s="94" t="inlineStr">
        <ns0:is>
          <ns0:t>2026-09</ns0:t>
        </ns0:is>
      </ns0:c>
      <ns0:c r="Q370" s="94" t="inlineStr">
        <ns0:is>
          <ns0:t>Premium local</ns0:t>
        </ns0:is>
      </ns0:c>
      <ns0:c r="R370" s="94" t="inlineStr">
        <ns0:is>
          <ns0:t>Nova construção</ns0:t>
        </ns0:is>
      </ns0:c>
      <ns0:c r="S370" s="94"/>
      <ns0:c r="T370" s="94" t="inlineStr">
        <ns0:is>
          <ns0:t>Não incluído no preço; disponibilidade por confirmar</ns0:t>
        </ns0:is>
      </ns0:c>
      <ns0:c r="U370" s="94"/>
      <ns0:c r="V370" s="94"/>
      <ns0:c r="W370" s="97" t="n">
        <ns0:v>0.9</ns0:v>
      </ns0:c>
      <ns0:c r="X370" s="94" t="inlineStr">
        <ns0:is>
          <ns0:t>A · Premium local; vistas estimadas</ns0:t>
        </ns0:is>
      </ns0:c>
      <ns0:c r="Y370" s="94" t="inlineStr">
        <ns0:is>
          <ns0:t>Média</ns0:t>
        </ns0:is>
      </ns0:c>
      <ns0:c r="Z370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70" s="94" t="inlineStr">
        <ns0:is>
          <ns0:t>Confirmar vista, orientação, disponibilidade e condições atuais.</ns0:t>
        </ns0:is>
      </ns0:c>
      <ns0:c r="AB370" s="94" t="inlineStr">
        <ns0:is>
          <ns0:t>Média</ns0:t>
        </ns0:is>
      </ns0:c>
      <ns0:c r="AJ370" s="94" t="inlineStr">
        <ns0:is>
          <ns0:t>LB</ns0:t>
        </ns0:is>
      </ns0:c>
      <ns0:c r="AK370" s="94" t="inlineStr">
        <ns0:is>
          <ns0:t>Convencional</ns0:t>
        </ns0:is>
      </ns0:c>
      <ns0:c r="AL370" s="94" t="n">
        <ns0:v>2</ns0:v>
      </ns0:c>
      <ns0:c r="AM370" s="94" t="n">
        <ns0:v>3</ns0:v>
      </ns0:c>
      <ns0:c r="AN370" s="94" t="inlineStr">
        <ns0:is>
          <ns0:t>Estimada · média</ns0:t>
        </ns0:is>
      </ns0:c>
      <ns0:c r="AO370" s="94" t="inlineStr">
        <ns0:is>
          <ns0:t>Estimativa de implantação fornecida pela gestão; piso considerado sem confirmação geométrica.</ns0:t>
        </ns0:is>
      </ns0:c>
      <ns0:c r="AP370" s="94" t="inlineStr">
        <ns0:is>
          <ns0:t>Sim</ns0:t>
        </ns0:is>
      </ns0:c>
      <ns0:c r="AQ370" s="94" t="inlineStr">
        <ns0:is>
          <ns0:t>Olhão</ns0:t>
        </ns0:is>
      </ns0:c>
      <ns0:c r="AR370" s="94" t="inlineStr">
        <ns0:is>
          <ns0:t>BelaFormosa Price List September 2026, p. 1</ns0:t>
        </ns0:is>
      </ns0:c>
    </ns0:row>
    <ns0:row r="371" ht="72" customHeight="1">
      <ns0:c r="A371" s="94" t="inlineStr">
        <ns0:is>
          <ns0:t>BelaFormosa</ns0:t>
        </ns0:is>
      </ns0:c>
      <ns0:c r="B371" s="94" t="inlineStr">
        <ns0:is>
          <ns0:t>LB507</ns0:t>
        </ns0:is>
      </ns0:c>
      <ns0:c r="C371" s="94" t="n">
        <ns0:v>5</ns0:v>
      </ns0:c>
      <ns0:c r="D371" s="94" t="inlineStr">
        <ns0:is>
          <ns0:t>T3</ns0:t>
        </ns0:is>
      </ns0:c>
      <ns0:c r="E371" s="94"/>
      <ns0:c r="F371" s="97" t="n">
        <ns0:v>120.5</ns0:v>
      </ns0:c>
      <ns0:c r="G371" s="97" t="n">
        <ns0:v>22.75</ns0:v>
      </ns0:c>
      <ns0:c r="H371" s="97" t="n">
        <ns0:v>143.25</ns0:v>
      </ns0:c>
      <ns0:c r="I371" s="95" t="n">
        <ns0:v>1250000</ns0:v>
      </ns0:c>
      <ns0:c r="J371" s="94" t="n">
        <ns0:v>2026</ns0:v>
      </ns0:c>
      <ns0:c r="K371" s="95" t="n">
        <ns0:v>10373.443983402489</ns0:v>
      </ns0:c>
      <ns0:c r="L371" s="95" t="n">
        <ns0:v>8726.003490401396</ns0:v>
      </ns0:c>
      <ns0:c r="M371" s="94" t="inlineStr">
        <ns0:is>
          <ns0:t>Ativo</ns0:t>
        </ns0:is>
      </ns0:c>
      <ns0:c r="N371" s="94" t="inlineStr">
        <ns0:is>
          <ns0:t>BelaFormosa · Price List September 2026 · p. 2</ns0:t>
        </ns0:is>
      </ns0:c>
      <ns0:c r="O371" s="94"/>
      <ns0:c r="P371" s="94" t="inlineStr">
        <ns0:is>
          <ns0:t>2026-09</ns0:t>
        </ns0:is>
      </ns0:c>
      <ns0:c r="Q371" s="94" t="inlineStr">
        <ns0:is>
          <ns0:t>Premium local</ns0:t>
        </ns0:is>
      </ns0:c>
      <ns0:c r="R371" s="94" t="inlineStr">
        <ns0:is>
          <ns0:t>Nova construção</ns0:t>
        </ns0:is>
      </ns0:c>
      <ns0:c r="S371" s="94"/>
      <ns0:c r="T371" s="94" t="inlineStr">
        <ns0:is>
          <ns0:t>Não incluído no preço; disponibilidade por confirmar</ns0:t>
        </ns0:is>
      </ns0:c>
      <ns0:c r="U371" s="94"/>
      <ns0:c r="V371" s="94"/>
      <ns0:c r="W371" s="97" t="n">
        <ns0:v>0.9</ns0:v>
      </ns0:c>
      <ns0:c r="X371" s="94" t="inlineStr">
        <ns0:is>
          <ns0:t>A · Premium local; vistas estimadas</ns0:t>
        </ns0:is>
      </ns0:c>
      <ns0:c r="Y371" s="94" t="inlineStr">
        <ns0:is>
          <ns0:t>Média</ns0:t>
        </ns0:is>
      </ns0:c>
      <ns0:c r="Z371" s="94" t="inlineStr">
        <ns0:is>
          <ns0:t>Preço pedido, não transação. Garagem/arrecadação não incluídas. Desconto de 5% mencionado na fonte não aplicado automaticamente. Tipologia de planta: G. Posição posterior 6–9; intervalo preliminar 2–3, sem confirmação por altura.</ns0:t>
        </ns0:is>
      </ns0:c>
      <ns0:c r="AA371" s="94" t="inlineStr">
        <ns0:is>
          <ns0:t>Confirmar vista, orientação, disponibilidade e condições atuais.</ns0:t>
        </ns0:is>
      </ns0:c>
      <ns0:c r="AB371" s="94" t="inlineStr">
        <ns0:is>
          <ns0:t>Média</ns0:t>
        </ns0:is>
      </ns0:c>
      <ns0:c r="AJ371" s="94" t="inlineStr">
        <ns0:is>
          <ns0:t>LB</ns0:t>
        </ns0:is>
      </ns0:c>
      <ns0:c r="AK371" s="94" t="inlineStr">
        <ns0:is>
          <ns0:t>Convencional</ns0:t>
        </ns0:is>
      </ns0:c>
      <ns0:c r="AL371" s="94" t="n">
        <ns0:v>2</ns0:v>
      </ns0:c>
      <ns0:c r="AM371" s="94" t="n">
        <ns0:v>3</ns0:v>
      </ns0:c>
      <ns0:c r="AN371" s="94" t="inlineStr">
        <ns0:is>
          <ns0:t>Estimada · média</ns0:t>
        </ns0:is>
      </ns0:c>
      <ns0:c r="AO371" s="94" t="inlineStr">
        <ns0:is>
          <ns0:t>Estimativa de implantação fornecida pela gestão; piso considerado sem confirmação geométrica.</ns0:t>
        </ns0:is>
      </ns0:c>
      <ns0:c r="AP371" s="94" t="inlineStr">
        <ns0:is>
          <ns0:t>Sim</ns0:t>
        </ns0:is>
      </ns0:c>
      <ns0:c r="AQ371" s="94" t="inlineStr">
        <ns0:is>
          <ns0:t>Olhão</ns0:t>
        </ns0:is>
      </ns0:c>
      <ns0:c r="AR371" s="94" t="inlineStr">
        <ns0:is>
          <ns0:t>BelaFormosa Price List September 2026, p. 1</ns0:t>
        </ns0:is>
      </ns0:c>
    </ns0:row>
    <ns0:row r="372" ht="72" customHeight="1">
      <ns0:c r="A372" s="94" t="inlineStr">
        <ns0:is>
          <ns0:t>BelaFormosa</ns0:t>
        </ns0:is>
      </ns0:c>
      <ns0:c r="B372" s="94" t="inlineStr">
        <ns0:is>
          <ns0:t>LB508</ns0:t>
        </ns0:is>
      </ns0:c>
      <ns0:c r="C372" s="94" t="n">
        <ns0:v>5</ns0:v>
      </ns0:c>
      <ns0:c r="D372" s="94" t="inlineStr">
        <ns0:is>
          <ns0:t>T2</ns0:t>
        </ns0:is>
      </ns0:c>
      <ns0:c r="E372" s="94"/>
      <ns0:c r="F372" s="97" t="n">
        <ns0:v>89.25</ns0:v>
      </ns0:c>
      <ns0:c r="G372" s="97" t="n">
        <ns0:v>18.0</ns0:v>
      </ns0:c>
      <ns0:c r="H372" s="97" t="n">
        <ns0:v>107.25</ns0:v>
      </ns0:c>
      <ns0:c r="I372" s="95" t="n">
        <ns0:v>955000</ns0:v>
      </ns0:c>
      <ns0:c r="J372" s="94" t="n">
        <ns0:v>2026</ns0:v>
      </ns0:c>
      <ns0:c r="K372" s="95" t="n">
        <ns0:v>10700.280112044818</ns0:v>
      </ns0:c>
      <ns0:c r="L372" s="95" t="n">
        <ns0:v>8904.428904428905</ns0:v>
      </ns0:c>
      <ns0:c r="M372" s="94" t="inlineStr">
        <ns0:is>
          <ns0:t>Ativo</ns0:t>
        </ns0:is>
      </ns0:c>
      <ns0:c r="N372" s="94" t="inlineStr">
        <ns0:is>
          <ns0:t>BelaFormosa · Price List September 2026 · p. 2</ns0:t>
        </ns0:is>
      </ns0:c>
      <ns0:c r="O372" s="94"/>
      <ns0:c r="P372" s="94" t="inlineStr">
        <ns0:is>
          <ns0:t>2026-09</ns0:t>
        </ns0:is>
      </ns0:c>
      <ns0:c r="Q372" s="94" t="inlineStr">
        <ns0:is>
          <ns0:t>Premium local</ns0:t>
        </ns0:is>
      </ns0:c>
      <ns0:c r="R372" s="94" t="inlineStr">
        <ns0:is>
          <ns0:t>Nova construção</ns0:t>
        </ns0:is>
      </ns0:c>
      <ns0:c r="S372" s="94"/>
      <ns0:c r="T372" s="94" t="inlineStr">
        <ns0:is>
          <ns0:t>Não incluído no preço; disponibilidade por confirmar</ns0:t>
        </ns0:is>
      </ns0:c>
      <ns0:c r="U372" s="94"/>
      <ns0:c r="V372" s="94"/>
      <ns0:c r="W372" s="97" t="n">
        <ns0:v>0.9</ns0:v>
      </ns0:c>
      <ns0:c r="X372" s="94" t="inlineStr">
        <ns0:is>
          <ns0:t>A · Premium local; vistas estimadas</ns0:t>
        </ns0:is>
      </ns0:c>
      <ns0:c r="Y372" s="94" t="inlineStr">
        <ns0:is>
          <ns0:t>Média</ns0:t>
        </ns0:is>
      </ns0:c>
      <ns0:c r="Z372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72" s="94" t="inlineStr">
        <ns0:is>
          <ns0:t>Confirmar vista, orientação, disponibilidade e condições atuais.</ns0:t>
        </ns0:is>
      </ns0:c>
      <ns0:c r="AB372" s="94" t="inlineStr">
        <ns0:is>
          <ns0:t>Média</ns0:t>
        </ns0:is>
      </ns0:c>
      <ns0:c r="AJ372" s="94" t="inlineStr">
        <ns0:is>
          <ns0:t>LB</ns0:t>
        </ns0:is>
      </ns0:c>
      <ns0:c r="AK372" s="94" t="inlineStr">
        <ns0:is>
          <ns0:t>Convencional</ns0:t>
        </ns0:is>
      </ns0:c>
      <ns0:c r="AL372" s="94" t="n">
        <ns0:v>2</ns0:v>
      </ns0:c>
      <ns0:c r="AM372" s="94" t="n">
        <ns0:v>3</ns0:v>
      </ns0:c>
      <ns0:c r="AN372" s="94" t="inlineStr">
        <ns0:is>
          <ns0:t>Estimada · média</ns0:t>
        </ns0:is>
      </ns0:c>
      <ns0:c r="AO372" s="94" t="inlineStr">
        <ns0:is>
          <ns0:t>Estimativa de implantação fornecida pela gestão; piso considerado sem confirmação geométrica.</ns0:t>
        </ns0:is>
      </ns0:c>
      <ns0:c r="AP372" s="94" t="inlineStr">
        <ns0:is>
          <ns0:t>Sim</ns0:t>
        </ns0:is>
      </ns0:c>
      <ns0:c r="AQ372" s="94" t="inlineStr">
        <ns0:is>
          <ns0:t>Olhão</ns0:t>
        </ns0:is>
      </ns0:c>
      <ns0:c r="AR372" s="94" t="inlineStr">
        <ns0:is>
          <ns0:t>BelaFormosa Price List September 2026, p. 1</ns0:t>
        </ns0:is>
      </ns0:c>
    </ns0:row>
    <ns0:row r="373" ht="72" customHeight="1">
      <ns0:c r="A373" s="94" t="inlineStr">
        <ns0:is>
          <ns0:t>BelaFormosa</ns0:t>
        </ns0:is>
      </ns0:c>
      <ns0:c r="B373" s="94" t="inlineStr">
        <ns0:is>
          <ns0:t>LB509</ns0:t>
        </ns0:is>
      </ns0:c>
      <ns0:c r="C373" s="94" t="n">
        <ns0:v>5</ns0:v>
      </ns0:c>
      <ns0:c r="D373" s="94" t="inlineStr">
        <ns0:is>
          <ns0:t>T2 Duplex</ns0:t>
        </ns0:is>
      </ns0:c>
      <ns0:c r="E373" s="94"/>
      <ns0:c r="F373" s="97" t="n">
        <ns0:v>120.0</ns0:v>
      </ns0:c>
      <ns0:c r="G373" s="97" t="n">
        <ns0:v>170.75</ns0:v>
      </ns0:c>
      <ns0:c r="H373" s="97" t="n">
        <ns0:v>290.75</ns0:v>
      </ns0:c>
      <ns0:c r="I373" s="95" t="n">
        <ns0:v>1550000</ns0:v>
      </ns0:c>
      <ns0:c r="J373" s="94" t="n">
        <ns0:v>2026</ns0:v>
      </ns0:c>
      <ns0:c r="K373" s="95" t="n">
        <ns0:v>12916.666666666666</ns0:v>
      </ns0:c>
      <ns0:c r="L373" s="95" t="n">
        <ns0:v>5331.04041272571</ns0:v>
      </ns0:c>
      <ns0:c r="M373" s="94" t="inlineStr">
        <ns0:is>
          <ns0:t>Ativo</ns0:t>
        </ns0:is>
      </ns0:c>
      <ns0:c r="N373" s="94" t="inlineStr">
        <ns0:is>
          <ns0:t>BelaFormosa · Price List September 2026 · p. 2</ns0:t>
        </ns0:is>
      </ns0:c>
      <ns0:c r="O373" s="94"/>
      <ns0:c r="P373" s="94" t="inlineStr">
        <ns0:is>
          <ns0:t>2026-09</ns0:t>
        </ns0:is>
      </ns0:c>
      <ns0:c r="Q373" s="94" t="inlineStr">
        <ns0:is>
          <ns0:t>Premium local</ns0:t>
        </ns0:is>
      </ns0:c>
      <ns0:c r="R373" s="94" t="inlineStr">
        <ns0:is>
          <ns0:t>Nova construção</ns0:t>
        </ns0:is>
      </ns0:c>
      <ns0:c r="S373" s="94"/>
      <ns0:c r="T373" s="94" t="inlineStr">
        <ns0:is>
          <ns0:t>Não incluído no preço; disponibilidade por confirmar</ns0:t>
        </ns0:is>
      </ns0:c>
      <ns0:c r="U373" s="94"/>
      <ns0:c r="V373" s="94"/>
      <ns0:c r="W373" s="97" t="n">
        <ns0:v>0.9</ns0:v>
      </ns0:c>
      <ns0:c r="X373" s="94" t="inlineStr">
        <ns0:is>
          <ns0:t>A · Premium local; vistas estimadas</ns0:t>
        </ns0:is>
      </ns0:c>
      <ns0:c r="Y373" s="94" t="inlineStr">
        <ns0:is>
          <ns0:t>Média</ns0:t>
        </ns0:is>
      </ns0:c>
      <ns0:c r="Z373" s="94" t="inlineStr">
        <ns0:is>
          <ns0:t>Preço pedido, não transação. Garagem/arrecadação não incluídas. Desconto de 5% mencionado na fonte não aplicado automaticamente. Tipologia de planta: A. Posição posterior 6–9; intervalo preliminar 2–3, sem confirmação por altura.</ns0:t>
        </ns0:is>
      </ns0:c>
      <ns0:c r="AA373" s="94" t="inlineStr">
        <ns0:is>
          <ns0:t>Confirmar vista, orientação, disponibilidade e condições atuais.</ns0:t>
        </ns0:is>
      </ns0:c>
      <ns0:c r="AB373" s="94" t="inlineStr">
        <ns0:is>
          <ns0:t>Média</ns0:t>
        </ns0:is>
      </ns0:c>
      <ns0:c r="AJ373" s="94" t="inlineStr">
        <ns0:is>
          <ns0:t>LB</ns0:t>
        </ns0:is>
      </ns0:c>
      <ns0:c r="AK373" s="94" t="inlineStr">
        <ns0:is>
          <ns0:t>Duplex</ns0:t>
        </ns0:is>
      </ns0:c>
      <ns0:c r="AL373" s="94" t="n">
        <ns0:v>2</ns0:v>
      </ns0:c>
      <ns0:c r="AM373" s="94" t="n">
        <ns0:v>3</ns0:v>
      </ns0:c>
      <ns0:c r="AN373" s="94" t="inlineStr">
        <ns0:is>
          <ns0:t>Estimada · média</ns0:t>
        </ns0:is>
      </ns0:c>
      <ns0:c r="AO373" s="94" t="inlineStr">
        <ns0:is>
          <ns0:t>Estimativa de implantação fornecida pela gestão; piso considerado sem confirmação geométrica.</ns0:t>
        </ns0:is>
      </ns0:c>
      <ns0:c r="AP373" s="94" t="inlineStr">
        <ns0:is>
          <ns0:t>Sim</ns0:t>
        </ns0:is>
      </ns0:c>
      <ns0:c r="AQ373" s="94" t="inlineStr">
        <ns0:is>
          <ns0:t>Olhão</ns0:t>
        </ns0:is>
      </ns0:c>
      <ns0:c r="AR373" s="94" t="inlineStr">
        <ns0:is>
          <ns0:t>BelaFormosa Price List September 2026, p. 1</ns0:t>
        </ns0:is>
      </ns0:c>
    </ns0:row>
    <ns0:row r="374" ht="72" customHeight="1">
      <ns0:c r="A374" s="94" t="inlineStr">
        <ns0:is>
          <ns0:t>BelaFormosa</ns0:t>
        </ns0:is>
      </ns0:c>
      <ns0:c r="B374" s="94" t="inlineStr">
        <ns0:is>
          <ns0:t>LB602</ns0:t>
        </ns0:is>
      </ns0:c>
      <ns0:c r="C374" s="94" t="n">
        <ns0:v>6</ns0:v>
      </ns0:c>
      <ns0:c r="D374" s="94" t="inlineStr">
        <ns0:is>
          <ns0:t>T2 Rooftop</ns0:t>
        </ns0:is>
      </ns0:c>
      <ns0:c r="E374" s="94"/>
      <ns0:c r="F374" s="97" t="n">
        <ns0:v>89.25</ns0:v>
      </ns0:c>
      <ns0:c r="G374" s="97" t="n">
        <ns0:v>96.0</ns0:v>
      </ns0:c>
      <ns0:c r="H374" s="97" t="n">
        <ns0:v>185.25</ns0:v>
      </ns0:c>
      <ns0:c r="I374" s="95" t="n">
        <ns0:v>1650000</ns0:v>
      </ns0:c>
      <ns0:c r="J374" s="94" t="n">
        <ns0:v>2026</ns0:v>
      </ns0:c>
      <ns0:c r="K374" s="95" t="n">
        <ns0:v>18487.394957983193</ns0:v>
      </ns0:c>
      <ns0:c r="L374" s="95" t="n">
        <ns0:v>8906.882591093117</ns0:v>
      </ns0:c>
      <ns0:c r="M374" s="94" t="inlineStr">
        <ns0:is>
          <ns0:t>Ativo</ns0:t>
        </ns0:is>
      </ns0:c>
      <ns0:c r="N374" s="94" t="inlineStr">
        <ns0:is>
          <ns0:t>BelaFormosa · Price List September 2026 · p. 2</ns0:t>
        </ns0:is>
      </ns0:c>
      <ns0:c r="O374" s="94"/>
      <ns0:c r="P374" s="94" t="inlineStr">
        <ns0:is>
          <ns0:t>2026-09</ns0:t>
        </ns0:is>
      </ns0:c>
      <ns0:c r="Q374" s="94" t="inlineStr">
        <ns0:is>
          <ns0:t>Premium local</ns0:t>
        </ns0:is>
      </ns0:c>
      <ns0:c r="R374" s="94" t="inlineStr">
        <ns0:is>
          <ns0:t>Nova construção</ns0:t>
        </ns0:is>
      </ns0:c>
      <ns0:c r="S374" s="94"/>
      <ns0:c r="T374" s="94" t="inlineStr">
        <ns0:is>
          <ns0:t>Não incluído no preço; disponibilidade por confirmar</ns0:t>
        </ns0:is>
      </ns0:c>
      <ns0:c r="U374" s="94"/>
      <ns0:c r="V374" s="94"/>
      <ns0:c r="W374" s="97" t="n">
        <ns0:v>0.9</ns0:v>
      </ns0:c>
      <ns0:c r="X374" s="94" t="inlineStr">
        <ns0:is>
          <ns0:t>A · Premium local; vistas estimadas</ns0:t>
        </ns0:is>
      </ns0:c>
      <ns0:c r="Y374" s="94" t="inlineStr">
        <ns0:is>
          <ns0:t>Média</ns0:t>
        </ns0:is>
      </ns0:c>
      <ns0:c r="Z374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74" s="94" t="inlineStr">
        <ns0:is>
          <ns0:t>Confirmar vista, orientação, disponibilidade e condições atuais.</ns0:t>
        </ns0:is>
      </ns0:c>
      <ns0:c r="AB374" s="94" t="inlineStr">
        <ns0:is>
          <ns0:t>Média</ns0:t>
        </ns0:is>
      </ns0:c>
      <ns0:c r="AJ374" s="94" t="inlineStr">
        <ns0:is>
          <ns0:t>LB</ns0:t>
        </ns0:is>
      </ns0:c>
      <ns0:c r="AK374" s="94" t="inlineStr">
        <ns0:is>
          <ns0:t>Rooftop</ns0:t>
        </ns0:is>
      </ns0:c>
      <ns0:c r="AL374" s="94" t="n">
        <ns0:v>3</ns0:v>
      </ns0:c>
      <ns0:c r="AM374" s="94" t="n">
        <ns0:v>4</ns0:v>
      </ns0:c>
      <ns0:c r="AN374" s="94" t="inlineStr">
        <ns0:is>
          <ns0:t>Estimada · média</ns0:t>
        </ns0:is>
      </ns0:c>
      <ns0:c r="AO374" s="94" t="inlineStr">
        <ns0:is>
          <ns0:t>Estimativa de implantação fornecida pela gestão; piso considerado sem confirmação geométrica.</ns0:t>
        </ns0:is>
      </ns0:c>
      <ns0:c r="AP374" s="94" t="inlineStr">
        <ns0:is>
          <ns0:t>Sim</ns0:t>
        </ns0:is>
      </ns0:c>
      <ns0:c r="AQ374" s="94" t="inlineStr">
        <ns0:is>
          <ns0:t>Olhão</ns0:t>
        </ns0:is>
      </ns0:c>
      <ns0:c r="AR374" s="94" t="inlineStr">
        <ns0:is>
          <ns0:t>BelaFormosa Price List September 2026, p. 1</ns0:t>
        </ns0:is>
      </ns0:c>
    </ns0:row>
    <ns0:row r="375" ht="72" customHeight="1">
      <ns0:c r="A375" s="94" t="inlineStr">
        <ns0:is>
          <ns0:t>BelaFormosa</ns0:t>
        </ns0:is>
      </ns0:c>
      <ns0:c r="B375" s="94" t="inlineStr">
        <ns0:is>
          <ns0:t>LB603</ns0:t>
        </ns0:is>
      </ns0:c>
      <ns0:c r="C375" s="94" t="n">
        <ns0:v>6</ns0:v>
      </ns0:c>
      <ns0:c r="D375" s="94" t="inlineStr">
        <ns0:is>
          <ns0:t>T1 Rooftop</ns0:t>
        </ns0:is>
      </ns0:c>
      <ns0:c r="E375" s="94"/>
      <ns0:c r="F375" s="97" t="n">
        <ns0:v>60.25</ns0:v>
      </ns0:c>
      <ns0:c r="G375" s="97" t="n">
        <ns0:v>60.0</ns0:v>
      </ns0:c>
      <ns0:c r="H375" s="97" t="n">
        <ns0:v>120.25</ns0:v>
      </ns0:c>
      <ns0:c r="I375" s="95" t="n">
        <ns0:v>1250000</ns0:v>
      </ns0:c>
      <ns0:c r="J375" s="94" t="n">
        <ns0:v>2026</ns0:v>
      </ns0:c>
      <ns0:c r="K375" s="95" t="n">
        <ns0:v>20746.887966804978</ns0:v>
      </ns0:c>
      <ns0:c r="L375" s="95" t="n">
        <ns0:v>10395.010395010395</ns0:v>
      </ns0:c>
      <ns0:c r="M375" s="94" t="inlineStr">
        <ns0:is>
          <ns0:t>Ativo</ns0:t>
        </ns0:is>
      </ns0:c>
      <ns0:c r="N375" s="94" t="inlineStr">
        <ns0:is>
          <ns0:t>BelaFormosa · Price List September 2026 · p. 2</ns0:t>
        </ns0:is>
      </ns0:c>
      <ns0:c r="O375" s="94"/>
      <ns0:c r="P375" s="94" t="inlineStr">
        <ns0:is>
          <ns0:t>2026-09</ns0:t>
        </ns0:is>
      </ns0:c>
      <ns0:c r="Q375" s="94" t="inlineStr">
        <ns0:is>
          <ns0:t>Premium local</ns0:t>
        </ns0:is>
      </ns0:c>
      <ns0:c r="R375" s="94" t="inlineStr">
        <ns0:is>
          <ns0:t>Nova construção</ns0:t>
        </ns0:is>
      </ns0:c>
      <ns0:c r="S375" s="94"/>
      <ns0:c r="T375" s="94" t="inlineStr">
        <ns0:is>
          <ns0:t>Não incluído no preço; disponibilidade por confirmar</ns0:t>
        </ns0:is>
      </ns0:c>
      <ns0:c r="U375" s="94"/>
      <ns0:c r="V375" s="94"/>
      <ns0:c r="W375" s="97" t="n">
        <ns0:v>0.9</ns0:v>
      </ns0:c>
      <ns0:c r="X375" s="94" t="inlineStr">
        <ns0:is>
          <ns0:t>A · Premium local; vistas estimadas</ns0:t>
        </ns0:is>
      </ns0:c>
      <ns0:c r="Y375" s="94" t="inlineStr">
        <ns0:is>
          <ns0:t>Média</ns0:t>
        </ns0:is>
      </ns0:c>
      <ns0:c r="Z375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375" s="94" t="inlineStr">
        <ns0:is>
          <ns0:t>Confirmar vista, orientação, disponibilidade e condições atuais.</ns0:t>
        </ns0:is>
      </ns0:c>
      <ns0:c r="AB375" s="94" t="inlineStr">
        <ns0:is>
          <ns0:t>Média</ns0:t>
        </ns0:is>
      </ns0:c>
      <ns0:c r="AJ375" s="94" t="inlineStr">
        <ns0:is>
          <ns0:t>LB</ns0:t>
        </ns0:is>
      </ns0:c>
      <ns0:c r="AK375" s="94" t="inlineStr">
        <ns0:is>
          <ns0:t>Rooftop</ns0:t>
        </ns0:is>
      </ns0:c>
      <ns0:c r="AL375" s="94" t="n">
        <ns0:v>3</ns0:v>
      </ns0:c>
      <ns0:c r="AM375" s="94" t="n">
        <ns0:v>4</ns0:v>
      </ns0:c>
      <ns0:c r="AN375" s="94" t="inlineStr">
        <ns0:is>
          <ns0:t>Estimada · média</ns0:t>
        </ns0:is>
      </ns0:c>
      <ns0:c r="AO375" s="94" t="inlineStr">
        <ns0:is>
          <ns0:t>Estimativa de implantação fornecida pela gestão; piso considerado sem confirmação geométrica.</ns0:t>
        </ns0:is>
      </ns0:c>
      <ns0:c r="AP375" s="94" t="inlineStr">
        <ns0:is>
          <ns0:t>Sim</ns0:t>
        </ns0:is>
      </ns0:c>
      <ns0:c r="AQ375" s="94" t="inlineStr">
        <ns0:is>
          <ns0:t>Olhão</ns0:t>
        </ns0:is>
      </ns0:c>
      <ns0:c r="AR375" s="94" t="inlineStr">
        <ns0:is>
          <ns0:t>BelaFormosa Price List September 2026, p. 1</ns0:t>
        </ns0:is>
      </ns0:c>
    </ns0:row>
    <ns0:row r="376" ht="72" customHeight="1">
      <ns0:c r="A376" s="94" t="inlineStr">
        <ns0:is>
          <ns0:t>BelaFormosa</ns0:t>
        </ns0:is>
      </ns0:c>
      <ns0:c r="B376" s="94" t="inlineStr">
        <ns0:is>
          <ns0:t>LB604</ns0:t>
        </ns0:is>
      </ns0:c>
      <ns0:c r="C376" s="94" t="n">
        <ns0:v>6</ns0:v>
      </ns0:c>
      <ns0:c r="D376" s="94" t="inlineStr">
        <ns0:is>
          <ns0:t>T1 Rooftop</ns0:t>
        </ns0:is>
      </ns0:c>
      <ns0:c r="E376" s="94"/>
      <ns0:c r="F376" s="97" t="n">
        <ns0:v>60.25</ns0:v>
      </ns0:c>
      <ns0:c r="G376" s="97" t="n">
        <ns0:v>60.0</ns0:v>
      </ns0:c>
      <ns0:c r="H376" s="97" t="n">
        <ns0:v>120.25</ns0:v>
      </ns0:c>
      <ns0:c r="I376" s="95" t="n">
        <ns0:v>1265000</ns0:v>
      </ns0:c>
      <ns0:c r="J376" s="94" t="n">
        <ns0:v>2026</ns0:v>
      </ns0:c>
      <ns0:c r="K376" s="95" t="n">
        <ns0:v>20995.85062240664</ns0:v>
      </ns0:c>
      <ns0:c r="L376" s="95" t="n">
        <ns0:v>10519.75051975052</ns0:v>
      </ns0:c>
      <ns0:c r="M376" s="94" t="inlineStr">
        <ns0:is>
          <ns0:t>Ativo</ns0:t>
        </ns0:is>
      </ns0:c>
      <ns0:c r="N376" s="94" t="inlineStr">
        <ns0:is>
          <ns0:t>BelaFormosa · Price List September 2026 · p. 2</ns0:t>
        </ns0:is>
      </ns0:c>
      <ns0:c r="O376" s="94"/>
      <ns0:c r="P376" s="94" t="inlineStr">
        <ns0:is>
          <ns0:t>2026-09</ns0:t>
        </ns0:is>
      </ns0:c>
      <ns0:c r="Q376" s="94" t="inlineStr">
        <ns0:is>
          <ns0:t>Premium local</ns0:t>
        </ns0:is>
      </ns0:c>
      <ns0:c r="R376" s="94" t="inlineStr">
        <ns0:is>
          <ns0:t>Nova construção</ns0:t>
        </ns0:is>
      </ns0:c>
      <ns0:c r="S376" s="94"/>
      <ns0:c r="T376" s="94" t="inlineStr">
        <ns0:is>
          <ns0:t>Não incluído no preço; disponibilidade por confirmar</ns0:t>
        </ns0:is>
      </ns0:c>
      <ns0:c r="U376" s="94"/>
      <ns0:c r="V376" s="94"/>
      <ns0:c r="W376" s="97" t="n">
        <ns0:v>0.9</ns0:v>
      </ns0:c>
      <ns0:c r="X376" s="94" t="inlineStr">
        <ns0:is>
          <ns0:t>A · Premium local; vistas estimadas</ns0:t>
        </ns0:is>
      </ns0:c>
      <ns0:c r="Y376" s="94" t="inlineStr">
        <ns0:is>
          <ns0:t>Média</ns0:t>
        </ns0:is>
      </ns0:c>
      <ns0:c r="Z376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376" s="94" t="inlineStr">
        <ns0:is>
          <ns0:t>Confirmar vista, orientação, disponibilidade e condições atuais.</ns0:t>
        </ns0:is>
      </ns0:c>
      <ns0:c r="AB376" s="94" t="inlineStr">
        <ns0:is>
          <ns0:t>Média</ns0:t>
        </ns0:is>
      </ns0:c>
      <ns0:c r="AJ376" s="94" t="inlineStr">
        <ns0:is>
          <ns0:t>LB</ns0:t>
        </ns0:is>
      </ns0:c>
      <ns0:c r="AK376" s="94" t="inlineStr">
        <ns0:is>
          <ns0:t>Rooftop</ns0:t>
        </ns0:is>
      </ns0:c>
      <ns0:c r="AL376" s="94" t="n">
        <ns0:v>3</ns0:v>
      </ns0:c>
      <ns0:c r="AM376" s="94" t="n">
        <ns0:v>4</ns0:v>
      </ns0:c>
      <ns0:c r="AN376" s="94" t="inlineStr">
        <ns0:is>
          <ns0:t>Estimada · média</ns0:t>
        </ns0:is>
      </ns0:c>
      <ns0:c r="AO376" s="94" t="inlineStr">
        <ns0:is>
          <ns0:t>Estimativa de implantação fornecida pela gestão; piso considerado sem confirmação geométrica.</ns0:t>
        </ns0:is>
      </ns0:c>
      <ns0:c r="AP376" s="94" t="inlineStr">
        <ns0:is>
          <ns0:t>Sim</ns0:t>
        </ns0:is>
      </ns0:c>
      <ns0:c r="AQ376" s="94" t="inlineStr">
        <ns0:is>
          <ns0:t>Olhão</ns0:t>
        </ns0:is>
      </ns0:c>
      <ns0:c r="AR376" s="94" t="inlineStr">
        <ns0:is>
          <ns0:t>BelaFormosa Price List September 2026, p. 1</ns0:t>
        </ns0:is>
      </ns0:c>
    </ns0:row>
    <ns0:row r="377" ht="72" customHeight="1">
      <ns0:c r="A377" s="94" t="inlineStr">
        <ns0:is>
          <ns0:t>BelaFormosa</ns0:t>
        </ns0:is>
      </ns0:c>
      <ns0:c r="B377" s="94" t="inlineStr">
        <ns0:is>
          <ns0:t>LB605</ns0:t>
        </ns0:is>
      </ns0:c>
      <ns0:c r="C377" s="94" t="n">
        <ns0:v>6</ns0:v>
      </ns0:c>
      <ns0:c r="D377" s="94" t="inlineStr">
        <ns0:is>
          <ns0:t>T2 Rooftop</ns0:t>
        </ns0:is>
      </ns0:c>
      <ns0:c r="E377" s="94"/>
      <ns0:c r="F377" s="97" t="n">
        <ns0:v>89.25</ns0:v>
      </ns0:c>
      <ns0:c r="G377" s="97" t="n">
        <ns0:v>104.0</ns0:v>
      </ns0:c>
      <ns0:c r="H377" s="97" t="n">
        <ns0:v>193.25</ns0:v>
      </ns0:c>
      <ns0:c r="I377" s="95" t="n">
        <ns0:v>1650000</ns0:v>
      </ns0:c>
      <ns0:c r="J377" s="94" t="n">
        <ns0:v>2026</ns0:v>
      </ns0:c>
      <ns0:c r="K377" s="95" t="n">
        <ns0:v>18487.394957983193</ns0:v>
      </ns0:c>
      <ns0:c r="L377" s="95" t="n">
        <ns0:v>8538.16300129366</ns0:v>
      </ns0:c>
      <ns0:c r="M377" s="94" t="inlineStr">
        <ns0:is>
          <ns0:t>Ativo</ns0:t>
        </ns0:is>
      </ns0:c>
      <ns0:c r="N377" s="94" t="inlineStr">
        <ns0:is>
          <ns0:t>BelaFormosa · Price List September 2026 · p. 2</ns0:t>
        </ns0:is>
      </ns0:c>
      <ns0:c r="O377" s="94"/>
      <ns0:c r="P377" s="94" t="inlineStr">
        <ns0:is>
          <ns0:t>2026-09</ns0:t>
        </ns0:is>
      </ns0:c>
      <ns0:c r="Q377" s="94" t="inlineStr">
        <ns0:is>
          <ns0:t>Premium local</ns0:t>
        </ns0:is>
      </ns0:c>
      <ns0:c r="R377" s="94" t="inlineStr">
        <ns0:is>
          <ns0:t>Nova construção</ns0:t>
        </ns0:is>
      </ns0:c>
      <ns0:c r="S377" s="94"/>
      <ns0:c r="T377" s="94" t="inlineStr">
        <ns0:is>
          <ns0:t>Não incluído no preço; disponibilidade por confirmar</ns0:t>
        </ns0:is>
      </ns0:c>
      <ns0:c r="U377" s="94"/>
      <ns0:c r="V377" s="94"/>
      <ns0:c r="W377" s="97" t="n">
        <ns0:v>0.9</ns0:v>
      </ns0:c>
      <ns0:c r="X377" s="94" t="inlineStr">
        <ns0:is>
          <ns0:t>A · Premium local; vistas estimadas</ns0:t>
        </ns0:is>
      </ns0:c>
      <ns0:c r="Y377" s="94" t="inlineStr">
        <ns0:is>
          <ns0:t>Média</ns0:t>
        </ns0:is>
      </ns0:c>
      <ns0:c r="Z377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377" s="94" t="inlineStr">
        <ns0:is>
          <ns0:t>Confirmar vista, orientação, disponibilidade e condições atuais.</ns0:t>
        </ns0:is>
      </ns0:c>
      <ns0:c r="AB377" s="94" t="inlineStr">
        <ns0:is>
          <ns0:t>Média</ns0:t>
        </ns0:is>
      </ns0:c>
      <ns0:c r="AJ377" s="94" t="inlineStr">
        <ns0:is>
          <ns0:t>LB</ns0:t>
        </ns0:is>
      </ns0:c>
      <ns0:c r="AK377" s="94" t="inlineStr">
        <ns0:is>
          <ns0:t>Rooftop</ns0:t>
        </ns0:is>
      </ns0:c>
      <ns0:c r="AL377" s="94" t="n">
        <ns0:v>3</ns0:v>
      </ns0:c>
      <ns0:c r="AM377" s="94" t="n">
        <ns0:v>4</ns0:v>
      </ns0:c>
      <ns0:c r="AN377" s="94" t="inlineStr">
        <ns0:is>
          <ns0:t>Estimada · média</ns0:t>
        </ns0:is>
      </ns0:c>
      <ns0:c r="AO377" s="94" t="inlineStr">
        <ns0:is>
          <ns0:t>Estimativa de implantação fornecida pela gestão; piso considerado sem confirmação geométrica.</ns0:t>
        </ns0:is>
      </ns0:c>
      <ns0:c r="AP377" s="94" t="inlineStr">
        <ns0:is>
          <ns0:t>Sim</ns0:t>
        </ns0:is>
      </ns0:c>
      <ns0:c r="AQ377" s="94" t="inlineStr">
        <ns0:is>
          <ns0:t>Olhão</ns0:t>
        </ns0:is>
      </ns0:c>
      <ns0:c r="AR377" s="94" t="inlineStr">
        <ns0:is>
          <ns0:t>BelaFormosa Price List September 2026, p. 1</ns0:t>
        </ns0:is>
      </ns0:c>
    </ns0:row>
    <ns0:row r="378" ht="72" customHeight="1">
      <ns0:c r="A378" s="94" t="inlineStr">
        <ns0:is>
          <ns0:t>BelaFormosa</ns0:t>
        </ns0:is>
      </ns0:c>
      <ns0:c r="B378" s="94" t="inlineStr">
        <ns0:is>
          <ns0:t>LB606</ns0:t>
        </ns0:is>
      </ns0:c>
      <ns0:c r="C378" s="94" t="n">
        <ns0:v>6</ns0:v>
      </ns0:c>
      <ns0:c r="D378" s="94" t="inlineStr">
        <ns0:is>
          <ns0:t>T2 Rooftop</ns0:t>
        </ns0:is>
      </ns0:c>
      <ns0:c r="E378" s="94"/>
      <ns0:c r="F378" s="97" t="n">
        <ns0:v>89.25</ns0:v>
      </ns0:c>
      <ns0:c r="G378" s="97" t="n">
        <ns0:v>104.0</ns0:v>
      </ns0:c>
      <ns0:c r="H378" s="97" t="n">
        <ns0:v>193.25</ns0:v>
      </ns0:c>
      <ns0:c r="I378" s="95" t="n">
        <ns0:v>1750000</ns0:v>
      </ns0:c>
      <ns0:c r="J378" s="94" t="n">
        <ns0:v>2026</ns0:v>
      </ns0:c>
      <ns0:c r="K378" s="95" t="n">
        <ns0:v>19607.843137254902</ns0:v>
      </ns0:c>
      <ns0:c r="L378" s="95" t="n">
        <ns0:v>9055.62742561449</ns0:v>
      </ns0:c>
      <ns0:c r="M378" s="94" t="inlineStr">
        <ns0:is>
          <ns0:t>Ativo</ns0:t>
        </ns0:is>
      </ns0:c>
      <ns0:c r="N378" s="94" t="inlineStr">
        <ns0:is>
          <ns0:t>BelaFormosa · Price List September 2026 · p. 2</ns0:t>
        </ns0:is>
      </ns0:c>
      <ns0:c r="O378" s="94"/>
      <ns0:c r="P378" s="94" t="inlineStr">
        <ns0:is>
          <ns0:t>2026-09</ns0:t>
        </ns0:is>
      </ns0:c>
      <ns0:c r="Q378" s="94" t="inlineStr">
        <ns0:is>
          <ns0:t>Premium local</ns0:t>
        </ns0:is>
      </ns0:c>
      <ns0:c r="R378" s="94" t="inlineStr">
        <ns0:is>
          <ns0:t>Nova construção</ns0:t>
        </ns0:is>
      </ns0:c>
      <ns0:c r="S378" s="94"/>
      <ns0:c r="T378" s="94" t="inlineStr">
        <ns0:is>
          <ns0:t>Não incluído no preço; disponibilidade por confirmar</ns0:t>
        </ns0:is>
      </ns0:c>
      <ns0:c r="U378" s="94"/>
      <ns0:c r="V378" s="94"/>
      <ns0:c r="W378" s="97" t="n">
        <ns0:v>0.9</ns0:v>
      </ns0:c>
      <ns0:c r="X378" s="94" t="inlineStr">
        <ns0:is>
          <ns0:t>A · Premium local; vistas estimadas</ns0:t>
        </ns0:is>
      </ns0:c>
      <ns0:c r="Y378" s="94" t="inlineStr">
        <ns0:is>
          <ns0:t>Média</ns0:t>
        </ns0:is>
      </ns0:c>
      <ns0:c r="Z378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78" s="94" t="inlineStr">
        <ns0:is>
          <ns0:t>Confirmar vista, orientação, disponibilidade e condições atuais.</ns0:t>
        </ns0:is>
      </ns0:c>
      <ns0:c r="AB378" s="94" t="inlineStr">
        <ns0:is>
          <ns0:t>Média</ns0:t>
        </ns0:is>
      </ns0:c>
      <ns0:c r="AJ378" s="94" t="inlineStr">
        <ns0:is>
          <ns0:t>LB</ns0:t>
        </ns0:is>
      </ns0:c>
      <ns0:c r="AK378" s="94" t="inlineStr">
        <ns0:is>
          <ns0:t>Rooftop</ns0:t>
        </ns0:is>
      </ns0:c>
      <ns0:c r="AL378" s="94" t="n">
        <ns0:v>2</ns0:v>
      </ns0:c>
      <ns0:c r="AM378" s="94" t="n">
        <ns0:v>3</ns0:v>
      </ns0:c>
      <ns0:c r="AN378" s="94" t="inlineStr">
        <ns0:is>
          <ns0:t>Estimada · média</ns0:t>
        </ns0:is>
      </ns0:c>
      <ns0:c r="AO378" s="94" t="inlineStr">
        <ns0:is>
          <ns0:t>Estimativa de implantação fornecida pela gestão; piso considerado sem confirmação geométrica.</ns0:t>
        </ns0:is>
      </ns0:c>
      <ns0:c r="AP378" s="94" t="inlineStr">
        <ns0:is>
          <ns0:t>Sim</ns0:t>
        </ns0:is>
      </ns0:c>
      <ns0:c r="AQ378" s="94" t="inlineStr">
        <ns0:is>
          <ns0:t>Olhão</ns0:t>
        </ns0:is>
      </ns0:c>
      <ns0:c r="AR378" s="94" t="inlineStr">
        <ns0:is>
          <ns0:t>BelaFormosa Price List September 2026, p. 1</ns0:t>
        </ns0:is>
      </ns0:c>
    </ns0:row>
    <ns0:row r="379" ht="72" customHeight="1">
      <ns0:c r="A379" s="94" t="inlineStr">
        <ns0:is>
          <ns0:t>BelaFormosa</ns0:t>
        </ns0:is>
      </ns0:c>
      <ns0:c r="B379" s="94" t="inlineStr">
        <ns0:is>
          <ns0:t>LB607</ns0:t>
        </ns0:is>
      </ns0:c>
      <ns0:c r="C379" s="94" t="n">
        <ns0:v>6</ns0:v>
      </ns0:c>
      <ns0:c r="D379" s="94" t="inlineStr">
        <ns0:is>
          <ns0:t>T3 Rooftop</ns0:t>
        </ns0:is>
      </ns0:c>
      <ns0:c r="E379" s="94"/>
      <ns0:c r="F379" s="97" t="n">
        <ns0:v>120.5</ns0:v>
      </ns0:c>
      <ns0:c r="G379" s="97" t="n">
        <ns0:v>130.75</ns0:v>
      </ns0:c>
      <ns0:c r="H379" s="97" t="n">
        <ns0:v>251.25</ns0:v>
      </ns0:c>
      <ns0:c r="I379" s="95" t="n">
        <ns0:v>1950000</ns0:v>
      </ns0:c>
      <ns0:c r="J379" s="94" t="n">
        <ns0:v>2026</ns0:v>
      </ns0:c>
      <ns0:c r="K379" s="95" t="n">
        <ns0:v>16182.572614107883</ns0:v>
      </ns0:c>
      <ns0:c r="L379" s="95" t="n">
        <ns0:v>7761.194029850746</ns0:v>
      </ns0:c>
      <ns0:c r="M379" s="94" t="inlineStr">
        <ns0:is>
          <ns0:t>Ativo</ns0:t>
        </ns0:is>
      </ns0:c>
      <ns0:c r="N379" s="94" t="inlineStr">
        <ns0:is>
          <ns0:t>BelaFormosa · Price List September 2026 · p. 2</ns0:t>
        </ns0:is>
      </ns0:c>
      <ns0:c r="O379" s="94"/>
      <ns0:c r="P379" s="94" t="inlineStr">
        <ns0:is>
          <ns0:t>2026-09</ns0:t>
        </ns0:is>
      </ns0:c>
      <ns0:c r="Q379" s="94" t="inlineStr">
        <ns0:is>
          <ns0:t>Premium local</ns0:t>
        </ns0:is>
      </ns0:c>
      <ns0:c r="R379" s="94" t="inlineStr">
        <ns0:is>
          <ns0:t>Nova construção</ns0:t>
        </ns0:is>
      </ns0:c>
      <ns0:c r="S379" s="94"/>
      <ns0:c r="T379" s="94" t="inlineStr">
        <ns0:is>
          <ns0:t>Não incluído no preço; disponibilidade por confirmar</ns0:t>
        </ns0:is>
      </ns0:c>
      <ns0:c r="U379" s="94"/>
      <ns0:c r="V379" s="94"/>
      <ns0:c r="W379" s="97" t="n">
        <ns0:v>0.9</ns0:v>
      </ns0:c>
      <ns0:c r="X379" s="94" t="inlineStr">
        <ns0:is>
          <ns0:t>A · Premium local; vistas estimadas</ns0:t>
        </ns0:is>
      </ns0:c>
      <ns0:c r="Y379" s="94" t="inlineStr">
        <ns0:is>
          <ns0:t>Média</ns0:t>
        </ns0:is>
      </ns0:c>
      <ns0:c r="Z379" s="94" t="inlineStr">
        <ns0:is>
          <ns0:t>Preço pedido, não transação. Garagem/arrecadação não incluídas. Desconto de 5% mencionado na fonte não aplicado automaticamente. Tipologia de planta: G. Posição posterior 6–9; intervalo preliminar 2–3, sem confirmação por altura.</ns0:t>
        </ns0:is>
      </ns0:c>
      <ns0:c r="AA379" s="94" t="inlineStr">
        <ns0:is>
          <ns0:t>Confirmar vista, orientação, disponibilidade e condições atuais.</ns0:t>
        </ns0:is>
      </ns0:c>
      <ns0:c r="AB379" s="94" t="inlineStr">
        <ns0:is>
          <ns0:t>Média</ns0:t>
        </ns0:is>
      </ns0:c>
      <ns0:c r="AJ379" s="94" t="inlineStr">
        <ns0:is>
          <ns0:t>LB</ns0:t>
        </ns0:is>
      </ns0:c>
      <ns0:c r="AK379" s="94" t="inlineStr">
        <ns0:is>
          <ns0:t>Rooftop</ns0:t>
        </ns0:is>
      </ns0:c>
      <ns0:c r="AL379" s="94" t="n">
        <ns0:v>2</ns0:v>
      </ns0:c>
      <ns0:c r="AM379" s="94" t="n">
        <ns0:v>3</ns0:v>
      </ns0:c>
      <ns0:c r="AN379" s="94" t="inlineStr">
        <ns0:is>
          <ns0:t>Estimada · média</ns0:t>
        </ns0:is>
      </ns0:c>
      <ns0:c r="AO379" s="94" t="inlineStr">
        <ns0:is>
          <ns0:t>Estimativa de implantação fornecida pela gestão; piso considerado sem confirmação geométrica.</ns0:t>
        </ns0:is>
      </ns0:c>
      <ns0:c r="AP379" s="94" t="inlineStr">
        <ns0:is>
          <ns0:t>Sim</ns0:t>
        </ns0:is>
      </ns0:c>
      <ns0:c r="AQ379" s="94" t="inlineStr">
        <ns0:is>
          <ns0:t>Olhão</ns0:t>
        </ns0:is>
      </ns0:c>
      <ns0:c r="AR379" s="94" t="inlineStr">
        <ns0:is>
          <ns0:t>BelaFormosa Price List September 2026, p. 1</ns0:t>
        </ns0:is>
      </ns0:c>
    </ns0:row>
    <ns0:row r="380" ht="72" customHeight="1">
      <ns0:c r="A380" s="94" t="inlineStr">
        <ns0:is>
          <ns0:t>BelaFormosa</ns0:t>
        </ns0:is>
      </ns0:c>
      <ns0:c r="B380" s="94" t="inlineStr">
        <ns0:is>
          <ns0:t>LB608</ns0:t>
        </ns0:is>
      </ns0:c>
      <ns0:c r="C380" s="94" t="n">
        <ns0:v>6</ns0:v>
      </ns0:c>
      <ns0:c r="D380" s="94" t="inlineStr">
        <ns0:is>
          <ns0:t>T2 Rooftop</ns0:t>
        </ns0:is>
      </ns0:c>
      <ns0:c r="E380" s="94"/>
      <ns0:c r="F380" s="97" t="n">
        <ns0:v>89.25</ns0:v>
      </ns0:c>
      <ns0:c r="G380" s="97" t="n">
        <ns0:v>96.0</ns0:v>
      </ns0:c>
      <ns0:c r="H380" s="97" t="n">
        <ns0:v>185.25</ns0:v>
      </ns0:c>
      <ns0:c r="I380" s="95" t="n">
        <ns0:v>1700000</ns0:v>
      </ns0:c>
      <ns0:c r="J380" s="94" t="n">
        <ns0:v>2026</ns0:v>
      </ns0:c>
      <ns0:c r="K380" s="95" t="n">
        <ns0:v>19047.619047619046</ns0:v>
      </ns0:c>
      <ns0:c r="L380" s="95" t="n">
        <ns0:v>9176.788124156545</ns0:v>
      </ns0:c>
      <ns0:c r="M380" s="94" t="inlineStr">
        <ns0:is>
          <ns0:t>Ativo</ns0:t>
        </ns0:is>
      </ns0:c>
      <ns0:c r="N380" s="94" t="inlineStr">
        <ns0:is>
          <ns0:t>BelaFormosa · Price List September 2026 · p. 2</ns0:t>
        </ns0:is>
      </ns0:c>
      <ns0:c r="O380" s="94"/>
      <ns0:c r="P380" s="94" t="inlineStr">
        <ns0:is>
          <ns0:t>2026-09</ns0:t>
        </ns0:is>
      </ns0:c>
      <ns0:c r="Q380" s="94" t="inlineStr">
        <ns0:is>
          <ns0:t>Premium local</ns0:t>
        </ns0:is>
      </ns0:c>
      <ns0:c r="R380" s="94" t="inlineStr">
        <ns0:is>
          <ns0:t>Nova construção</ns0:t>
        </ns0:is>
      </ns0:c>
      <ns0:c r="S380" s="94"/>
      <ns0:c r="T380" s="94" t="inlineStr">
        <ns0:is>
          <ns0:t>Não incluído no preço; disponibilidade por confirmar</ns0:t>
        </ns0:is>
      </ns0:c>
      <ns0:c r="U380" s="94"/>
      <ns0:c r="V380" s="94"/>
      <ns0:c r="W380" s="97" t="n">
        <ns0:v>0.9</ns0:v>
      </ns0:c>
      <ns0:c r="X380" s="94" t="inlineStr">
        <ns0:is>
          <ns0:t>A · Premium local; vistas estimadas</ns0:t>
        </ns0:is>
      </ns0:c>
      <ns0:c r="Y380" s="94" t="inlineStr">
        <ns0:is>
          <ns0:t>Média</ns0:t>
        </ns0:is>
      </ns0:c>
      <ns0:c r="Z380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380" s="94" t="inlineStr">
        <ns0:is>
          <ns0:t>Confirmar vista, orientação, disponibilidade e condições atuais.</ns0:t>
        </ns0:is>
      </ns0:c>
      <ns0:c r="AB380" s="94" t="inlineStr">
        <ns0:is>
          <ns0:t>Média</ns0:t>
        </ns0:is>
      </ns0:c>
      <ns0:c r="AJ380" s="94" t="inlineStr">
        <ns0:is>
          <ns0:t>LB</ns0:t>
        </ns0:is>
      </ns0:c>
      <ns0:c r="AK380" s="94" t="inlineStr">
        <ns0:is>
          <ns0:t>Rooftop</ns0:t>
        </ns0:is>
      </ns0:c>
      <ns0:c r="AL380" s="94" t="n">
        <ns0:v>2</ns0:v>
      </ns0:c>
      <ns0:c r="AM380" s="94" t="n">
        <ns0:v>3</ns0:v>
      </ns0:c>
      <ns0:c r="AN380" s="94" t="inlineStr">
        <ns0:is>
          <ns0:t>Estimada · média</ns0:t>
        </ns0:is>
      </ns0:c>
      <ns0:c r="AO380" s="94" t="inlineStr">
        <ns0:is>
          <ns0:t>Estimativa de implantação fornecida pela gestão; piso considerado sem confirmação geométrica.</ns0:t>
        </ns0:is>
      </ns0:c>
      <ns0:c r="AP380" s="94" t="inlineStr">
        <ns0:is>
          <ns0:t>Sim</ns0:t>
        </ns0:is>
      </ns0:c>
      <ns0:c r="AQ380" s="94" t="inlineStr">
        <ns0:is>
          <ns0:t>Olhão</ns0:t>
        </ns0:is>
      </ns0:c>
      <ns0:c r="AR380" s="94" t="inlineStr">
        <ns0:is>
          <ns0:t>BelaFormosa Price List September 2026, p. 1</ns0:t>
        </ns0:is>
      </ns0:c>
    </ns0:row>
    <ns0:row r="381" ht="72" customHeight="1">
      <ns0:c r="A381" s="94" t="inlineStr">
        <ns0:is>
          <ns0:t>BelaFormosa</ns0:t>
        </ns0:is>
      </ns0:c>
      <ns0:c r="B381" s="94" t="inlineStr">
        <ns0:is>
          <ns0:t>LF101</ns0:t>
        </ns0:is>
      </ns0:c>
      <ns0:c r="C381" s="94" t="n">
        <ns0:v>1</ns0:v>
      </ns0:c>
      <ns0:c r="D381" s="94" t="inlineStr">
        <ns0:is>
          <ns0:t>T2</ns0:t>
        </ns0:is>
      </ns0:c>
      <ns0:c r="E381" s="94"/>
      <ns0:c r="F381" s="97" t="n">
        <ns0:v>100.25</ns0:v>
      </ns0:c>
      <ns0:c r="G381" s="97" t="n">
        <ns0:v>20.0</ns0:v>
      </ns0:c>
      <ns0:c r="H381" s="97" t="n">
        <ns0:v>120.25</ns0:v>
      </ns0:c>
      <ns0:c r="I381" s="95" t="n">
        <ns0:v>830000</ns0:v>
      </ns0:c>
      <ns0:c r="J381" s="94" t="n">
        <ns0:v>2026</ns0:v>
      </ns0:c>
      <ns0:c r="K381" s="95" t="n">
        <ns0:v>8279.30174563591</ns0:v>
      </ns0:c>
      <ns0:c r="L381" s="95" t="n">
        <ns0:v>6902.286902286903</ns0:v>
      </ns0:c>
      <ns0:c r="M381" s="94" t="inlineStr">
        <ns0:is>
          <ns0:t>Ativo</ns0:t>
        </ns0:is>
      </ns0:c>
      <ns0:c r="N381" s="94" t="inlineStr">
        <ns0:is>
          <ns0:t>BelaFormosa · Price List September 2026 · p. 2</ns0:t>
        </ns0:is>
      </ns0:c>
      <ns0:c r="O381" s="94"/>
      <ns0:c r="P381" s="94" t="inlineStr">
        <ns0:is>
          <ns0:t>2026-09</ns0:t>
        </ns0:is>
      </ns0:c>
      <ns0:c r="Q381" s="94" t="inlineStr">
        <ns0:is>
          <ns0:t>Premium local</ns0:t>
        </ns0:is>
      </ns0:c>
      <ns0:c r="R381" s="94" t="inlineStr">
        <ns0:is>
          <ns0:t>Nova construção</ns0:t>
        </ns0:is>
      </ns0:c>
      <ns0:c r="S381" s="94"/>
      <ns0:c r="T381" s="94" t="inlineStr">
        <ns0:is>
          <ns0:t>Não incluído no preço; disponibilidade por confirmar</ns0:t>
        </ns0:is>
      </ns0:c>
      <ns0:c r="U381" s="94"/>
      <ns0:c r="V381" s="94"/>
      <ns0:c r="W381" s="97" t="n">
        <ns0:v>0.9</ns0:v>
      </ns0:c>
      <ns0:c r="X381" s="94" t="inlineStr">
        <ns0:is>
          <ns0:t>A · Premium local; vistas estimadas</ns0:t>
        </ns0:is>
      </ns0:c>
      <ns0:c r="Y381" s="94" t="inlineStr">
        <ns0:is>
          <ns0:t>Média</ns0:t>
        </ns0:is>
      </ns0:c>
      <ns0:c r="Z381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381" s="94" t="inlineStr">
        <ns0:is>
          <ns0:t>Confirmar vista, orientação, disponibilidade e condições atuais.</ns0:t>
        </ns0:is>
      </ns0:c>
      <ns0:c r="AB381" s="94" t="inlineStr">
        <ns0:is>
          <ns0:t>Média</ns0:t>
        </ns0:is>
      </ns0:c>
      <ns0:c r="AJ381" s="94" t="inlineStr">
        <ns0:is>
          <ns0:t>LF</ns0:t>
        </ns0:is>
      </ns0:c>
      <ns0:c r="AK381" s="94" t="inlineStr">
        <ns0:is>
          <ns0:t>Convencional</ns0:t>
        </ns0:is>
      </ns0:c>
      <ns0:c r="AL381" s="94" t="n">
        <ns0:v>3</ns0:v>
      </ns0:c>
      <ns0:c r="AM381" s="94" t="n">
        <ns0:v>4</ns0:v>
      </ns0:c>
      <ns0:c r="AN381" s="94" t="inlineStr">
        <ns0:is>
          <ns0:t>Estimada · baixa</ns0:t>
        </ns0:is>
      </ns0:c>
      <ns0:c r="AO381" s="94" t="inlineStr">
        <ns0:is>
          <ns0:t>Estimativa de implantação fornecida pela gestão; piso considerado sem confirmação geométrica.</ns0:t>
        </ns0:is>
      </ns0:c>
      <ns0:c r="AP381" s="94" t="inlineStr">
        <ns0:is>
          <ns0:t>Sim</ns0:t>
        </ns0:is>
      </ns0:c>
      <ns0:c r="AQ381" s="94" t="inlineStr">
        <ns0:is>
          <ns0:t>Olhão</ns0:t>
        </ns0:is>
      </ns0:c>
      <ns0:c r="AR381" s="94" t="inlineStr">
        <ns0:is>
          <ns0:t>BelaFormosa Price List September 2026, p. 1</ns0:t>
        </ns0:is>
      </ns0:c>
    </ns0:row>
    <ns0:row r="382" ht="72" customHeight="1">
      <ns0:c r="A382" s="94" t="inlineStr">
        <ns0:is>
          <ns0:t>BelaFormosa</ns0:t>
        </ns0:is>
      </ns0:c>
      <ns0:c r="B382" s="94" t="inlineStr">
        <ns0:is>
          <ns0:t>LF102</ns0:t>
        </ns0:is>
      </ns0:c>
      <ns0:c r="C382" s="94" t="n">
        <ns0:v>1</ns0:v>
      </ns0:c>
      <ns0:c r="D382" s="94" t="inlineStr">
        <ns0:is>
          <ns0:t>T2</ns0:t>
        </ns0:is>
      </ns0:c>
      <ns0:c r="E382" s="94"/>
      <ns0:c r="F382" s="97" t="n">
        <ns0:v>100.25</ns0:v>
      </ns0:c>
      <ns0:c r="G382" s="97" t="n">
        <ns0:v>20.5</ns0:v>
      </ns0:c>
      <ns0:c r="H382" s="97" t="n">
        <ns0:v>120.75</ns0:v>
      </ns0:c>
      <ns0:c r="I382" s="95" t="n">
        <ns0:v>840000</ns0:v>
      </ns0:c>
      <ns0:c r="J382" s="94" t="n">
        <ns0:v>2026</ns0:v>
      </ns0:c>
      <ns0:c r="K382" s="95" t="n">
        <ns0:v>8379.052369077306</ns0:v>
      </ns0:c>
      <ns0:c r="L382" s="95" t="n">
        <ns0:v>6956.521739130435</ns0:v>
      </ns0:c>
      <ns0:c r="M382" s="94" t="inlineStr">
        <ns0:is>
          <ns0:t>Ativo</ns0:t>
        </ns0:is>
      </ns0:c>
      <ns0:c r="N382" s="94" t="inlineStr">
        <ns0:is>
          <ns0:t>BelaFormosa · Price List September 2026 · p. 2</ns0:t>
        </ns0:is>
      </ns0:c>
      <ns0:c r="O382" s="94"/>
      <ns0:c r="P382" s="94" t="inlineStr">
        <ns0:is>
          <ns0:t>2026-09</ns0:t>
        </ns0:is>
      </ns0:c>
      <ns0:c r="Q382" s="94" t="inlineStr">
        <ns0:is>
          <ns0:t>Premium local</ns0:t>
        </ns0:is>
      </ns0:c>
      <ns0:c r="R382" s="94" t="inlineStr">
        <ns0:is>
          <ns0:t>Nova construção</ns0:t>
        </ns0:is>
      </ns0:c>
      <ns0:c r="S382" s="94"/>
      <ns0:c r="T382" s="94" t="inlineStr">
        <ns0:is>
          <ns0:t>Não incluído no preço; disponibilidade por confirmar</ns0:t>
        </ns0:is>
      </ns0:c>
      <ns0:c r="U382" s="94"/>
      <ns0:c r="V382" s="94"/>
      <ns0:c r="W382" s="97" t="n">
        <ns0:v>0.9</ns0:v>
      </ns0:c>
      <ns0:c r="X382" s="94" t="inlineStr">
        <ns0:is>
          <ns0:t>A · Premium local; vistas estimadas</ns0:t>
        </ns0:is>
      </ns0:c>
      <ns0:c r="Y382" s="94" t="inlineStr">
        <ns0:is>
          <ns0:t>Média</ns0:t>
        </ns0:is>
      </ns0:c>
      <ns0:c r="Z382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382" s="94" t="inlineStr">
        <ns0:is>
          <ns0:t>Confirmar vista, orientação, disponibilidade e condições atuais.</ns0:t>
        </ns0:is>
      </ns0:c>
      <ns0:c r="AB382" s="94" t="inlineStr">
        <ns0:is>
          <ns0:t>Média</ns0:t>
        </ns0:is>
      </ns0:c>
      <ns0:c r="AJ382" s="94" t="inlineStr">
        <ns0:is>
          <ns0:t>LF</ns0:t>
        </ns0:is>
      </ns0:c>
      <ns0:c r="AK382" s="94" t="inlineStr">
        <ns0:is>
          <ns0:t>Convencional</ns0:t>
        </ns0:is>
      </ns0:c>
      <ns0:c r="AL382" s="94" t="n">
        <ns0:v>3</ns0:v>
      </ns0:c>
      <ns0:c r="AM382" s="94" t="n">
        <ns0:v>4</ns0:v>
      </ns0:c>
      <ns0:c r="AN382" s="94" t="inlineStr">
        <ns0:is>
          <ns0:t>Estimada · baixa</ns0:t>
        </ns0:is>
      </ns0:c>
      <ns0:c r="AO382" s="94" t="inlineStr">
        <ns0:is>
          <ns0:t>Estimativa de implantação fornecida pela gestão; piso considerado sem confirmação geométrica.</ns0:t>
        </ns0:is>
      </ns0:c>
      <ns0:c r="AP382" s="94" t="inlineStr">
        <ns0:is>
          <ns0:t>Sim</ns0:t>
        </ns0:is>
      </ns0:c>
      <ns0:c r="AQ382" s="94" t="inlineStr">
        <ns0:is>
          <ns0:t>Olhão</ns0:t>
        </ns0:is>
      </ns0:c>
      <ns0:c r="AR382" s="94" t="inlineStr">
        <ns0:is>
          <ns0:t>BelaFormosa Price List September 2026, p. 1</ns0:t>
        </ns0:is>
      </ns0:c>
    </ns0:row>
    <ns0:row r="383" ht="72" customHeight="1">
      <ns0:c r="A383" s="94" t="inlineStr">
        <ns0:is>
          <ns0:t>BelaFormosa</ns0:t>
        </ns0:is>
      </ns0:c>
      <ns0:c r="B383" s="94" t="inlineStr">
        <ns0:is>
          <ns0:t>LF103</ns0:t>
        </ns0:is>
      </ns0:c>
      <ns0:c r="C383" s="94" t="n">
        <ns0:v>1</ns0:v>
      </ns0:c>
      <ns0:c r="D383" s="94" t="inlineStr">
        <ns0:is>
          <ns0:t>T2</ns0:t>
        </ns0:is>
      </ns0:c>
      <ns0:c r="E383" s="94"/>
      <ns0:c r="F383" s="97" t="n">
        <ns0:v>100.25</ns0:v>
      </ns0:c>
      <ns0:c r="G383" s="97" t="n">
        <ns0:v>20.5</ns0:v>
      </ns0:c>
      <ns0:c r="H383" s="97" t="n">
        <ns0:v>120.75</ns0:v>
      </ns0:c>
      <ns0:c r="I383" s="95" t="n">
        <ns0:v>890000</ns0:v>
      </ns0:c>
      <ns0:c r="J383" s="94" t="n">
        <ns0:v>2026</ns0:v>
      </ns0:c>
      <ns0:c r="K383" s="95" t="n">
        <ns0:v>8877.80548628429</ns0:v>
      </ns0:c>
      <ns0:c r="L383" s="95" t="n">
        <ns0:v>7370.600414078675</ns0:v>
      </ns0:c>
      <ns0:c r="M383" s="94" t="inlineStr">
        <ns0:is>
          <ns0:t>Reservado</ns0:t>
        </ns0:is>
      </ns0:c>
      <ns0:c r="N383" s="94" t="inlineStr">
        <ns0:is>
          <ns0:t>BelaFormosa · Price List September 2026 · p. 2</ns0:t>
        </ns0:is>
      </ns0:c>
      <ns0:c r="O383" s="94"/>
      <ns0:c r="P383" s="94" t="inlineStr">
        <ns0:is>
          <ns0:t>2026-09</ns0:t>
        </ns0:is>
      </ns0:c>
      <ns0:c r="Q383" s="94" t="inlineStr">
        <ns0:is>
          <ns0:t>Premium local</ns0:t>
        </ns0:is>
      </ns0:c>
      <ns0:c r="R383" s="94" t="inlineStr">
        <ns0:is>
          <ns0:t>Nova construção</ns0:t>
        </ns0:is>
      </ns0:c>
      <ns0:c r="S383" s="94"/>
      <ns0:c r="T383" s="94" t="inlineStr">
        <ns0:is>
          <ns0:t>Não incluído no preço; disponibilidade por confirmar</ns0:t>
        </ns0:is>
      </ns0:c>
      <ns0:c r="U383" s="94"/>
      <ns0:c r="V383" s="94"/>
      <ns0:c r="W383" s="97" t="n">
        <ns0:v>0.9</ns0:v>
      </ns0:c>
      <ns0:c r="X383" s="94" t="inlineStr">
        <ns0:is>
          <ns0:t>A · Premium local; vistas estimadas</ns0:t>
        </ns0:is>
      </ns0:c>
      <ns0:c r="Y383" s="94" t="inlineStr">
        <ns0:is>
          <ns0:t>Média</ns0:t>
        </ns0:is>
      </ns0:c>
      <ns0:c r="Z383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 Reservado, não vendido. Preço extraído mantido por autorização da gestão; não constitui oferta ativa.</ns0:t>
        </ns0:is>
      </ns0:c>
      <ns0:c r="AA383" s="94" t="inlineStr">
        <ns0:is>
          <ns0:t>Confirmar vista, orientação, disponibilidade e condições atuais.</ns0:t>
        </ns0:is>
      </ns0:c>
      <ns0:c r="AB383" s="94" t="inlineStr">
        <ns0:is>
          <ns0:t>Alta</ns0:t>
        </ns0:is>
      </ns0:c>
      <ns0:c r="AJ383" s="94" t="inlineStr">
        <ns0:is>
          <ns0:t>LF</ns0:t>
        </ns0:is>
      </ns0:c>
      <ns0:c r="AK383" s="94" t="inlineStr">
        <ns0:is>
          <ns0:t>Convencional</ns0:t>
        </ns0:is>
      </ns0:c>
      <ns0:c r="AL383" s="94" t="n">
        <ns0:v>3</ns0:v>
      </ns0:c>
      <ns0:c r="AM383" s="94" t="n">
        <ns0:v>4</ns0:v>
      </ns0:c>
      <ns0:c r="AN383" s="94" t="inlineStr">
        <ns0:is>
          <ns0:t>Estimada · baixa</ns0:t>
        </ns0:is>
      </ns0:c>
      <ns0:c r="AO383" s="94" t="inlineStr">
        <ns0:is>
          <ns0:t>Estimativa de implantação fornecida pela gestão; piso considerado sem confirmação geométrica.</ns0:t>
        </ns0:is>
      </ns0:c>
      <ns0:c r="AP383" s="94" t="inlineStr">
        <ns0:is>
          <ns0:t>Não · reservado</ns0:t>
        </ns0:is>
      </ns0:c>
      <ns0:c r="AQ383" s="94" t="inlineStr">
        <ns0:is>
          <ns0:t>Olhão</ns0:t>
        </ns0:is>
      </ns0:c>
      <ns0:c r="AR383" s="94" t="inlineStr">
        <ns0:is>
          <ns0:t>BelaFormosa Price List September 2026, p. 1</ns0:t>
        </ns0:is>
      </ns0:c>
    </ns0:row>
    <ns0:row r="384" ht="72" customHeight="1">
      <ns0:c r="A384" s="94" t="inlineStr">
        <ns0:is>
          <ns0:t>BelaFormosa</ns0:t>
        </ns0:is>
      </ns0:c>
      <ns0:c r="B384" s="94" t="inlineStr">
        <ns0:is>
          <ns0:t>LF104</ns0:t>
        </ns0:is>
      </ns0:c>
      <ns0:c r="C384" s="94" t="n">
        <ns0:v>1</ns0:v>
      </ns0:c>
      <ns0:c r="D384" s="94" t="inlineStr">
        <ns0:is>
          <ns0:t>T3</ns0:t>
        </ns0:is>
      </ns0:c>
      <ns0:c r="E384" s="94"/>
      <ns0:c r="F384" s="97" t="n">
        <ns0:v>164.5</ns0:v>
      </ns0:c>
      <ns0:c r="G384" s="97" t="n">
        <ns0:v>74.75</ns0:v>
      </ns0:c>
      <ns0:c r="H384" s="97" t="n">
        <ns0:v>239.25</ns0:v>
      </ns0:c>
      <ns0:c r="I384" s="95" t="n">
        <ns0:v>1750000</ns0:v>
      </ns0:c>
      <ns0:c r="J384" s="94" t="n">
        <ns0:v>2026</ns0:v>
      </ns0:c>
      <ns0:c r="K384" s="95" t="n">
        <ns0:v>10638.297872340425</ns0:v>
      </ns0:c>
      <ns0:c r="L384" s="95" t="n">
        <ns0:v>7314.524555903866</ns0:v>
      </ns0:c>
      <ns0:c r="M384" s="94" t="inlineStr">
        <ns0:is>
          <ns0:t>Ativo</ns0:t>
        </ns0:is>
      </ns0:c>
      <ns0:c r="N384" s="94" t="inlineStr">
        <ns0:is>
          <ns0:t>BelaFormosa · Price List September 2026 · p. 2</ns0:t>
        </ns0:is>
      </ns0:c>
      <ns0:c r="O384" s="94"/>
      <ns0:c r="P384" s="94" t="inlineStr">
        <ns0:is>
          <ns0:t>2026-09</ns0:t>
        </ns0:is>
      </ns0:c>
      <ns0:c r="Q384" s="94" t="inlineStr">
        <ns0:is>
          <ns0:t>Premium local</ns0:t>
        </ns0:is>
      </ns0:c>
      <ns0:c r="R384" s="94" t="inlineStr">
        <ns0:is>
          <ns0:t>Nova construção</ns0:t>
        </ns0:is>
      </ns0:c>
      <ns0:c r="S384" s="94"/>
      <ns0:c r="T384" s="94" t="inlineStr">
        <ns0:is>
          <ns0:t>Não incluído no preço; disponibilidade por confirmar</ns0:t>
        </ns0:is>
      </ns0:c>
      <ns0:c r="U384" s="94"/>
      <ns0:c r="V384" s="94"/>
      <ns0:c r="W384" s="97" t="n">
        <ns0:v>0.9</ns0:v>
      </ns0:c>
      <ns0:c r="X384" s="94" t="inlineStr">
        <ns0:is>
          <ns0:t>A · Premium local; vistas estimadas</ns0:t>
        </ns0:is>
      </ns0:c>
      <ns0:c r="Y384" s="94" t="inlineStr">
        <ns0:is>
          <ns0:t>Média</ns0:t>
        </ns0:is>
      </ns0:c>
      <ns0:c r="Z384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384" s="94" t="inlineStr">
        <ns0:is>
          <ns0:t>Confirmar vista, orientação, disponibilidade e condições atuais.</ns0:t>
        </ns0:is>
      </ns0:c>
      <ns0:c r="AB384" s="94" t="inlineStr">
        <ns0:is>
          <ns0:t>Média</ns0:t>
        </ns0:is>
      </ns0:c>
      <ns0:c r="AJ384" s="94" t="inlineStr">
        <ns0:is>
          <ns0:t>LF</ns0:t>
        </ns0:is>
      </ns0:c>
      <ns0:c r="AK384" s="94" t="inlineStr">
        <ns0:is>
          <ns0:t>Convencional</ns0:t>
        </ns0:is>
      </ns0:c>
      <ns0:c r="AL384" s="94" t="n">
        <ns0:v>1</ns0:v>
      </ns0:c>
      <ns0:c r="AM384" s="94" t="n">
        <ns0:v>1</ns0:v>
      </ns0:c>
      <ns0:c r="AN384" s="94" t="inlineStr">
        <ns0:is>
          <ns0:t>Estimada · baixa</ns0:t>
        </ns0:is>
      </ns0:c>
      <ns0:c r="AO384" s="94" t="inlineStr">
        <ns0:is>
          <ns0:t>Estimativa de implantação fornecida pela gestão; piso considerado sem confirmação geométrica.</ns0:t>
        </ns0:is>
      </ns0:c>
      <ns0:c r="AP384" s="94" t="inlineStr">
        <ns0:is>
          <ns0:t>Sim</ns0:t>
        </ns0:is>
      </ns0:c>
      <ns0:c r="AQ384" s="94" t="inlineStr">
        <ns0:is>
          <ns0:t>Olhão</ns0:t>
        </ns0:is>
      </ns0:c>
      <ns0:c r="AR384" s="94" t="inlineStr">
        <ns0:is>
          <ns0:t>BelaFormosa Price List September 2026, p. 1</ns0:t>
        </ns0:is>
      </ns0:c>
    </ns0:row>
    <ns0:row r="385" ht="72" customHeight="1">
      <ns0:c r="A385" s="94" t="inlineStr">
        <ns0:is>
          <ns0:t>BelaFormosa</ns0:t>
        </ns0:is>
      </ns0:c>
      <ns0:c r="B385" s="94" t="inlineStr">
        <ns0:is>
          <ns0:t>LF105</ns0:t>
        </ns0:is>
      </ns0:c>
      <ns0:c r="C385" s="94" t="n">
        <ns0:v>1</ns0:v>
      </ns0:c>
      <ns0:c r="D385" s="94" t="inlineStr">
        <ns0:is>
          <ns0:t>T3</ns0:t>
        </ns0:is>
      </ns0:c>
      <ns0:c r="E385" s="94"/>
      <ns0:c r="F385" s="97" t="n">
        <ns0:v>164.5</ns0:v>
      </ns0:c>
      <ns0:c r="G385" s="97" t="n">
        <ns0:v>114.5</ns0:v>
      </ns0:c>
      <ns0:c r="H385" s="97" t="n">
        <ns0:v>279.0</ns0:v>
      </ns0:c>
      <ns0:c r="I385" s="95" t="n">
        <ns0:v>1750000</ns0:v>
      </ns0:c>
      <ns0:c r="J385" s="94" t="n">
        <ns0:v>2026</ns0:v>
      </ns0:c>
      <ns0:c r="K385" s="95" t="n">
        <ns0:v>10638.297872340425</ns0:v>
      </ns0:c>
      <ns0:c r="L385" s="95" t="n">
        <ns0:v>6272.401433691756</ns0:v>
      </ns0:c>
      <ns0:c r="M385" s="94" t="inlineStr">
        <ns0:is>
          <ns0:t>Ativo</ns0:t>
        </ns0:is>
      </ns0:c>
      <ns0:c r="N385" s="94" t="inlineStr">
        <ns0:is>
          <ns0:t>BelaFormosa · Price List September 2026 · p. 3</ns0:t>
        </ns0:is>
      </ns0:c>
      <ns0:c r="O385" s="94"/>
      <ns0:c r="P385" s="94" t="inlineStr">
        <ns0:is>
          <ns0:t>2026-09</ns0:t>
        </ns0:is>
      </ns0:c>
      <ns0:c r="Q385" s="94" t="inlineStr">
        <ns0:is>
          <ns0:t>Premium local</ns0:t>
        </ns0:is>
      </ns0:c>
      <ns0:c r="R385" s="94" t="inlineStr">
        <ns0:is>
          <ns0:t>Nova construção</ns0:t>
        </ns0:is>
      </ns0:c>
      <ns0:c r="S385" s="94"/>
      <ns0:c r="T385" s="94" t="inlineStr">
        <ns0:is>
          <ns0:t>Não incluído no preço; disponibilidade por confirmar</ns0:t>
        </ns0:is>
      </ns0:c>
      <ns0:c r="U385" s="94"/>
      <ns0:c r="V385" s="94"/>
      <ns0:c r="W385" s="97" t="n">
        <ns0:v>0.9</ns0:v>
      </ns0:c>
      <ns0:c r="X385" s="94" t="inlineStr">
        <ns0:is>
          <ns0:t>A · Premium local; vistas estimadas</ns0:t>
        </ns0:is>
      </ns0:c>
      <ns0:c r="Y385" s="94" t="inlineStr">
        <ns0:is>
          <ns0:t>Média</ns0:t>
        </ns0:is>
      </ns0:c>
      <ns0:c r="Z385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385" s="94" t="inlineStr">
        <ns0:is>
          <ns0:t>Confirmar vista, orientação, disponibilidade e condições atuais.</ns0:t>
        </ns0:is>
      </ns0:c>
      <ns0:c r="AB385" s="94" t="inlineStr">
        <ns0:is>
          <ns0:t>Média</ns0:t>
        </ns0:is>
      </ns0:c>
      <ns0:c r="AJ385" s="94" t="inlineStr">
        <ns0:is>
          <ns0:t>LF</ns0:t>
        </ns0:is>
      </ns0:c>
      <ns0:c r="AK385" s="94" t="inlineStr">
        <ns0:is>
          <ns0:t>Convencional</ns0:t>
        </ns0:is>
      </ns0:c>
      <ns0:c r="AL385" s="94" t="n">
        <ns0:v>1</ns0:v>
      </ns0:c>
      <ns0:c r="AM385" s="94" t="n">
        <ns0:v>1</ns0:v>
      </ns0:c>
      <ns0:c r="AN385" s="94" t="inlineStr">
        <ns0:is>
          <ns0:t>Estimada · baixa</ns0:t>
        </ns0:is>
      </ns0:c>
      <ns0:c r="AO385" s="94" t="inlineStr">
        <ns0:is>
          <ns0:t>Estimativa de implantação fornecida pela gestão; piso considerado sem confirmação geométrica.</ns0:t>
        </ns0:is>
      </ns0:c>
      <ns0:c r="AP385" s="94" t="inlineStr">
        <ns0:is>
          <ns0:t>Sim</ns0:t>
        </ns0:is>
      </ns0:c>
      <ns0:c r="AQ385" s="94" t="inlineStr">
        <ns0:is>
          <ns0:t>Olhão</ns0:t>
        </ns0:is>
      </ns0:c>
      <ns0:c r="AR385" s="94" t="inlineStr">
        <ns0:is>
          <ns0:t>BelaFormosa Price List September 2026, p. 1</ns0:t>
        </ns0:is>
      </ns0:c>
    </ns0:row>
    <ns0:row r="386" ht="72" customHeight="1">
      <ns0:c r="A386" s="94" t="inlineStr">
        <ns0:is>
          <ns0:t>BelaFormosa</ns0:t>
        </ns0:is>
      </ns0:c>
      <ns0:c r="B386" s="94" t="inlineStr">
        <ns0:is>
          <ns0:t>LF106</ns0:t>
        </ns0:is>
      </ns0:c>
      <ns0:c r="C386" s="94" t="n">
        <ns0:v>1</ns0:v>
      </ns0:c>
      <ns0:c r="D386" s="94" t="inlineStr">
        <ns0:is>
          <ns0:t>T2</ns0:t>
        </ns0:is>
      </ns0:c>
      <ns0:c r="E386" s="94"/>
      <ns0:c r="F386" s="97" t="n">
        <ns0:v>100.25</ns0:v>
      </ns0:c>
      <ns0:c r="G386" s="97" t="n">
        <ns0:v>48.75</ns0:v>
      </ns0:c>
      <ns0:c r="H386" s="97" t="n">
        <ns0:v>149.0</ns0:v>
      </ns0:c>
      <ns0:c r="I386" s="95" t="n">
        <ns0:v>990000</ns0:v>
      </ns0:c>
      <ns0:c r="J386" s="94" t="n">
        <ns0:v>2026</ns0:v>
      </ns0:c>
      <ns0:c r="K386" s="95" t="n">
        <ns0:v>9875.311720698255</ns0:v>
      </ns0:c>
      <ns0:c r="L386" s="95" t="n">
        <ns0:v>6644.295302013423</ns0:v>
      </ns0:c>
      <ns0:c r="M386" s="94" t="inlineStr">
        <ns0:is>
          <ns0:t>Ativo</ns0:t>
        </ns0:is>
      </ns0:c>
      <ns0:c r="N386" s="94" t="inlineStr">
        <ns0:is>
          <ns0:t>BelaFormosa · Price List September 2026 · p. 3</ns0:t>
        </ns0:is>
      </ns0:c>
      <ns0:c r="O386" s="94"/>
      <ns0:c r="P386" s="94" t="inlineStr">
        <ns0:is>
          <ns0:t>2026-09</ns0:t>
        </ns0:is>
      </ns0:c>
      <ns0:c r="Q386" s="94" t="inlineStr">
        <ns0:is>
          <ns0:t>Premium local</ns0:t>
        </ns0:is>
      </ns0:c>
      <ns0:c r="R386" s="94" t="inlineStr">
        <ns0:is>
          <ns0:t>Nova construção</ns0:t>
        </ns0:is>
      </ns0:c>
      <ns0:c r="S386" s="94"/>
      <ns0:c r="T386" s="94" t="inlineStr">
        <ns0:is>
          <ns0:t>Não incluído no preço; disponibilidade por confirmar</ns0:t>
        </ns0:is>
      </ns0:c>
      <ns0:c r="U386" s="94"/>
      <ns0:c r="V386" s="94"/>
      <ns0:c r="W386" s="97" t="n">
        <ns0:v>0.9</ns0:v>
      </ns0:c>
      <ns0:c r="X386" s="94" t="inlineStr">
        <ns0:is>
          <ns0:t>A · Premium local; vistas estimadas</ns0:t>
        </ns0:is>
      </ns0:c>
      <ns0:c r="Y386" s="94" t="inlineStr">
        <ns0:is>
          <ns0:t>Média</ns0:t>
        </ns0:is>
      </ns0:c>
      <ns0:c r="Z386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386" s="94" t="inlineStr">
        <ns0:is>
          <ns0:t>Confirmar vista, orientação, disponibilidade e condições atuais.</ns0:t>
        </ns0:is>
      </ns0:c>
      <ns0:c r="AB386" s="94" t="inlineStr">
        <ns0:is>
          <ns0:t>Média</ns0:t>
        </ns0:is>
      </ns0:c>
      <ns0:c r="AJ386" s="94" t="inlineStr">
        <ns0:is>
          <ns0:t>LF</ns0:t>
        </ns0:is>
      </ns0:c>
      <ns0:c r="AK386" s="94" t="inlineStr">
        <ns0:is>
          <ns0:t>Convencional</ns0:t>
        </ns0:is>
      </ns0:c>
      <ns0:c r="AL386" s="94" t="n">
        <ns0:v>2</ns0:v>
      </ns0:c>
      <ns0:c r="AM386" s="94" t="n">
        <ns0:v>3</ns0:v>
      </ns0:c>
      <ns0:c r="AN386" s="94" t="inlineStr">
        <ns0:is>
          <ns0:t>Estimada · baixa</ns0:t>
        </ns0:is>
      </ns0:c>
      <ns0:c r="AO386" s="94" t="inlineStr">
        <ns0:is>
          <ns0:t>Estimativa de implantação fornecida pela gestão; piso considerado sem confirmação geométrica.</ns0:t>
        </ns0:is>
      </ns0:c>
      <ns0:c r="AP386" s="94" t="inlineStr">
        <ns0:is>
          <ns0:t>Sim</ns0:t>
        </ns0:is>
      </ns0:c>
      <ns0:c r="AQ386" s="94" t="inlineStr">
        <ns0:is>
          <ns0:t>Olhão</ns0:t>
        </ns0:is>
      </ns0:c>
      <ns0:c r="AR386" s="94" t="inlineStr">
        <ns0:is>
          <ns0:t>BelaFormosa Price List September 2026, p. 1</ns0:t>
        </ns0:is>
      </ns0:c>
    </ns0:row>
    <ns0:row r="387" ht="72" customHeight="1">
      <ns0:c r="A387" s="94" t="inlineStr">
        <ns0:is>
          <ns0:t>BelaFormosa</ns0:t>
        </ns0:is>
      </ns0:c>
      <ns0:c r="B387" s="94" t="inlineStr">
        <ns0:is>
          <ns0:t>LF107</ns0:t>
        </ns0:is>
      </ns0:c>
      <ns0:c r="C387" s="94" t="n">
        <ns0:v>1</ns0:v>
      </ns0:c>
      <ns0:c r="D387" s="94" t="inlineStr">
        <ns0:is>
          <ns0:t>T2</ns0:t>
        </ns0:is>
      </ns0:c>
      <ns0:c r="E387" s="94"/>
      <ns0:c r="F387" s="97" t="n">
        <ns0:v>100.25</ns0:v>
      </ns0:c>
      <ns0:c r="G387" s="97" t="n">
        <ns0:v>48.5</ns0:v>
      </ns0:c>
      <ns0:c r="H387" s="97" t="n">
        <ns0:v>148.75</ns0:v>
      </ns0:c>
      <ns0:c r="I387" s="95" t="n">
        <ns0:v>940000</ns0:v>
      </ns0:c>
      <ns0:c r="J387" s="94" t="n">
        <ns0:v>2026</ns0:v>
      </ns0:c>
      <ns0:c r="K387" s="95" t="n">
        <ns0:v>9376.558603491272</ns0:v>
      </ns0:c>
      <ns0:c r="L387" s="95" t="n">
        <ns0:v>6319.327731092437</ns0:v>
      </ns0:c>
      <ns0:c r="M387" s="94" t="inlineStr">
        <ns0:is>
          <ns0:t>Ativo</ns0:t>
        </ns0:is>
      </ns0:c>
      <ns0:c r="N387" s="94" t="inlineStr">
        <ns0:is>
          <ns0:t>BelaFormosa · Price List September 2026 · p. 3</ns0:t>
        </ns0:is>
      </ns0:c>
      <ns0:c r="O387" s="94"/>
      <ns0:c r="P387" s="94" t="inlineStr">
        <ns0:is>
          <ns0:t>2026-09</ns0:t>
        </ns0:is>
      </ns0:c>
      <ns0:c r="Q387" s="94" t="inlineStr">
        <ns0:is>
          <ns0:t>Premium local</ns0:t>
        </ns0:is>
      </ns0:c>
      <ns0:c r="R387" s="94" t="inlineStr">
        <ns0:is>
          <ns0:t>Nova construção</ns0:t>
        </ns0:is>
      </ns0:c>
      <ns0:c r="S387" s="94"/>
      <ns0:c r="T387" s="94" t="inlineStr">
        <ns0:is>
          <ns0:t>Não incluído no preço; disponibilidade por confirmar</ns0:t>
        </ns0:is>
      </ns0:c>
      <ns0:c r="U387" s="94"/>
      <ns0:c r="V387" s="94"/>
      <ns0:c r="W387" s="97" t="n">
        <ns0:v>0.9</ns0:v>
      </ns0:c>
      <ns0:c r="X387" s="94" t="inlineStr">
        <ns0:is>
          <ns0:t>A · Premium local; vistas estimadas</ns0:t>
        </ns0:is>
      </ns0:c>
      <ns0:c r="Y387" s="94" t="inlineStr">
        <ns0:is>
          <ns0:t>Média</ns0:t>
        </ns0:is>
      </ns0:c>
      <ns0:c r="Z387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387" s="94" t="inlineStr">
        <ns0:is>
          <ns0:t>Confirmar vista, orientação, disponibilidade e condições atuais.</ns0:t>
        </ns0:is>
      </ns0:c>
      <ns0:c r="AB387" s="94" t="inlineStr">
        <ns0:is>
          <ns0:t>Média</ns0:t>
        </ns0:is>
      </ns0:c>
      <ns0:c r="AJ387" s="94" t="inlineStr">
        <ns0:is>
          <ns0:t>LF</ns0:t>
        </ns0:is>
      </ns0:c>
      <ns0:c r="AK387" s="94" t="inlineStr">
        <ns0:is>
          <ns0:t>Convencional</ns0:t>
        </ns0:is>
      </ns0:c>
      <ns0:c r="AL387" s="94" t="n">
        <ns0:v>2</ns0:v>
      </ns0:c>
      <ns0:c r="AM387" s="94" t="n">
        <ns0:v>3</ns0:v>
      </ns0:c>
      <ns0:c r="AN387" s="94" t="inlineStr">
        <ns0:is>
          <ns0:t>Estimada · baixa</ns0:t>
        </ns0:is>
      </ns0:c>
      <ns0:c r="AO387" s="94" t="inlineStr">
        <ns0:is>
          <ns0:t>Estimativa de implantação fornecida pela gestão; piso considerado sem confirmação geométrica.</ns0:t>
        </ns0:is>
      </ns0:c>
      <ns0:c r="AP387" s="94" t="inlineStr">
        <ns0:is>
          <ns0:t>Sim</ns0:t>
        </ns0:is>
      </ns0:c>
      <ns0:c r="AQ387" s="94" t="inlineStr">
        <ns0:is>
          <ns0:t>Olhão</ns0:t>
        </ns0:is>
      </ns0:c>
      <ns0:c r="AR387" s="94" t="inlineStr">
        <ns0:is>
          <ns0:t>BelaFormosa Price List September 2026, p. 1</ns0:t>
        </ns0:is>
      </ns0:c>
    </ns0:row>
    <ns0:row r="388" ht="72" customHeight="1">
      <ns0:c r="A388" s="94" t="inlineStr">
        <ns0:is>
          <ns0:t>BelaFormosa</ns0:t>
        </ns0:is>
      </ns0:c>
      <ns0:c r="B388" s="94" t="inlineStr">
        <ns0:is>
          <ns0:t>LF108</ns0:t>
        </ns0:is>
      </ns0:c>
      <ns0:c r="C388" s="94" t="n">
        <ns0:v>1</ns0:v>
      </ns0:c>
      <ns0:c r="D388" s="94" t="inlineStr">
        <ns0:is>
          <ns0:t>T2</ns0:t>
        </ns0:is>
      </ns0:c>
      <ns0:c r="E388" s="94"/>
      <ns0:c r="F388" s="97" t="n">
        <ns0:v>100.25</ns0:v>
      </ns0:c>
      <ns0:c r="G388" s="97" t="n">
        <ns0:v>46.25</ns0:v>
      </ns0:c>
      <ns0:c r="H388" s="97" t="n">
        <ns0:v>146.5</ns0:v>
      </ns0:c>
      <ns0:c r="I388" s="95" t="n">
        <ns0:v>930000</ns0:v>
      </ns0:c>
      <ns0:c r="J388" s="94" t="n">
        <ns0:v>2026</ns0:v>
      </ns0:c>
      <ns0:c r="K388" s="95" t="n">
        <ns0:v>9276.807980049874</ns0:v>
      </ns0:c>
      <ns0:c r="L388" s="95" t="n">
        <ns0:v>6348.122866894198</ns0:v>
      </ns0:c>
      <ns0:c r="M388" s="94" t="inlineStr">
        <ns0:is>
          <ns0:t>Ativo</ns0:t>
        </ns0:is>
      </ns0:c>
      <ns0:c r="N388" s="94" t="inlineStr">
        <ns0:is>
          <ns0:t>BelaFormosa · Price List September 2026 · p. 3</ns0:t>
        </ns0:is>
      </ns0:c>
      <ns0:c r="O388" s="94"/>
      <ns0:c r="P388" s="94" t="inlineStr">
        <ns0:is>
          <ns0:t>2026-09</ns0:t>
        </ns0:is>
      </ns0:c>
      <ns0:c r="Q388" s="94" t="inlineStr">
        <ns0:is>
          <ns0:t>Premium local</ns0:t>
        </ns0:is>
      </ns0:c>
      <ns0:c r="R388" s="94" t="inlineStr">
        <ns0:is>
          <ns0:t>Nova construção</ns0:t>
        </ns0:is>
      </ns0:c>
      <ns0:c r="S388" s="94"/>
      <ns0:c r="T388" s="94" t="inlineStr">
        <ns0:is>
          <ns0:t>Não incluído no preço; disponibilidade por confirmar</ns0:t>
        </ns0:is>
      </ns0:c>
      <ns0:c r="U388" s="94"/>
      <ns0:c r="V388" s="94"/>
      <ns0:c r="W388" s="97" t="n">
        <ns0:v>0.9</ns0:v>
      </ns0:c>
      <ns0:c r="X388" s="94" t="inlineStr">
        <ns0:is>
          <ns0:t>A · Premium local; vistas estimadas</ns0:t>
        </ns0:is>
      </ns0:c>
      <ns0:c r="Y388" s="94" t="inlineStr">
        <ns0:is>
          <ns0:t>Média</ns0:t>
        </ns0:is>
      </ns0:c>
      <ns0:c r="Z388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388" s="94" t="inlineStr">
        <ns0:is>
          <ns0:t>Confirmar vista, orientação, disponibilidade e condições atuais.</ns0:t>
        </ns0:is>
      </ns0:c>
      <ns0:c r="AB388" s="94" t="inlineStr">
        <ns0:is>
          <ns0:t>Média</ns0:t>
        </ns0:is>
      </ns0:c>
      <ns0:c r="AJ388" s="94" t="inlineStr">
        <ns0:is>
          <ns0:t>LF</ns0:t>
        </ns0:is>
      </ns0:c>
      <ns0:c r="AK388" s="94" t="inlineStr">
        <ns0:is>
          <ns0:t>Convencional</ns0:t>
        </ns0:is>
      </ns0:c>
      <ns0:c r="AL388" s="94" t="n">
        <ns0:v>2</ns0:v>
      </ns0:c>
      <ns0:c r="AM388" s="94" t="n">
        <ns0:v>3</ns0:v>
      </ns0:c>
      <ns0:c r="AN388" s="94" t="inlineStr">
        <ns0:is>
          <ns0:t>Estimada · baixa</ns0:t>
        </ns0:is>
      </ns0:c>
      <ns0:c r="AO388" s="94" t="inlineStr">
        <ns0:is>
          <ns0:t>Estimativa de implantação fornecida pela gestão; piso considerado sem confirmação geométrica.</ns0:t>
        </ns0:is>
      </ns0:c>
      <ns0:c r="AP388" s="94" t="inlineStr">
        <ns0:is>
          <ns0:t>Sim</ns0:t>
        </ns0:is>
      </ns0:c>
      <ns0:c r="AQ388" s="94" t="inlineStr">
        <ns0:is>
          <ns0:t>Olhão</ns0:t>
        </ns0:is>
      </ns0:c>
      <ns0:c r="AR388" s="94" t="inlineStr">
        <ns0:is>
          <ns0:t>BelaFormosa Price List September 2026, p. 1</ns0:t>
        </ns0:is>
      </ns0:c>
    </ns0:row>
    <ns0:row r="389" ht="72" customHeight="1">
      <ns0:c r="A389" s="94" t="inlineStr">
        <ns0:is>
          <ns0:t>BelaFormosa</ns0:t>
        </ns0:is>
      </ns0:c>
      <ns0:c r="B389" s="94" t="inlineStr">
        <ns0:is>
          <ns0:t>LF201</ns0:t>
        </ns0:is>
      </ns0:c>
      <ns0:c r="C389" s="94" t="n">
        <ns0:v>2</ns0:v>
      </ns0:c>
      <ns0:c r="D389" s="94" t="inlineStr">
        <ns0:is>
          <ns0:t>T2</ns0:t>
        </ns0:is>
      </ns0:c>
      <ns0:c r="E389" s="94"/>
      <ns0:c r="F389" s="97" t="n">
        <ns0:v>100.25</ns0:v>
      </ns0:c>
      <ns0:c r="G389" s="97" t="n">
        <ns0:v>18.5</ns0:v>
      </ns0:c>
      <ns0:c r="H389" s="97" t="n">
        <ns0:v>118.75</ns0:v>
      </ns0:c>
      <ns0:c r="I389" s="95" t="n">
        <ns0:v>880000</ns0:v>
      </ns0:c>
      <ns0:c r="J389" s="94" t="n">
        <ns0:v>2026</ns0:v>
      </ns0:c>
      <ns0:c r="K389" s="95" t="n">
        <ns0:v>8778.054862842893</ns0:v>
      </ns0:c>
      <ns0:c r="L389" s="95" t="n">
        <ns0:v>7410.526315789473</ns0:v>
      </ns0:c>
      <ns0:c r="M389" s="94" t="inlineStr">
        <ns0:is>
          <ns0:t>Ativo</ns0:t>
        </ns0:is>
      </ns0:c>
      <ns0:c r="N389" s="94" t="inlineStr">
        <ns0:is>
          <ns0:t>BelaFormosa · Price List September 2026 · p. 3</ns0:t>
        </ns0:is>
      </ns0:c>
      <ns0:c r="O389" s="94"/>
      <ns0:c r="P389" s="94" t="inlineStr">
        <ns0:is>
          <ns0:t>2026-09</ns0:t>
        </ns0:is>
      </ns0:c>
      <ns0:c r="Q389" s="94" t="inlineStr">
        <ns0:is>
          <ns0:t>Premium local</ns0:t>
        </ns0:is>
      </ns0:c>
      <ns0:c r="R389" s="94" t="inlineStr">
        <ns0:is>
          <ns0:t>Nova construção</ns0:t>
        </ns0:is>
      </ns0:c>
      <ns0:c r="S389" s="94"/>
      <ns0:c r="T389" s="94" t="inlineStr">
        <ns0:is>
          <ns0:t>Não incluído no preço; disponibilidade por confirmar</ns0:t>
        </ns0:is>
      </ns0:c>
      <ns0:c r="U389" s="94"/>
      <ns0:c r="V389" s="94"/>
      <ns0:c r="W389" s="97" t="n">
        <ns0:v>0.9</ns0:v>
      </ns0:c>
      <ns0:c r="X389" s="94" t="inlineStr">
        <ns0:is>
          <ns0:t>A · Premium local; vistas estimadas</ns0:t>
        </ns0:is>
      </ns0:c>
      <ns0:c r="Y389" s="94" t="inlineStr">
        <ns0:is>
          <ns0:t>Média</ns0:t>
        </ns0:is>
      </ns0:c>
      <ns0:c r="Z389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389" s="94" t="inlineStr">
        <ns0:is>
          <ns0:t>Confirmar vista, orientação, disponibilidade e condições atuais.</ns0:t>
        </ns0:is>
      </ns0:c>
      <ns0:c r="AB389" s="94" t="inlineStr">
        <ns0:is>
          <ns0:t>Média</ns0:t>
        </ns0:is>
      </ns0:c>
      <ns0:c r="AJ389" s="94" t="inlineStr">
        <ns0:is>
          <ns0:t>LF</ns0:t>
        </ns0:is>
      </ns0:c>
      <ns0:c r="AK389" s="94" t="inlineStr">
        <ns0:is>
          <ns0:t>Convencional</ns0:t>
        </ns0:is>
      </ns0:c>
      <ns0:c r="AL389" s="94" t="n">
        <ns0:v>3</ns0:v>
      </ns0:c>
      <ns0:c r="AM389" s="94" t="n">
        <ns0:v>4</ns0:v>
      </ns0:c>
      <ns0:c r="AN389" s="94" t="inlineStr">
        <ns0:is>
          <ns0:t>Estimada · baixa</ns0:t>
        </ns0:is>
      </ns0:c>
      <ns0:c r="AO389" s="94" t="inlineStr">
        <ns0:is>
          <ns0:t>Estimativa de implantação fornecida pela gestão; piso considerado sem confirmação geométrica.</ns0:t>
        </ns0:is>
      </ns0:c>
      <ns0:c r="AP389" s="94" t="inlineStr">
        <ns0:is>
          <ns0:t>Sim</ns0:t>
        </ns0:is>
      </ns0:c>
      <ns0:c r="AQ389" s="94" t="inlineStr">
        <ns0:is>
          <ns0:t>Olhão</ns0:t>
        </ns0:is>
      </ns0:c>
      <ns0:c r="AR389" s="94" t="inlineStr">
        <ns0:is>
          <ns0:t>BelaFormosa Price List September 2026, p. 1</ns0:t>
        </ns0:is>
      </ns0:c>
    </ns0:row>
    <ns0:row r="390" ht="72" customHeight="1">
      <ns0:c r="A390" s="94" t="inlineStr">
        <ns0:is>
          <ns0:t>BelaFormosa</ns0:t>
        </ns0:is>
      </ns0:c>
      <ns0:c r="B390" s="94" t="inlineStr">
        <ns0:is>
          <ns0:t>LF202</ns0:t>
        </ns0:is>
      </ns0:c>
      <ns0:c r="C390" s="94" t="n">
        <ns0:v>2</ns0:v>
      </ns0:c>
      <ns0:c r="D390" s="94" t="inlineStr">
        <ns0:is>
          <ns0:t>T2</ns0:t>
        </ns0:is>
      </ns0:c>
      <ns0:c r="E390" s="94"/>
      <ns0:c r="F390" s="97" t="n">
        <ns0:v>100.25</ns0:v>
      </ns0:c>
      <ns0:c r="G390" s="97" t="n">
        <ns0:v>19.0</ns0:v>
      </ns0:c>
      <ns0:c r="H390" s="97" t="n">
        <ns0:v>119.25</ns0:v>
      </ns0:c>
      <ns0:c r="I390" s="95" t="n">
        <ns0:v>895000</ns0:v>
      </ns0:c>
      <ns0:c r="J390" s="94" t="n">
        <ns0:v>2026</ns0:v>
      </ns0:c>
      <ns0:c r="K390" s="95" t="n">
        <ns0:v>8927.680798004987</ns0:v>
      </ns0:c>
      <ns0:c r="L390" s="95" t="n">
        <ns0:v>7505.24109014675</ns0:v>
      </ns0:c>
      <ns0:c r="M390" s="94" t="inlineStr">
        <ns0:is>
          <ns0:t>Ativo</ns0:t>
        </ns0:is>
      </ns0:c>
      <ns0:c r="N390" s="94" t="inlineStr">
        <ns0:is>
          <ns0:t>BelaFormosa · Price List September 2026 · p. 3</ns0:t>
        </ns0:is>
      </ns0:c>
      <ns0:c r="O390" s="94"/>
      <ns0:c r="P390" s="94" t="inlineStr">
        <ns0:is>
          <ns0:t>2026-09</ns0:t>
        </ns0:is>
      </ns0:c>
      <ns0:c r="Q390" s="94" t="inlineStr">
        <ns0:is>
          <ns0:t>Premium local</ns0:t>
        </ns0:is>
      </ns0:c>
      <ns0:c r="R390" s="94" t="inlineStr">
        <ns0:is>
          <ns0:t>Nova construção</ns0:t>
        </ns0:is>
      </ns0:c>
      <ns0:c r="S390" s="94"/>
      <ns0:c r="T390" s="94" t="inlineStr">
        <ns0:is>
          <ns0:t>Não incluído no preço; disponibilidade por confirmar</ns0:t>
        </ns0:is>
      </ns0:c>
      <ns0:c r="U390" s="94"/>
      <ns0:c r="V390" s="94"/>
      <ns0:c r="W390" s="97" t="n">
        <ns0:v>0.9</ns0:v>
      </ns0:c>
      <ns0:c r="X390" s="94" t="inlineStr">
        <ns0:is>
          <ns0:t>A · Premium local; vistas estimadas</ns0:t>
        </ns0:is>
      </ns0:c>
      <ns0:c r="Y390" s="94" t="inlineStr">
        <ns0:is>
          <ns0:t>Média</ns0:t>
        </ns0:is>
      </ns0:c>
      <ns0:c r="Z390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390" s="94" t="inlineStr">
        <ns0:is>
          <ns0:t>Confirmar vista, orientação, disponibilidade e condições atuais.</ns0:t>
        </ns0:is>
      </ns0:c>
      <ns0:c r="AB390" s="94" t="inlineStr">
        <ns0:is>
          <ns0:t>Média</ns0:t>
        </ns0:is>
      </ns0:c>
      <ns0:c r="AJ390" s="94" t="inlineStr">
        <ns0:is>
          <ns0:t>LF</ns0:t>
        </ns0:is>
      </ns0:c>
      <ns0:c r="AK390" s="94" t="inlineStr">
        <ns0:is>
          <ns0:t>Convencional</ns0:t>
        </ns0:is>
      </ns0:c>
      <ns0:c r="AL390" s="94" t="n">
        <ns0:v>3</ns0:v>
      </ns0:c>
      <ns0:c r="AM390" s="94" t="n">
        <ns0:v>4</ns0:v>
      </ns0:c>
      <ns0:c r="AN390" s="94" t="inlineStr">
        <ns0:is>
          <ns0:t>Estimada · baixa</ns0:t>
        </ns0:is>
      </ns0:c>
      <ns0:c r="AO390" s="94" t="inlineStr">
        <ns0:is>
          <ns0:t>Estimativa de implantação fornecida pela gestão; piso considerado sem confirmação geométrica.</ns0:t>
        </ns0:is>
      </ns0:c>
      <ns0:c r="AP390" s="94" t="inlineStr">
        <ns0:is>
          <ns0:t>Sim</ns0:t>
        </ns0:is>
      </ns0:c>
      <ns0:c r="AQ390" s="94" t="inlineStr">
        <ns0:is>
          <ns0:t>Olhão</ns0:t>
        </ns0:is>
      </ns0:c>
      <ns0:c r="AR390" s="94" t="inlineStr">
        <ns0:is>
          <ns0:t>BelaFormosa Price List September 2026, p. 1</ns0:t>
        </ns0:is>
      </ns0:c>
    </ns0:row>
    <ns0:row r="391" ht="72" customHeight="1">
      <ns0:c r="A391" s="94" t="inlineStr">
        <ns0:is>
          <ns0:t>BelaFormosa</ns0:t>
        </ns0:is>
      </ns0:c>
      <ns0:c r="B391" s="94" t="inlineStr">
        <ns0:is>
          <ns0:t>LF203</ns0:t>
        </ns0:is>
      </ns0:c>
      <ns0:c r="C391" s="94" t="n">
        <ns0:v>2</ns0:v>
      </ns0:c>
      <ns0:c r="D391" s="94" t="inlineStr">
        <ns0:is>
          <ns0:t>T2</ns0:t>
        </ns0:is>
      </ns0:c>
      <ns0:c r="E391" s="94"/>
      <ns0:c r="F391" s="97" t="n">
        <ns0:v>100.25</ns0:v>
      </ns0:c>
      <ns0:c r="G391" s="97" t="n">
        <ns0:v>19.0</ns0:v>
      </ns0:c>
      <ns0:c r="H391" s="97" t="n">
        <ns0:v>119.25</ns0:v>
      </ns0:c>
      <ns0:c r="I391" s="95" t="n">
        <ns0:v>945000</ns0:v>
      </ns0:c>
      <ns0:c r="J391" s="94" t="n">
        <ns0:v>2026</ns0:v>
      </ns0:c>
      <ns0:c r="K391" s="95" t="n">
        <ns0:v>9426.43391521197</ns0:v>
      </ns0:c>
      <ns0:c r="L391" s="95" t="n">
        <ns0:v>7924.528301886792</ns0:v>
      </ns0:c>
      <ns0:c r="M391" s="94" t="inlineStr">
        <ns0:is>
          <ns0:t>Ativo</ns0:t>
        </ns0:is>
      </ns0:c>
      <ns0:c r="N391" s="94" t="inlineStr">
        <ns0:is>
          <ns0:t>BelaFormosa · Price List September 2026 · p. 3</ns0:t>
        </ns0:is>
      </ns0:c>
      <ns0:c r="O391" s="94"/>
      <ns0:c r="P391" s="94" t="inlineStr">
        <ns0:is>
          <ns0:t>2026-09</ns0:t>
        </ns0:is>
      </ns0:c>
      <ns0:c r="Q391" s="94" t="inlineStr">
        <ns0:is>
          <ns0:t>Premium local</ns0:t>
        </ns0:is>
      </ns0:c>
      <ns0:c r="R391" s="94" t="inlineStr">
        <ns0:is>
          <ns0:t>Nova construção</ns0:t>
        </ns0:is>
      </ns0:c>
      <ns0:c r="S391" s="94"/>
      <ns0:c r="T391" s="94" t="inlineStr">
        <ns0:is>
          <ns0:t>Não incluído no preço; disponibilidade por confirmar</ns0:t>
        </ns0:is>
      </ns0:c>
      <ns0:c r="U391" s="94"/>
      <ns0:c r="V391" s="94"/>
      <ns0:c r="W391" s="97" t="n">
        <ns0:v>0.9</ns0:v>
      </ns0:c>
      <ns0:c r="X391" s="94" t="inlineStr">
        <ns0:is>
          <ns0:t>A · Premium local; vistas estimadas</ns0:t>
        </ns0:is>
      </ns0:c>
      <ns0:c r="Y391" s="94" t="inlineStr">
        <ns0:is>
          <ns0:t>Média</ns0:t>
        </ns0:is>
      </ns0:c>
      <ns0:c r="Z391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391" s="94" t="inlineStr">
        <ns0:is>
          <ns0:t>Confirmar vista, orientação, disponibilidade e condições atuais.</ns0:t>
        </ns0:is>
      </ns0:c>
      <ns0:c r="AB391" s="94" t="inlineStr">
        <ns0:is>
          <ns0:t>Média</ns0:t>
        </ns0:is>
      </ns0:c>
      <ns0:c r="AJ391" s="94" t="inlineStr">
        <ns0:is>
          <ns0:t>LF</ns0:t>
        </ns0:is>
      </ns0:c>
      <ns0:c r="AK391" s="94" t="inlineStr">
        <ns0:is>
          <ns0:t>Convencional</ns0:t>
        </ns0:is>
      </ns0:c>
      <ns0:c r="AL391" s="94" t="n">
        <ns0:v>3</ns0:v>
      </ns0:c>
      <ns0:c r="AM391" s="94" t="n">
        <ns0:v>4</ns0:v>
      </ns0:c>
      <ns0:c r="AN391" s="94" t="inlineStr">
        <ns0:is>
          <ns0:t>Estimada · baixa</ns0:t>
        </ns0:is>
      </ns0:c>
      <ns0:c r="AO391" s="94" t="inlineStr">
        <ns0:is>
          <ns0:t>Estimativa de implantação fornecida pela gestão; piso considerado sem confirmação geométrica.</ns0:t>
        </ns0:is>
      </ns0:c>
      <ns0:c r="AP391" s="94" t="inlineStr">
        <ns0:is>
          <ns0:t>Sim</ns0:t>
        </ns0:is>
      </ns0:c>
      <ns0:c r="AQ391" s="94" t="inlineStr">
        <ns0:is>
          <ns0:t>Olhão</ns0:t>
        </ns0:is>
      </ns0:c>
      <ns0:c r="AR391" s="94" t="inlineStr">
        <ns0:is>
          <ns0:t>BelaFormosa Price List September 2026, p. 1</ns0:t>
        </ns0:is>
      </ns0:c>
    </ns0:row>
    <ns0:row r="392" ht="72" customHeight="1">
      <ns0:c r="A392" s="94" t="inlineStr">
        <ns0:is>
          <ns0:t>BelaFormosa</ns0:t>
        </ns0:is>
      </ns0:c>
      <ns0:c r="B392" s="94" t="inlineStr">
        <ns0:is>
          <ns0:t>LF204</ns0:t>
        </ns0:is>
      </ns0:c>
      <ns0:c r="C392" s="94" t="n">
        <ns0:v>2</ns0:v>
      </ns0:c>
      <ns0:c r="D392" s="94" t="inlineStr">
        <ns0:is>
          <ns0:t>T3</ns0:t>
        </ns0:is>
      </ns0:c>
      <ns0:c r="E392" s="94"/>
      <ns0:c r="F392" s="97" t="n">
        <ns0:v>164.5</ns0:v>
      </ns0:c>
      <ns0:c r="G392" s="97" t="n">
        <ns0:v>61.5</ns0:v>
      </ns0:c>
      <ns0:c r="H392" s="97" t="n">
        <ns0:v>226.0</ns0:v>
      </ns0:c>
      <ns0:c r="I392" s="95" t="n">
        <ns0:v>1855000</ns0:v>
      </ns0:c>
      <ns0:c r="J392" s="94" t="n">
        <ns0:v>2026</ns0:v>
      </ns0:c>
      <ns0:c r="K392" s="95" t="n">
        <ns0:v>11276.595744680852</ns0:v>
      </ns0:c>
      <ns0:c r="L392" s="95" t="n">
        <ns0:v>8207.964601769912</ns0:v>
      </ns0:c>
      <ns0:c r="M392" s="94" t="inlineStr">
        <ns0:is>
          <ns0:t>Ativo</ns0:t>
        </ns0:is>
      </ns0:c>
      <ns0:c r="N392" s="94" t="inlineStr">
        <ns0:is>
          <ns0:t>BelaFormosa · Price List September 2026 · p. 3</ns0:t>
        </ns0:is>
      </ns0:c>
      <ns0:c r="O392" s="94"/>
      <ns0:c r="P392" s="94" t="inlineStr">
        <ns0:is>
          <ns0:t>2026-09</ns0:t>
        </ns0:is>
      </ns0:c>
      <ns0:c r="Q392" s="94" t="inlineStr">
        <ns0:is>
          <ns0:t>Premium local</ns0:t>
        </ns0:is>
      </ns0:c>
      <ns0:c r="R392" s="94" t="inlineStr">
        <ns0:is>
          <ns0:t>Nova construção</ns0:t>
        </ns0:is>
      </ns0:c>
      <ns0:c r="S392" s="94"/>
      <ns0:c r="T392" s="94" t="inlineStr">
        <ns0:is>
          <ns0:t>Não incluído no preço; disponibilidade por confirmar</ns0:t>
        </ns0:is>
      </ns0:c>
      <ns0:c r="U392" s="94"/>
      <ns0:c r="V392" s="94"/>
      <ns0:c r="W392" s="97" t="n">
        <ns0:v>0.9</ns0:v>
      </ns0:c>
      <ns0:c r="X392" s="94" t="inlineStr">
        <ns0:is>
          <ns0:t>A · Premium local; vistas estimadas</ns0:t>
        </ns0:is>
      </ns0:c>
      <ns0:c r="Y392" s="94" t="inlineStr">
        <ns0:is>
          <ns0:t>Média</ns0:t>
        </ns0:is>
      </ns0:c>
      <ns0:c r="Z392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392" s="94" t="inlineStr">
        <ns0:is>
          <ns0:t>Confirmar vista, orientação, disponibilidade e condições atuais.</ns0:t>
        </ns0:is>
      </ns0:c>
      <ns0:c r="AB392" s="94" t="inlineStr">
        <ns0:is>
          <ns0:t>Média</ns0:t>
        </ns0:is>
      </ns0:c>
      <ns0:c r="AJ392" s="94" t="inlineStr">
        <ns0:is>
          <ns0:t>LF</ns0:t>
        </ns0:is>
      </ns0:c>
      <ns0:c r="AK392" s="94" t="inlineStr">
        <ns0:is>
          <ns0:t>Convencional</ns0:t>
        </ns0:is>
      </ns0:c>
      <ns0:c r="AL392" s="94" t="n">
        <ns0:v>1</ns0:v>
      </ns0:c>
      <ns0:c r="AM392" s="94" t="n">
        <ns0:v>1</ns0:v>
      </ns0:c>
      <ns0:c r="AN392" s="94" t="inlineStr">
        <ns0:is>
          <ns0:t>Estimada · baixa</ns0:t>
        </ns0:is>
      </ns0:c>
      <ns0:c r="AO392" s="94" t="inlineStr">
        <ns0:is>
          <ns0:t>Estimativa de implantação fornecida pela gestão; piso considerado sem confirmação geométrica.</ns0:t>
        </ns0:is>
      </ns0:c>
      <ns0:c r="AP392" s="94" t="inlineStr">
        <ns0:is>
          <ns0:t>Sim</ns0:t>
        </ns0:is>
      </ns0:c>
      <ns0:c r="AQ392" s="94" t="inlineStr">
        <ns0:is>
          <ns0:t>Olhão</ns0:t>
        </ns0:is>
      </ns0:c>
      <ns0:c r="AR392" s="94" t="inlineStr">
        <ns0:is>
          <ns0:t>BelaFormosa Price List September 2026, p. 1</ns0:t>
        </ns0:is>
      </ns0:c>
    </ns0:row>
    <ns0:row r="393" ht="72" customHeight="1">
      <ns0:c r="A393" s="94" t="inlineStr">
        <ns0:is>
          <ns0:t>BelaFormosa</ns0:t>
        </ns0:is>
      </ns0:c>
      <ns0:c r="B393" s="94" t="inlineStr">
        <ns0:is>
          <ns0:t>LF205</ns0:t>
        </ns0:is>
      </ns0:c>
      <ns0:c r="C393" s="94" t="n">
        <ns0:v>2</ns0:v>
      </ns0:c>
      <ns0:c r="D393" s="94" t="inlineStr">
        <ns0:is>
          <ns0:t>T3</ns0:t>
        </ns0:is>
      </ns0:c>
      <ns0:c r="E393" s="94"/>
      <ns0:c r="F393" s="97" t="n">
        <ns0:v>164.5</ns0:v>
      </ns0:c>
      <ns0:c r="G393" s="97" t="n">
        <ns0:v>61.5</ns0:v>
      </ns0:c>
      <ns0:c r="H393" s="97" t="n">
        <ns0:v>226.0</ns0:v>
      </ns0:c>
      <ns0:c r="I393" s="95" t="n">
        <ns0:v>1855000</ns0:v>
      </ns0:c>
      <ns0:c r="J393" s="94" t="n">
        <ns0:v>2026</ns0:v>
      </ns0:c>
      <ns0:c r="K393" s="95" t="n">
        <ns0:v>11276.595744680852</ns0:v>
      </ns0:c>
      <ns0:c r="L393" s="95" t="n">
        <ns0:v>8207.964601769912</ns0:v>
      </ns0:c>
      <ns0:c r="M393" s="94" t="inlineStr">
        <ns0:is>
          <ns0:t>Ativo</ns0:t>
        </ns0:is>
      </ns0:c>
      <ns0:c r="N393" s="94" t="inlineStr">
        <ns0:is>
          <ns0:t>BelaFormosa · Price List September 2026 · p. 3</ns0:t>
        </ns0:is>
      </ns0:c>
      <ns0:c r="O393" s="94"/>
      <ns0:c r="P393" s="94" t="inlineStr">
        <ns0:is>
          <ns0:t>2026-09</ns0:t>
        </ns0:is>
      </ns0:c>
      <ns0:c r="Q393" s="94" t="inlineStr">
        <ns0:is>
          <ns0:t>Premium local</ns0:t>
        </ns0:is>
      </ns0:c>
      <ns0:c r="R393" s="94" t="inlineStr">
        <ns0:is>
          <ns0:t>Nova construção</ns0:t>
        </ns0:is>
      </ns0:c>
      <ns0:c r="S393" s="94"/>
      <ns0:c r="T393" s="94" t="inlineStr">
        <ns0:is>
          <ns0:t>Não incluído no preço; disponibilidade por confirmar</ns0:t>
        </ns0:is>
      </ns0:c>
      <ns0:c r="U393" s="94"/>
      <ns0:c r="V393" s="94"/>
      <ns0:c r="W393" s="97" t="n">
        <ns0:v>0.9</ns0:v>
      </ns0:c>
      <ns0:c r="X393" s="94" t="inlineStr">
        <ns0:is>
          <ns0:t>A · Premium local; vistas estimadas</ns0:t>
        </ns0:is>
      </ns0:c>
      <ns0:c r="Y393" s="94" t="inlineStr">
        <ns0:is>
          <ns0:t>Média</ns0:t>
        </ns0:is>
      </ns0:c>
      <ns0:c r="Z393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393" s="94" t="inlineStr">
        <ns0:is>
          <ns0:t>Confirmar vista, orientação, disponibilidade e condições atuais.</ns0:t>
        </ns0:is>
      </ns0:c>
      <ns0:c r="AB393" s="94" t="inlineStr">
        <ns0:is>
          <ns0:t>Média</ns0:t>
        </ns0:is>
      </ns0:c>
      <ns0:c r="AJ393" s="94" t="inlineStr">
        <ns0:is>
          <ns0:t>LF</ns0:t>
        </ns0:is>
      </ns0:c>
      <ns0:c r="AK393" s="94" t="inlineStr">
        <ns0:is>
          <ns0:t>Convencional</ns0:t>
        </ns0:is>
      </ns0:c>
      <ns0:c r="AL393" s="94" t="n">
        <ns0:v>1</ns0:v>
      </ns0:c>
      <ns0:c r="AM393" s="94" t="n">
        <ns0:v>1</ns0:v>
      </ns0:c>
      <ns0:c r="AN393" s="94" t="inlineStr">
        <ns0:is>
          <ns0:t>Estimada · baixa</ns0:t>
        </ns0:is>
      </ns0:c>
      <ns0:c r="AO393" s="94" t="inlineStr">
        <ns0:is>
          <ns0:t>Estimativa de implantação fornecida pela gestão; piso considerado sem confirmação geométrica.</ns0:t>
        </ns0:is>
      </ns0:c>
      <ns0:c r="AP393" s="94" t="inlineStr">
        <ns0:is>
          <ns0:t>Sim</ns0:t>
        </ns0:is>
      </ns0:c>
      <ns0:c r="AQ393" s="94" t="inlineStr">
        <ns0:is>
          <ns0:t>Olhão</ns0:t>
        </ns0:is>
      </ns0:c>
      <ns0:c r="AR393" s="94" t="inlineStr">
        <ns0:is>
          <ns0:t>BelaFormosa Price List September 2026, p. 1</ns0:t>
        </ns0:is>
      </ns0:c>
    </ns0:row>
    <ns0:row r="394" ht="72" customHeight="1">
      <ns0:c r="A394" s="94" t="inlineStr">
        <ns0:is>
          <ns0:t>BelaFormosa</ns0:t>
        </ns0:is>
      </ns0:c>
      <ns0:c r="B394" s="94" t="inlineStr">
        <ns0:is>
          <ns0:t>LF206</ns0:t>
        </ns0:is>
      </ns0:c>
      <ns0:c r="C394" s="94" t="n">
        <ns0:v>2</ns0:v>
      </ns0:c>
      <ns0:c r="D394" s="94" t="inlineStr">
        <ns0:is>
          <ns0:t>T2</ns0:t>
        </ns0:is>
      </ns0:c>
      <ns0:c r="E394" s="94"/>
      <ns0:c r="F394" s="97" t="n">
        <ns0:v>100.25</ns0:v>
      </ns0:c>
      <ns0:c r="G394" s="97" t="n">
        <ns0:v>19.0</ns0:v>
      </ns0:c>
      <ns0:c r="H394" s="97" t="n">
        <ns0:v>119.25</ns0:v>
      </ns0:c>
      <ns0:c r="I394" s="95" t="n">
        <ns0:v>1050000</ns0:v>
      </ns0:c>
      <ns0:c r="J394" s="94" t="n">
        <ns0:v>2026</ns0:v>
      </ns0:c>
      <ns0:c r="K394" s="95" t="n">
        <ns0:v>10473.815461346634</ns0:v>
      </ns0:c>
      <ns0:c r="L394" s="95" t="n">
        <ns0:v>8805.031446540881</ns0:v>
      </ns0:c>
      <ns0:c r="M394" s="94" t="inlineStr">
        <ns0:is>
          <ns0:t>Ativo</ns0:t>
        </ns0:is>
      </ns0:c>
      <ns0:c r="N394" s="94" t="inlineStr">
        <ns0:is>
          <ns0:t>BelaFormosa · Price List September 2026 · p. 3</ns0:t>
        </ns0:is>
      </ns0:c>
      <ns0:c r="O394" s="94"/>
      <ns0:c r="P394" s="94" t="inlineStr">
        <ns0:is>
          <ns0:t>2026-09</ns0:t>
        </ns0:is>
      </ns0:c>
      <ns0:c r="Q394" s="94" t="inlineStr">
        <ns0:is>
          <ns0:t>Premium local</ns0:t>
        </ns0:is>
      </ns0:c>
      <ns0:c r="R394" s="94" t="inlineStr">
        <ns0:is>
          <ns0:t>Nova construção</ns0:t>
        </ns0:is>
      </ns0:c>
      <ns0:c r="S394" s="94"/>
      <ns0:c r="T394" s="94" t="inlineStr">
        <ns0:is>
          <ns0:t>Não incluído no preço; disponibilidade por confirmar</ns0:t>
        </ns0:is>
      </ns0:c>
      <ns0:c r="U394" s="94"/>
      <ns0:c r="V394" s="94"/>
      <ns0:c r="W394" s="97" t="n">
        <ns0:v>0.9</ns0:v>
      </ns0:c>
      <ns0:c r="X394" s="94" t="inlineStr">
        <ns0:is>
          <ns0:t>A · Premium local; vistas estimadas</ns0:t>
        </ns0:is>
      </ns0:c>
      <ns0:c r="Y394" s="94" t="inlineStr">
        <ns0:is>
          <ns0:t>Média</ns0:t>
        </ns0:is>
      </ns0:c>
      <ns0:c r="Z394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394" s="94" t="inlineStr">
        <ns0:is>
          <ns0:t>Confirmar vista, orientação, disponibilidade e condições atuais.</ns0:t>
        </ns0:is>
      </ns0:c>
      <ns0:c r="AB394" s="94" t="inlineStr">
        <ns0:is>
          <ns0:t>Média</ns0:t>
        </ns0:is>
      </ns0:c>
      <ns0:c r="AJ394" s="94" t="inlineStr">
        <ns0:is>
          <ns0:t>LF</ns0:t>
        </ns0:is>
      </ns0:c>
      <ns0:c r="AK394" s="94" t="inlineStr">
        <ns0:is>
          <ns0:t>Convencional</ns0:t>
        </ns0:is>
      </ns0:c>
      <ns0:c r="AL394" s="94" t="n">
        <ns0:v>2</ns0:v>
      </ns0:c>
      <ns0:c r="AM394" s="94" t="n">
        <ns0:v>3</ns0:v>
      </ns0:c>
      <ns0:c r="AN394" s="94" t="inlineStr">
        <ns0:is>
          <ns0:t>Estimada · baixa</ns0:t>
        </ns0:is>
      </ns0:c>
      <ns0:c r="AO394" s="94" t="inlineStr">
        <ns0:is>
          <ns0:t>Estimativa de implantação fornecida pela gestão; piso considerado sem confirmação geométrica.</ns0:t>
        </ns0:is>
      </ns0:c>
      <ns0:c r="AP394" s="94" t="inlineStr">
        <ns0:is>
          <ns0:t>Sim</ns0:t>
        </ns0:is>
      </ns0:c>
      <ns0:c r="AQ394" s="94" t="inlineStr">
        <ns0:is>
          <ns0:t>Olhão</ns0:t>
        </ns0:is>
      </ns0:c>
      <ns0:c r="AR394" s="94" t="inlineStr">
        <ns0:is>
          <ns0:t>BelaFormosa Price List September 2026, p. 1</ns0:t>
        </ns0:is>
      </ns0:c>
    </ns0:row>
    <ns0:row r="395" ht="72" customHeight="1">
      <ns0:c r="A395" s="94" t="inlineStr">
        <ns0:is>
          <ns0:t>BelaFormosa</ns0:t>
        </ns0:is>
      </ns0:c>
      <ns0:c r="B395" s="94" t="inlineStr">
        <ns0:is>
          <ns0:t>LF207</ns0:t>
        </ns0:is>
      </ns0:c>
      <ns0:c r="C395" s="94" t="n">
        <ns0:v>2</ns0:v>
      </ns0:c>
      <ns0:c r="D395" s="94" t="inlineStr">
        <ns0:is>
          <ns0:t>T2</ns0:t>
        </ns0:is>
      </ns0:c>
      <ns0:c r="E395" s="94"/>
      <ns0:c r="F395" s="97" t="n">
        <ns0:v>100.25</ns0:v>
      </ns0:c>
      <ns0:c r="G395" s="97" t="n">
        <ns0:v>19.0</ns0:v>
      </ns0:c>
      <ns0:c r="H395" s="97" t="n">
        <ns0:v>119.25</ns0:v>
      </ns0:c>
      <ns0:c r="I395" s="95" t="n">
        <ns0:v>1000000</ns0:v>
      </ns0:c>
      <ns0:c r="J395" s="94" t="n">
        <ns0:v>2026</ns0:v>
      </ns0:c>
      <ns0:c r="K395" s="95" t="n">
        <ns0:v>9975.062344139651</ns0:v>
      </ns0:c>
      <ns0:c r="L395" s="95" t="n">
        <ns0:v>8385.744234800839</ns0:v>
      </ns0:c>
      <ns0:c r="M395" s="94" t="inlineStr">
        <ns0:is>
          <ns0:t>Ativo</ns0:t>
        </ns0:is>
      </ns0:c>
      <ns0:c r="N395" s="94" t="inlineStr">
        <ns0:is>
          <ns0:t>BelaFormosa · Price List September 2026 · p. 3</ns0:t>
        </ns0:is>
      </ns0:c>
      <ns0:c r="O395" s="94"/>
      <ns0:c r="P395" s="94" t="inlineStr">
        <ns0:is>
          <ns0:t>2026-09</ns0:t>
        </ns0:is>
      </ns0:c>
      <ns0:c r="Q395" s="94" t="inlineStr">
        <ns0:is>
          <ns0:t>Premium local</ns0:t>
        </ns0:is>
      </ns0:c>
      <ns0:c r="R395" s="94" t="inlineStr">
        <ns0:is>
          <ns0:t>Nova construção</ns0:t>
        </ns0:is>
      </ns0:c>
      <ns0:c r="S395" s="94"/>
      <ns0:c r="T395" s="94" t="inlineStr">
        <ns0:is>
          <ns0:t>Não incluído no preço; disponibilidade por confirmar</ns0:t>
        </ns0:is>
      </ns0:c>
      <ns0:c r="U395" s="94"/>
      <ns0:c r="V395" s="94"/>
      <ns0:c r="W395" s="97" t="n">
        <ns0:v>0.9</ns0:v>
      </ns0:c>
      <ns0:c r="X395" s="94" t="inlineStr">
        <ns0:is>
          <ns0:t>A · Premium local; vistas estimadas</ns0:t>
        </ns0:is>
      </ns0:c>
      <ns0:c r="Y395" s="94" t="inlineStr">
        <ns0:is>
          <ns0:t>Média</ns0:t>
        </ns0:is>
      </ns0:c>
      <ns0:c r="Z395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395" s="94" t="inlineStr">
        <ns0:is>
          <ns0:t>Confirmar vista, orientação, disponibilidade e condições atuais.</ns0:t>
        </ns0:is>
      </ns0:c>
      <ns0:c r="AB395" s="94" t="inlineStr">
        <ns0:is>
          <ns0:t>Média</ns0:t>
        </ns0:is>
      </ns0:c>
      <ns0:c r="AJ395" s="94" t="inlineStr">
        <ns0:is>
          <ns0:t>LF</ns0:t>
        </ns0:is>
      </ns0:c>
      <ns0:c r="AK395" s="94" t="inlineStr">
        <ns0:is>
          <ns0:t>Convencional</ns0:t>
        </ns0:is>
      </ns0:c>
      <ns0:c r="AL395" s="94" t="n">
        <ns0:v>2</ns0:v>
      </ns0:c>
      <ns0:c r="AM395" s="94" t="n">
        <ns0:v>3</ns0:v>
      </ns0:c>
      <ns0:c r="AN395" s="94" t="inlineStr">
        <ns0:is>
          <ns0:t>Estimada · baixa</ns0:t>
        </ns0:is>
      </ns0:c>
      <ns0:c r="AO395" s="94" t="inlineStr">
        <ns0:is>
          <ns0:t>Estimativa de implantação fornecida pela gestão; piso considerado sem confirmação geométrica.</ns0:t>
        </ns0:is>
      </ns0:c>
      <ns0:c r="AP395" s="94" t="inlineStr">
        <ns0:is>
          <ns0:t>Sim</ns0:t>
        </ns0:is>
      </ns0:c>
      <ns0:c r="AQ395" s="94" t="inlineStr">
        <ns0:is>
          <ns0:t>Olhão</ns0:t>
        </ns0:is>
      </ns0:c>
      <ns0:c r="AR395" s="94" t="inlineStr">
        <ns0:is>
          <ns0:t>BelaFormosa Price List September 2026, p. 1</ns0:t>
        </ns0:is>
      </ns0:c>
    </ns0:row>
    <ns0:row r="396" ht="72" customHeight="1">
      <ns0:c r="A396" s="94" t="inlineStr">
        <ns0:is>
          <ns0:t>BelaFormosa</ns0:t>
        </ns0:is>
      </ns0:c>
      <ns0:c r="B396" s="94" t="inlineStr">
        <ns0:is>
          <ns0:t>LF208</ns0:t>
        </ns0:is>
      </ns0:c>
      <ns0:c r="C396" s="94" t="n">
        <ns0:v>2</ns0:v>
      </ns0:c>
      <ns0:c r="D396" s="94" t="inlineStr">
        <ns0:is>
          <ns0:t>T2</ns0:t>
        </ns0:is>
      </ns0:c>
      <ns0:c r="E396" s="94"/>
      <ns0:c r="F396" s="97" t="n">
        <ns0:v>100.25</ns0:v>
      </ns0:c>
      <ns0:c r="G396" s="97" t="n">
        <ns0:v>18.5</ns0:v>
      </ns0:c>
      <ns0:c r="H396" s="97" t="n">
        <ns0:v>118.75</ns0:v>
      </ns0:c>
      <ns0:c r="I396" s="95" t="n">
        <ns0:v>990000</ns0:v>
      </ns0:c>
      <ns0:c r="J396" s="94" t="n">
        <ns0:v>2026</ns0:v>
      </ns0:c>
      <ns0:c r="K396" s="95" t="n">
        <ns0:v>9875.311720698255</ns0:v>
      </ns0:c>
      <ns0:c r="L396" s="95" t="n">
        <ns0:v>8336.842105263158</ns0:v>
      </ns0:c>
      <ns0:c r="M396" s="94" t="inlineStr">
        <ns0:is>
          <ns0:t>Ativo</ns0:t>
        </ns0:is>
      </ns0:c>
      <ns0:c r="N396" s="94" t="inlineStr">
        <ns0:is>
          <ns0:t>BelaFormosa · Price List September 2026 · p. 3</ns0:t>
        </ns0:is>
      </ns0:c>
      <ns0:c r="O396" s="94"/>
      <ns0:c r="P396" s="94" t="inlineStr">
        <ns0:is>
          <ns0:t>2026-09</ns0:t>
        </ns0:is>
      </ns0:c>
      <ns0:c r="Q396" s="94" t="inlineStr">
        <ns0:is>
          <ns0:t>Premium local</ns0:t>
        </ns0:is>
      </ns0:c>
      <ns0:c r="R396" s="94" t="inlineStr">
        <ns0:is>
          <ns0:t>Nova construção</ns0:t>
        </ns0:is>
      </ns0:c>
      <ns0:c r="S396" s="94"/>
      <ns0:c r="T396" s="94" t="inlineStr">
        <ns0:is>
          <ns0:t>Não incluído no preço; disponibilidade por confirmar</ns0:t>
        </ns0:is>
      </ns0:c>
      <ns0:c r="U396" s="94"/>
      <ns0:c r="V396" s="94"/>
      <ns0:c r="W396" s="97" t="n">
        <ns0:v>0.9</ns0:v>
      </ns0:c>
      <ns0:c r="X396" s="94" t="inlineStr">
        <ns0:is>
          <ns0:t>A · Premium local; vistas estimadas</ns0:t>
        </ns0:is>
      </ns0:c>
      <ns0:c r="Y396" s="94" t="inlineStr">
        <ns0:is>
          <ns0:t>Média</ns0:t>
        </ns0:is>
      </ns0:c>
      <ns0:c r="Z396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396" s="94" t="inlineStr">
        <ns0:is>
          <ns0:t>Confirmar vista, orientação, disponibilidade e condições atuais.</ns0:t>
        </ns0:is>
      </ns0:c>
      <ns0:c r="AB396" s="94" t="inlineStr">
        <ns0:is>
          <ns0:t>Média</ns0:t>
        </ns0:is>
      </ns0:c>
      <ns0:c r="AJ396" s="94" t="inlineStr">
        <ns0:is>
          <ns0:t>LF</ns0:t>
        </ns0:is>
      </ns0:c>
      <ns0:c r="AK396" s="94" t="inlineStr">
        <ns0:is>
          <ns0:t>Convencional</ns0:t>
        </ns0:is>
      </ns0:c>
      <ns0:c r="AL396" s="94" t="n">
        <ns0:v>2</ns0:v>
      </ns0:c>
      <ns0:c r="AM396" s="94" t="n">
        <ns0:v>3</ns0:v>
      </ns0:c>
      <ns0:c r="AN396" s="94" t="inlineStr">
        <ns0:is>
          <ns0:t>Estimada · baixa</ns0:t>
        </ns0:is>
      </ns0:c>
      <ns0:c r="AO396" s="94" t="inlineStr">
        <ns0:is>
          <ns0:t>Estimativa de implantação fornecida pela gestão; piso considerado sem confirmação geométrica.</ns0:t>
        </ns0:is>
      </ns0:c>
      <ns0:c r="AP396" s="94" t="inlineStr">
        <ns0:is>
          <ns0:t>Sim</ns0:t>
        </ns0:is>
      </ns0:c>
      <ns0:c r="AQ396" s="94" t="inlineStr">
        <ns0:is>
          <ns0:t>Olhão</ns0:t>
        </ns0:is>
      </ns0:c>
      <ns0:c r="AR396" s="94" t="inlineStr">
        <ns0:is>
          <ns0:t>BelaFormosa Price List September 2026, p. 1</ns0:t>
        </ns0:is>
      </ns0:c>
    </ns0:row>
    <ns0:row r="397" ht="72" customHeight="1">
      <ns0:c r="A397" s="94" t="inlineStr">
        <ns0:is>
          <ns0:t>BelaFormosa</ns0:t>
        </ns0:is>
      </ns0:c>
      <ns0:c r="B397" s="94" t="inlineStr">
        <ns0:is>
          <ns0:t>LF301</ns0:t>
        </ns0:is>
      </ns0:c>
      <ns0:c r="C397" s="94" t="n">
        <ns0:v>3</ns0:v>
      </ns0:c>
      <ns0:c r="D397" s="94" t="inlineStr">
        <ns0:is>
          <ns0:t>T2</ns0:t>
        </ns0:is>
      </ns0:c>
      <ns0:c r="E397" s="94"/>
      <ns0:c r="F397" s="97" t="n">
        <ns0:v>100.25</ns0:v>
      </ns0:c>
      <ns0:c r="G397" s="97" t="n">
        <ns0:v>18.5</ns0:v>
      </ns0:c>
      <ns0:c r="H397" s="97" t="n">
        <ns0:v>118.75</ns0:v>
      </ns0:c>
      <ns0:c r="I397" s="95" t="n">
        <ns0:v>955000</ns0:v>
      </ns0:c>
      <ns0:c r="J397" s="94" t="n">
        <ns0:v>2026</ns0:v>
      </ns0:c>
      <ns0:c r="K397" s="95" t="n">
        <ns0:v>9526.184538653366</ns0:v>
      </ns0:c>
      <ns0:c r="L397" s="95" t="n">
        <ns0:v>8042.105263157895</ns0:v>
      </ns0:c>
      <ns0:c r="M397" s="94" t="inlineStr">
        <ns0:is>
          <ns0:t>Ativo</ns0:t>
        </ns0:is>
      </ns0:c>
      <ns0:c r="N397" s="94" t="inlineStr">
        <ns0:is>
          <ns0:t>BelaFormosa · Price List September 2026 · p. 3</ns0:t>
        </ns0:is>
      </ns0:c>
      <ns0:c r="O397" s="94"/>
      <ns0:c r="P397" s="94" t="inlineStr">
        <ns0:is>
          <ns0:t>2026-09</ns0:t>
        </ns0:is>
      </ns0:c>
      <ns0:c r="Q397" s="94" t="inlineStr">
        <ns0:is>
          <ns0:t>Premium local</ns0:t>
        </ns0:is>
      </ns0:c>
      <ns0:c r="R397" s="94" t="inlineStr">
        <ns0:is>
          <ns0:t>Nova construção</ns0:t>
        </ns0:is>
      </ns0:c>
      <ns0:c r="S397" s="94"/>
      <ns0:c r="T397" s="94" t="inlineStr">
        <ns0:is>
          <ns0:t>Não incluído no preço; disponibilidade por confirmar</ns0:t>
        </ns0:is>
      </ns0:c>
      <ns0:c r="U397" s="94"/>
      <ns0:c r="V397" s="94"/>
      <ns0:c r="W397" s="97" t="n">
        <ns0:v>0.9</ns0:v>
      </ns0:c>
      <ns0:c r="X397" s="94" t="inlineStr">
        <ns0:is>
          <ns0:t>A · Premium local; vistas estimadas</ns0:t>
        </ns0:is>
      </ns0:c>
      <ns0:c r="Y397" s="94" t="inlineStr">
        <ns0:is>
          <ns0:t>Média</ns0:t>
        </ns0:is>
      </ns0:c>
      <ns0:c r="Z397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397" s="94" t="inlineStr">
        <ns0:is>
          <ns0:t>Confirmar vista, orientação, disponibilidade e condições atuais.</ns0:t>
        </ns0:is>
      </ns0:c>
      <ns0:c r="AB397" s="94" t="inlineStr">
        <ns0:is>
          <ns0:t>Média</ns0:t>
        </ns0:is>
      </ns0:c>
      <ns0:c r="AJ397" s="94" t="inlineStr">
        <ns0:is>
          <ns0:t>LF</ns0:t>
        </ns0:is>
      </ns0:c>
      <ns0:c r="AK397" s="94" t="inlineStr">
        <ns0:is>
          <ns0:t>Convencional</ns0:t>
        </ns0:is>
      </ns0:c>
      <ns0:c r="AL397" s="94" t="n">
        <ns0:v>3</ns0:v>
      </ns0:c>
      <ns0:c r="AM397" s="94" t="n">
        <ns0:v>4</ns0:v>
      </ns0:c>
      <ns0:c r="AN397" s="94" t="inlineStr">
        <ns0:is>
          <ns0:t>Estimada · baixa</ns0:t>
        </ns0:is>
      </ns0:c>
      <ns0:c r="AO397" s="94" t="inlineStr">
        <ns0:is>
          <ns0:t>Estimativa de implantação fornecida pela gestão; piso considerado sem confirmação geométrica.</ns0:t>
        </ns0:is>
      </ns0:c>
      <ns0:c r="AP397" s="94" t="inlineStr">
        <ns0:is>
          <ns0:t>Sim</ns0:t>
        </ns0:is>
      </ns0:c>
      <ns0:c r="AQ397" s="94" t="inlineStr">
        <ns0:is>
          <ns0:t>Olhão</ns0:t>
        </ns0:is>
      </ns0:c>
      <ns0:c r="AR397" s="94" t="inlineStr">
        <ns0:is>
          <ns0:t>BelaFormosa Price List September 2026, p. 1</ns0:t>
        </ns0:is>
      </ns0:c>
    </ns0:row>
    <ns0:row r="398" ht="72" customHeight="1">
      <ns0:c r="A398" s="94" t="inlineStr">
        <ns0:is>
          <ns0:t>BelaFormosa</ns0:t>
        </ns0:is>
      </ns0:c>
      <ns0:c r="B398" s="94" t="inlineStr">
        <ns0:is>
          <ns0:t>LF302</ns0:t>
        </ns0:is>
      </ns0:c>
      <ns0:c r="C398" s="94" t="n">
        <ns0:v>3</ns0:v>
      </ns0:c>
      <ns0:c r="D398" s="94" t="inlineStr">
        <ns0:is>
          <ns0:t>T2</ns0:t>
        </ns0:is>
      </ns0:c>
      <ns0:c r="E398" s="94"/>
      <ns0:c r="F398" s="97" t="n">
        <ns0:v>100.25</ns0:v>
      </ns0:c>
      <ns0:c r="G398" s="97" t="n">
        <ns0:v>19.0</ns0:v>
      </ns0:c>
      <ns0:c r="H398" s="97" t="n">
        <ns0:v>119.25</ns0:v>
      </ns0:c>
      <ns0:c r="I398" s="95" t="n">
        <ns0:v>965000</ns0:v>
      </ns0:c>
      <ns0:c r="J398" s="94" t="n">
        <ns0:v>2026</ns0:v>
      </ns0:c>
      <ns0:c r="K398" s="95" t="n">
        <ns0:v>9625.935162094764</ns0:v>
      </ns0:c>
      <ns0:c r="L398" s="95" t="n">
        <ns0:v>8092.243186582809</ns0:v>
      </ns0:c>
      <ns0:c r="M398" s="94" t="inlineStr">
        <ns0:is>
          <ns0:t>Ativo</ns0:t>
        </ns0:is>
      </ns0:c>
      <ns0:c r="N398" s="94" t="inlineStr">
        <ns0:is>
          <ns0:t>BelaFormosa · Price List September 2026 · p. 3</ns0:t>
        </ns0:is>
      </ns0:c>
      <ns0:c r="O398" s="94"/>
      <ns0:c r="P398" s="94" t="inlineStr">
        <ns0:is>
          <ns0:t>2026-09</ns0:t>
        </ns0:is>
      </ns0:c>
      <ns0:c r="Q398" s="94" t="inlineStr">
        <ns0:is>
          <ns0:t>Premium local</ns0:t>
        </ns0:is>
      </ns0:c>
      <ns0:c r="R398" s="94" t="inlineStr">
        <ns0:is>
          <ns0:t>Nova construção</ns0:t>
        </ns0:is>
      </ns0:c>
      <ns0:c r="S398" s="94"/>
      <ns0:c r="T398" s="94" t="inlineStr">
        <ns0:is>
          <ns0:t>Não incluído no preço; disponibilidade por confirmar</ns0:t>
        </ns0:is>
      </ns0:c>
      <ns0:c r="U398" s="94"/>
      <ns0:c r="V398" s="94"/>
      <ns0:c r="W398" s="97" t="n">
        <ns0:v>0.9</ns0:v>
      </ns0:c>
      <ns0:c r="X398" s="94" t="inlineStr">
        <ns0:is>
          <ns0:t>A · Premium local; vistas estimadas</ns0:t>
        </ns0:is>
      </ns0:c>
      <ns0:c r="Y398" s="94" t="inlineStr">
        <ns0:is>
          <ns0:t>Média</ns0:t>
        </ns0:is>
      </ns0:c>
      <ns0:c r="Z398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398" s="94" t="inlineStr">
        <ns0:is>
          <ns0:t>Confirmar vista, orientação, disponibilidade e condições atuais.</ns0:t>
        </ns0:is>
      </ns0:c>
      <ns0:c r="AB398" s="94" t="inlineStr">
        <ns0:is>
          <ns0:t>Média</ns0:t>
        </ns0:is>
      </ns0:c>
      <ns0:c r="AJ398" s="94" t="inlineStr">
        <ns0:is>
          <ns0:t>LF</ns0:t>
        </ns0:is>
      </ns0:c>
      <ns0:c r="AK398" s="94" t="inlineStr">
        <ns0:is>
          <ns0:t>Convencional</ns0:t>
        </ns0:is>
      </ns0:c>
      <ns0:c r="AL398" s="94" t="n">
        <ns0:v>3</ns0:v>
      </ns0:c>
      <ns0:c r="AM398" s="94" t="n">
        <ns0:v>4</ns0:v>
      </ns0:c>
      <ns0:c r="AN398" s="94" t="inlineStr">
        <ns0:is>
          <ns0:t>Estimada · baixa</ns0:t>
        </ns0:is>
      </ns0:c>
      <ns0:c r="AO398" s="94" t="inlineStr">
        <ns0:is>
          <ns0:t>Estimativa de implantação fornecida pela gestão; piso considerado sem confirmação geométrica.</ns0:t>
        </ns0:is>
      </ns0:c>
      <ns0:c r="AP398" s="94" t="inlineStr">
        <ns0:is>
          <ns0:t>Sim</ns0:t>
        </ns0:is>
      </ns0:c>
      <ns0:c r="AQ398" s="94" t="inlineStr">
        <ns0:is>
          <ns0:t>Olhão</ns0:t>
        </ns0:is>
      </ns0:c>
      <ns0:c r="AR398" s="94" t="inlineStr">
        <ns0:is>
          <ns0:t>BelaFormosa Price List September 2026, p. 1</ns0:t>
        </ns0:is>
      </ns0:c>
    </ns0:row>
    <ns0:row r="399" ht="72" customHeight="1">
      <ns0:c r="A399" s="94" t="inlineStr">
        <ns0:is>
          <ns0:t>BelaFormosa</ns0:t>
        </ns0:is>
      </ns0:c>
      <ns0:c r="B399" s="94" t="inlineStr">
        <ns0:is>
          <ns0:t>LF303</ns0:t>
        </ns0:is>
      </ns0:c>
      <ns0:c r="C399" s="94" t="n">
        <ns0:v>3</ns0:v>
      </ns0:c>
      <ns0:c r="D399" s="94" t="inlineStr">
        <ns0:is>
          <ns0:t>T2</ns0:t>
        </ns0:is>
      </ns0:c>
      <ns0:c r="E399" s="94"/>
      <ns0:c r="F399" s="97" t="n">
        <ns0:v>100.25</ns0:v>
      </ns0:c>
      <ns0:c r="G399" s="97" t="n">
        <ns0:v>19.0</ns0:v>
      </ns0:c>
      <ns0:c r="H399" s="97" t="n">
        <ns0:v>119.25</ns0:v>
      </ns0:c>
      <ns0:c r="I399" s="95" t="n">
        <ns0:v>1020000</ns0:v>
      </ns0:c>
      <ns0:c r="J399" s="94" t="n">
        <ns0:v>2026</ns0:v>
      </ns0:c>
      <ns0:c r="K399" s="95" t="n">
        <ns0:v>10174.563591022445</ns0:v>
      </ns0:c>
      <ns0:c r="L399" s="95" t="n">
        <ns0:v>8553.459119496856</ns0:v>
      </ns0:c>
      <ns0:c r="M399" s="94" t="inlineStr">
        <ns0:is>
          <ns0:t>Ativo</ns0:t>
        </ns0:is>
      </ns0:c>
      <ns0:c r="N399" s="94" t="inlineStr">
        <ns0:is>
          <ns0:t>BelaFormosa · Price List September 2026 · p. 3</ns0:t>
        </ns0:is>
      </ns0:c>
      <ns0:c r="O399" s="94"/>
      <ns0:c r="P399" s="94" t="inlineStr">
        <ns0:is>
          <ns0:t>2026-09</ns0:t>
        </ns0:is>
      </ns0:c>
      <ns0:c r="Q399" s="94" t="inlineStr">
        <ns0:is>
          <ns0:t>Premium local</ns0:t>
        </ns0:is>
      </ns0:c>
      <ns0:c r="R399" s="94" t="inlineStr">
        <ns0:is>
          <ns0:t>Nova construção</ns0:t>
        </ns0:is>
      </ns0:c>
      <ns0:c r="S399" s="94"/>
      <ns0:c r="T399" s="94" t="inlineStr">
        <ns0:is>
          <ns0:t>Não incluído no preço; disponibilidade por confirmar</ns0:t>
        </ns0:is>
      </ns0:c>
      <ns0:c r="U399" s="94"/>
      <ns0:c r="V399" s="94"/>
      <ns0:c r="W399" s="97" t="n">
        <ns0:v>0.9</ns0:v>
      </ns0:c>
      <ns0:c r="X399" s="94" t="inlineStr">
        <ns0:is>
          <ns0:t>A · Premium local; vistas estimadas</ns0:t>
        </ns0:is>
      </ns0:c>
      <ns0:c r="Y399" s="94" t="inlineStr">
        <ns0:is>
          <ns0:t>Média</ns0:t>
        </ns0:is>
      </ns0:c>
      <ns0:c r="Z399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399" s="94" t="inlineStr">
        <ns0:is>
          <ns0:t>Confirmar vista, orientação, disponibilidade e condições atuais.</ns0:t>
        </ns0:is>
      </ns0:c>
      <ns0:c r="AB399" s="94" t="inlineStr">
        <ns0:is>
          <ns0:t>Média</ns0:t>
        </ns0:is>
      </ns0:c>
      <ns0:c r="AJ399" s="94" t="inlineStr">
        <ns0:is>
          <ns0:t>LF</ns0:t>
        </ns0:is>
      </ns0:c>
      <ns0:c r="AK399" s="94" t="inlineStr">
        <ns0:is>
          <ns0:t>Convencional</ns0:t>
        </ns0:is>
      </ns0:c>
      <ns0:c r="AL399" s="94" t="n">
        <ns0:v>3</ns0:v>
      </ns0:c>
      <ns0:c r="AM399" s="94" t="n">
        <ns0:v>4</ns0:v>
      </ns0:c>
      <ns0:c r="AN399" s="94" t="inlineStr">
        <ns0:is>
          <ns0:t>Estimada · baixa</ns0:t>
        </ns0:is>
      </ns0:c>
      <ns0:c r="AO399" s="94" t="inlineStr">
        <ns0:is>
          <ns0:t>Estimativa de implantação fornecida pela gestão; piso considerado sem confirmação geométrica.</ns0:t>
        </ns0:is>
      </ns0:c>
      <ns0:c r="AP399" s="94" t="inlineStr">
        <ns0:is>
          <ns0:t>Sim</ns0:t>
        </ns0:is>
      </ns0:c>
      <ns0:c r="AQ399" s="94" t="inlineStr">
        <ns0:is>
          <ns0:t>Olhão</ns0:t>
        </ns0:is>
      </ns0:c>
      <ns0:c r="AR399" s="94" t="inlineStr">
        <ns0:is>
          <ns0:t>BelaFormosa Price List September 2026, p. 1</ns0:t>
        </ns0:is>
      </ns0:c>
    </ns0:row>
    <ns0:row r="400" ht="72" customHeight="1">
      <ns0:c r="A400" s="94" t="inlineStr">
        <ns0:is>
          <ns0:t>BelaFormosa</ns0:t>
        </ns0:is>
      </ns0:c>
      <ns0:c r="B400" s="94" t="inlineStr">
        <ns0:is>
          <ns0:t>LF304</ns0:t>
        </ns0:is>
      </ns0:c>
      <ns0:c r="C400" s="94" t="n">
        <ns0:v>3</ns0:v>
      </ns0:c>
      <ns0:c r="D400" s="94" t="inlineStr">
        <ns0:is>
          <ns0:t>T3</ns0:t>
        </ns0:is>
      </ns0:c>
      <ns0:c r="E400" s="94"/>
      <ns0:c r="F400" s="97" t="n">
        <ns0:v>164.5</ns0:v>
      </ns0:c>
      <ns0:c r="G400" s="97" t="n">
        <ns0:v>58.75</ns0:v>
      </ns0:c>
      <ns0:c r="H400" s="97" t="n">
        <ns0:v>223.25</ns0:v>
      </ns0:c>
      <ns0:c r="I400" s="95" t="n">
        <ns0:v>2005000</ns0:v>
      </ns0:c>
      <ns0:c r="J400" s="94" t="n">
        <ns0:v>2026</ns0:v>
      </ns0:c>
      <ns0:c r="K400" s="95" t="n">
        <ns0:v>12188.449848024316</ns0:v>
      </ns0:c>
      <ns0:c r="L400" s="95" t="n">
        <ns0:v>8980.963045912655</ns0:v>
      </ns0:c>
      <ns0:c r="M400" s="94" t="inlineStr">
        <ns0:is>
          <ns0:t>Ativo</ns0:t>
        </ns0:is>
      </ns0:c>
      <ns0:c r="N400" s="94" t="inlineStr">
        <ns0:is>
          <ns0:t>BelaFormosa · Price List September 2026 · p. 3</ns0:t>
        </ns0:is>
      </ns0:c>
      <ns0:c r="O400" s="94"/>
      <ns0:c r="P400" s="94" t="inlineStr">
        <ns0:is>
          <ns0:t>2026-09</ns0:t>
        </ns0:is>
      </ns0:c>
      <ns0:c r="Q400" s="94" t="inlineStr">
        <ns0:is>
          <ns0:t>Premium local</ns0:t>
        </ns0:is>
      </ns0:c>
      <ns0:c r="R400" s="94" t="inlineStr">
        <ns0:is>
          <ns0:t>Nova construção</ns0:t>
        </ns0:is>
      </ns0:c>
      <ns0:c r="S400" s="94"/>
      <ns0:c r="T400" s="94" t="inlineStr">
        <ns0:is>
          <ns0:t>Não incluído no preço; disponibilidade por confirmar</ns0:t>
        </ns0:is>
      </ns0:c>
      <ns0:c r="U400" s="94"/>
      <ns0:c r="V400" s="94"/>
      <ns0:c r="W400" s="97" t="n">
        <ns0:v>0.9</ns0:v>
      </ns0:c>
      <ns0:c r="X400" s="94" t="inlineStr">
        <ns0:is>
          <ns0:t>A · Premium local; vistas estimadas</ns0:t>
        </ns0:is>
      </ns0:c>
      <ns0:c r="Y400" s="94" t="inlineStr">
        <ns0:is>
          <ns0:t>Média</ns0:t>
        </ns0:is>
      </ns0:c>
      <ns0:c r="Z400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400" s="94" t="inlineStr">
        <ns0:is>
          <ns0:t>Confirmar vista, orientação, disponibilidade e condições atuais.</ns0:t>
        </ns0:is>
      </ns0:c>
      <ns0:c r="AB400" s="94" t="inlineStr">
        <ns0:is>
          <ns0:t>Média</ns0:t>
        </ns0:is>
      </ns0:c>
      <ns0:c r="AJ400" s="94" t="inlineStr">
        <ns0:is>
          <ns0:t>LF</ns0:t>
        </ns0:is>
      </ns0:c>
      <ns0:c r="AK400" s="94" t="inlineStr">
        <ns0:is>
          <ns0:t>Convencional</ns0:t>
        </ns0:is>
      </ns0:c>
      <ns0:c r="AL400" s="94" t="n">
        <ns0:v>1</ns0:v>
      </ns0:c>
      <ns0:c r="AM400" s="94" t="n">
        <ns0:v>1</ns0:v>
      </ns0:c>
      <ns0:c r="AN400" s="94" t="inlineStr">
        <ns0:is>
          <ns0:t>Estimada · baixa</ns0:t>
        </ns0:is>
      </ns0:c>
      <ns0:c r="AO400" s="94" t="inlineStr">
        <ns0:is>
          <ns0:t>Estimativa de implantação fornecida pela gestão; piso considerado sem confirmação geométrica.</ns0:t>
        </ns0:is>
      </ns0:c>
      <ns0:c r="AP400" s="94" t="inlineStr">
        <ns0:is>
          <ns0:t>Sim</ns0:t>
        </ns0:is>
      </ns0:c>
      <ns0:c r="AQ400" s="94" t="inlineStr">
        <ns0:is>
          <ns0:t>Olhão</ns0:t>
        </ns0:is>
      </ns0:c>
      <ns0:c r="AR400" s="94" t="inlineStr">
        <ns0:is>
          <ns0:t>BelaFormosa Price List September 2026, p. 1</ns0:t>
        </ns0:is>
      </ns0:c>
    </ns0:row>
    <ns0:row r="401" ht="72" customHeight="1">
      <ns0:c r="A401" s="94" t="inlineStr">
        <ns0:is>
          <ns0:t>BelaFormosa</ns0:t>
        </ns0:is>
      </ns0:c>
      <ns0:c r="B401" s="94" t="inlineStr">
        <ns0:is>
          <ns0:t>LF305</ns0:t>
        </ns0:is>
      </ns0:c>
      <ns0:c r="C401" s="94" t="n">
        <ns0:v>3</ns0:v>
      </ns0:c>
      <ns0:c r="D401" s="94" t="inlineStr">
        <ns0:is>
          <ns0:t>T3</ns0:t>
        </ns0:is>
      </ns0:c>
      <ns0:c r="E401" s="94"/>
      <ns0:c r="F401" s="97" t="n">
        <ns0:v>164.5</ns0:v>
      </ns0:c>
      <ns0:c r="G401" s="97" t="n">
        <ns0:v>58.75</ns0:v>
      </ns0:c>
      <ns0:c r="H401" s="97" t="n">
        <ns0:v>223.25</ns0:v>
      </ns0:c>
      <ns0:c r="I401" s="95" t="n">
        <ns0:v>2005000</ns0:v>
      </ns0:c>
      <ns0:c r="J401" s="94" t="n">
        <ns0:v>2026</ns0:v>
      </ns0:c>
      <ns0:c r="K401" s="95" t="n">
        <ns0:v>12188.449848024316</ns0:v>
      </ns0:c>
      <ns0:c r="L401" s="95" t="n">
        <ns0:v>8980.963045912655</ns0:v>
      </ns0:c>
      <ns0:c r="M401" s="94" t="inlineStr">
        <ns0:is>
          <ns0:t>Ativo</ns0:t>
        </ns0:is>
      </ns0:c>
      <ns0:c r="N401" s="94" t="inlineStr">
        <ns0:is>
          <ns0:t>BelaFormosa · Price List September 2026 · p. 3</ns0:t>
        </ns0:is>
      </ns0:c>
      <ns0:c r="O401" s="94"/>
      <ns0:c r="P401" s="94" t="inlineStr">
        <ns0:is>
          <ns0:t>2026-09</ns0:t>
        </ns0:is>
      </ns0:c>
      <ns0:c r="Q401" s="94" t="inlineStr">
        <ns0:is>
          <ns0:t>Premium local</ns0:t>
        </ns0:is>
      </ns0:c>
      <ns0:c r="R401" s="94" t="inlineStr">
        <ns0:is>
          <ns0:t>Nova construção</ns0:t>
        </ns0:is>
      </ns0:c>
      <ns0:c r="S401" s="94"/>
      <ns0:c r="T401" s="94" t="inlineStr">
        <ns0:is>
          <ns0:t>Não incluído no preço; disponibilidade por confirmar</ns0:t>
        </ns0:is>
      </ns0:c>
      <ns0:c r="U401" s="94"/>
      <ns0:c r="V401" s="94"/>
      <ns0:c r="W401" s="97" t="n">
        <ns0:v>0.9</ns0:v>
      </ns0:c>
      <ns0:c r="X401" s="94" t="inlineStr">
        <ns0:is>
          <ns0:t>A · Premium local; vistas estimadas</ns0:t>
        </ns0:is>
      </ns0:c>
      <ns0:c r="Y401" s="94" t="inlineStr">
        <ns0:is>
          <ns0:t>Média</ns0:t>
        </ns0:is>
      </ns0:c>
      <ns0:c r="Z401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401" s="94" t="inlineStr">
        <ns0:is>
          <ns0:t>Confirmar vista, orientação, disponibilidade e condições atuais.</ns0:t>
        </ns0:is>
      </ns0:c>
      <ns0:c r="AB401" s="94" t="inlineStr">
        <ns0:is>
          <ns0:t>Média</ns0:t>
        </ns0:is>
      </ns0:c>
      <ns0:c r="AJ401" s="94" t="inlineStr">
        <ns0:is>
          <ns0:t>LF</ns0:t>
        </ns0:is>
      </ns0:c>
      <ns0:c r="AK401" s="94" t="inlineStr">
        <ns0:is>
          <ns0:t>Convencional</ns0:t>
        </ns0:is>
      </ns0:c>
      <ns0:c r="AL401" s="94" t="n">
        <ns0:v>1</ns0:v>
      </ns0:c>
      <ns0:c r="AM401" s="94" t="n">
        <ns0:v>1</ns0:v>
      </ns0:c>
      <ns0:c r="AN401" s="94" t="inlineStr">
        <ns0:is>
          <ns0:t>Estimada · baixa</ns0:t>
        </ns0:is>
      </ns0:c>
      <ns0:c r="AO401" s="94" t="inlineStr">
        <ns0:is>
          <ns0:t>Estimativa de implantação fornecida pela gestão; piso considerado sem confirmação geométrica.</ns0:t>
        </ns0:is>
      </ns0:c>
      <ns0:c r="AP401" s="94" t="inlineStr">
        <ns0:is>
          <ns0:t>Sim</ns0:t>
        </ns0:is>
      </ns0:c>
      <ns0:c r="AQ401" s="94" t="inlineStr">
        <ns0:is>
          <ns0:t>Olhão</ns0:t>
        </ns0:is>
      </ns0:c>
      <ns0:c r="AR401" s="94" t="inlineStr">
        <ns0:is>
          <ns0:t>BelaFormosa Price List September 2026, p. 1</ns0:t>
        </ns0:is>
      </ns0:c>
    </ns0:row>
    <ns0:row r="402" ht="72" customHeight="1">
      <ns0:c r="A402" s="94" t="inlineStr">
        <ns0:is>
          <ns0:t>BelaFormosa</ns0:t>
        </ns0:is>
      </ns0:c>
      <ns0:c r="B402" s="94" t="inlineStr">
        <ns0:is>
          <ns0:t>LF306</ns0:t>
        </ns0:is>
      </ns0:c>
      <ns0:c r="C402" s="94" t="n">
        <ns0:v>3</ns0:v>
      </ns0:c>
      <ns0:c r="D402" s="94" t="inlineStr">
        <ns0:is>
          <ns0:t>T2</ns0:t>
        </ns0:is>
      </ns0:c>
      <ns0:c r="E402" s="94"/>
      <ns0:c r="F402" s="97" t="n">
        <ns0:v>100.25</ns0:v>
      </ns0:c>
      <ns0:c r="G402" s="97" t="n">
        <ns0:v>19.0</ns0:v>
      </ns0:c>
      <ns0:c r="H402" s="97" t="n">
        <ns0:v>119.25</ns0:v>
      </ns0:c>
      <ns0:c r="I402" s="95" t="n">
        <ns0:v>1135000</ns0:v>
      </ns0:c>
      <ns0:c r="J402" s="94" t="n">
        <ns0:v>2026</ns0:v>
      </ns0:c>
      <ns0:c r="K402" s="95" t="n">
        <ns0:v>11321.695760598504</ns0:v>
      </ns0:c>
      <ns0:c r="L402" s="95" t="n">
        <ns0:v>9517.819706498953</ns0:v>
      </ns0:c>
      <ns0:c r="M402" s="94" t="inlineStr">
        <ns0:is>
          <ns0:t>Ativo</ns0:t>
        </ns0:is>
      </ns0:c>
      <ns0:c r="N402" s="94" t="inlineStr">
        <ns0:is>
          <ns0:t>BelaFormosa · Price List September 2026 · p. 3</ns0:t>
        </ns0:is>
      </ns0:c>
      <ns0:c r="O402" s="94"/>
      <ns0:c r="P402" s="94" t="inlineStr">
        <ns0:is>
          <ns0:t>2026-09</ns0:t>
        </ns0:is>
      </ns0:c>
      <ns0:c r="Q402" s="94" t="inlineStr">
        <ns0:is>
          <ns0:t>Premium local</ns0:t>
        </ns0:is>
      </ns0:c>
      <ns0:c r="R402" s="94" t="inlineStr">
        <ns0:is>
          <ns0:t>Nova construção</ns0:t>
        </ns0:is>
      </ns0:c>
      <ns0:c r="S402" s="94"/>
      <ns0:c r="T402" s="94" t="inlineStr">
        <ns0:is>
          <ns0:t>Não incluído no preço; disponibilidade por confirmar</ns0:t>
        </ns0:is>
      </ns0:c>
      <ns0:c r="U402" s="94"/>
      <ns0:c r="V402" s="94"/>
      <ns0:c r="W402" s="97" t="n">
        <ns0:v>0.9</ns0:v>
      </ns0:c>
      <ns0:c r="X402" s="94" t="inlineStr">
        <ns0:is>
          <ns0:t>A · Premium local; vistas estimadas</ns0:t>
        </ns0:is>
      </ns0:c>
      <ns0:c r="Y402" s="94" t="inlineStr">
        <ns0:is>
          <ns0:t>Média</ns0:t>
        </ns0:is>
      </ns0:c>
      <ns0:c r="Z402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02" s="94" t="inlineStr">
        <ns0:is>
          <ns0:t>Confirmar vista, orientação, disponibilidade e condições atuais.</ns0:t>
        </ns0:is>
      </ns0:c>
      <ns0:c r="AB402" s="94" t="inlineStr">
        <ns0:is>
          <ns0:t>Média</ns0:t>
        </ns0:is>
      </ns0:c>
      <ns0:c r="AJ402" s="94" t="inlineStr">
        <ns0:is>
          <ns0:t>LF</ns0:t>
        </ns0:is>
      </ns0:c>
      <ns0:c r="AK402" s="94" t="inlineStr">
        <ns0:is>
          <ns0:t>Convencional</ns0:t>
        </ns0:is>
      </ns0:c>
      <ns0:c r="AL402" s="94" t="n">
        <ns0:v>2</ns0:v>
      </ns0:c>
      <ns0:c r="AM402" s="94" t="n">
        <ns0:v>3</ns0:v>
      </ns0:c>
      <ns0:c r="AN402" s="94" t="inlineStr">
        <ns0:is>
          <ns0:t>Estimada · baixa</ns0:t>
        </ns0:is>
      </ns0:c>
      <ns0:c r="AO402" s="94" t="inlineStr">
        <ns0:is>
          <ns0:t>Estimativa de implantação fornecida pela gestão; piso considerado sem confirmação geométrica.</ns0:t>
        </ns0:is>
      </ns0:c>
      <ns0:c r="AP402" s="94" t="inlineStr">
        <ns0:is>
          <ns0:t>Sim</ns0:t>
        </ns0:is>
      </ns0:c>
      <ns0:c r="AQ402" s="94" t="inlineStr">
        <ns0:is>
          <ns0:t>Olhão</ns0:t>
        </ns0:is>
      </ns0:c>
      <ns0:c r="AR402" s="94" t="inlineStr">
        <ns0:is>
          <ns0:t>BelaFormosa Price List September 2026, p. 1</ns0:t>
        </ns0:is>
      </ns0:c>
    </ns0:row>
    <ns0:row r="403" ht="72" customHeight="1">
      <ns0:c r="A403" s="94" t="inlineStr">
        <ns0:is>
          <ns0:t>BelaFormosa</ns0:t>
        </ns0:is>
      </ns0:c>
      <ns0:c r="B403" s="94" t="inlineStr">
        <ns0:is>
          <ns0:t>LF307</ns0:t>
        </ns0:is>
      </ns0:c>
      <ns0:c r="C403" s="94" t="n">
        <ns0:v>3</ns0:v>
      </ns0:c>
      <ns0:c r="D403" s="94" t="inlineStr">
        <ns0:is>
          <ns0:t>T2</ns0:t>
        </ns0:is>
      </ns0:c>
      <ns0:c r="E403" s="94"/>
      <ns0:c r="F403" s="97" t="n">
        <ns0:v>100.25</ns0:v>
      </ns0:c>
      <ns0:c r="G403" s="97" t="n">
        <ns0:v>19.0</ns0:v>
      </ns0:c>
      <ns0:c r="H403" s="97" t="n">
        <ns0:v>119.25</ns0:v>
      </ns0:c>
      <ns0:c r="I403" s="95" t="n">
        <ns0:v>1080000</ns0:v>
      </ns0:c>
      <ns0:c r="J403" s="94" t="n">
        <ns0:v>2026</ns0:v>
      </ns0:c>
      <ns0:c r="K403" s="95" t="n">
        <ns0:v>10773.067331670823</ns0:v>
      </ns0:c>
      <ns0:c r="L403" s="95" t="n">
        <ns0:v>9056.603773584906</ns0:v>
      </ns0:c>
      <ns0:c r="M403" s="94" t="inlineStr">
        <ns0:is>
          <ns0:t>Ativo</ns0:t>
        </ns0:is>
      </ns0:c>
      <ns0:c r="N403" s="94" t="inlineStr">
        <ns0:is>
          <ns0:t>BelaFormosa · Price List September 2026 · p. 3</ns0:t>
        </ns0:is>
      </ns0:c>
      <ns0:c r="O403" s="94"/>
      <ns0:c r="P403" s="94" t="inlineStr">
        <ns0:is>
          <ns0:t>2026-09</ns0:t>
        </ns0:is>
      </ns0:c>
      <ns0:c r="Q403" s="94" t="inlineStr">
        <ns0:is>
          <ns0:t>Premium local</ns0:t>
        </ns0:is>
      </ns0:c>
      <ns0:c r="R403" s="94" t="inlineStr">
        <ns0:is>
          <ns0:t>Nova construção</ns0:t>
        </ns0:is>
      </ns0:c>
      <ns0:c r="S403" s="94"/>
      <ns0:c r="T403" s="94" t="inlineStr">
        <ns0:is>
          <ns0:t>Não incluído no preço; disponibilidade por confirmar</ns0:t>
        </ns0:is>
      </ns0:c>
      <ns0:c r="U403" s="94"/>
      <ns0:c r="V403" s="94"/>
      <ns0:c r="W403" s="97" t="n">
        <ns0:v>0.9</ns0:v>
      </ns0:c>
      <ns0:c r="X403" s="94" t="inlineStr">
        <ns0:is>
          <ns0:t>A · Premium local; vistas estimadas</ns0:t>
        </ns0:is>
      </ns0:c>
      <ns0:c r="Y403" s="94" t="inlineStr">
        <ns0:is>
          <ns0:t>Média</ns0:t>
        </ns0:is>
      </ns0:c>
      <ns0:c r="Z403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03" s="94" t="inlineStr">
        <ns0:is>
          <ns0:t>Confirmar vista, orientação, disponibilidade e condições atuais.</ns0:t>
        </ns0:is>
      </ns0:c>
      <ns0:c r="AB403" s="94" t="inlineStr">
        <ns0:is>
          <ns0:t>Média</ns0:t>
        </ns0:is>
      </ns0:c>
      <ns0:c r="AJ403" s="94" t="inlineStr">
        <ns0:is>
          <ns0:t>LF</ns0:t>
        </ns0:is>
      </ns0:c>
      <ns0:c r="AK403" s="94" t="inlineStr">
        <ns0:is>
          <ns0:t>Convencional</ns0:t>
        </ns0:is>
      </ns0:c>
      <ns0:c r="AL403" s="94" t="n">
        <ns0:v>2</ns0:v>
      </ns0:c>
      <ns0:c r="AM403" s="94" t="n">
        <ns0:v>3</ns0:v>
      </ns0:c>
      <ns0:c r="AN403" s="94" t="inlineStr">
        <ns0:is>
          <ns0:t>Estimada · baixa</ns0:t>
        </ns0:is>
      </ns0:c>
      <ns0:c r="AO403" s="94" t="inlineStr">
        <ns0:is>
          <ns0:t>Estimativa de implantação fornecida pela gestão; piso considerado sem confirmação geométrica.</ns0:t>
        </ns0:is>
      </ns0:c>
      <ns0:c r="AP403" s="94" t="inlineStr">
        <ns0:is>
          <ns0:t>Sim</ns0:t>
        </ns0:is>
      </ns0:c>
      <ns0:c r="AQ403" s="94" t="inlineStr">
        <ns0:is>
          <ns0:t>Olhão</ns0:t>
        </ns0:is>
      </ns0:c>
      <ns0:c r="AR403" s="94" t="inlineStr">
        <ns0:is>
          <ns0:t>BelaFormosa Price List September 2026, p. 1</ns0:t>
        </ns0:is>
      </ns0:c>
    </ns0:row>
    <ns0:row r="404" ht="72" customHeight="1">
      <ns0:c r="A404" s="94" t="inlineStr">
        <ns0:is>
          <ns0:t>BelaFormosa</ns0:t>
        </ns0:is>
      </ns0:c>
      <ns0:c r="B404" s="94" t="inlineStr">
        <ns0:is>
          <ns0:t>LF308</ns0:t>
        </ns0:is>
      </ns0:c>
      <ns0:c r="C404" s="94" t="n">
        <ns0:v>3</ns0:v>
      </ns0:c>
      <ns0:c r="D404" s="94" t="inlineStr">
        <ns0:is>
          <ns0:t>T2</ns0:t>
        </ns0:is>
      </ns0:c>
      <ns0:c r="E404" s="94"/>
      <ns0:c r="F404" s="97" t="n">
        <ns0:v>100.25</ns0:v>
      </ns0:c>
      <ns0:c r="G404" s="97" t="n">
        <ns0:v>18.5</ns0:v>
      </ns0:c>
      <ns0:c r="H404" s="97" t="n">
        <ns0:v>118.75</ns0:v>
      </ns0:c>
      <ns0:c r="I404" s="95" t="n">
        <ns0:v>1065000</ns0:v>
      </ns0:c>
      <ns0:c r="J404" s="94" t="n">
        <ns0:v>2026</ns0:v>
      </ns0:c>
      <ns0:c r="K404" s="95" t="n">
        <ns0:v>10623.441396508728</ns0:v>
      </ns0:c>
      <ns0:c r="L404" s="95" t="n">
        <ns0:v>8968.421052631578</ns0:v>
      </ns0:c>
      <ns0:c r="M404" s="94" t="inlineStr">
        <ns0:is>
          <ns0:t>Ativo</ns0:t>
        </ns0:is>
      </ns0:c>
      <ns0:c r="N404" s="94" t="inlineStr">
        <ns0:is>
          <ns0:t>BelaFormosa · Price List September 2026 · p. 3</ns0:t>
        </ns0:is>
      </ns0:c>
      <ns0:c r="O404" s="94"/>
      <ns0:c r="P404" s="94" t="inlineStr">
        <ns0:is>
          <ns0:t>2026-09</ns0:t>
        </ns0:is>
      </ns0:c>
      <ns0:c r="Q404" s="94" t="inlineStr">
        <ns0:is>
          <ns0:t>Premium local</ns0:t>
        </ns0:is>
      </ns0:c>
      <ns0:c r="R404" s="94" t="inlineStr">
        <ns0:is>
          <ns0:t>Nova construção</ns0:t>
        </ns0:is>
      </ns0:c>
      <ns0:c r="S404" s="94"/>
      <ns0:c r="T404" s="94" t="inlineStr">
        <ns0:is>
          <ns0:t>Não incluído no preço; disponibilidade por confirmar</ns0:t>
        </ns0:is>
      </ns0:c>
      <ns0:c r="U404" s="94"/>
      <ns0:c r="V404" s="94"/>
      <ns0:c r="W404" s="97" t="n">
        <ns0:v>0.9</ns0:v>
      </ns0:c>
      <ns0:c r="X404" s="94" t="inlineStr">
        <ns0:is>
          <ns0:t>A · Premium local; vistas estimadas</ns0:t>
        </ns0:is>
      </ns0:c>
      <ns0:c r="Y404" s="94" t="inlineStr">
        <ns0:is>
          <ns0:t>Média</ns0:t>
        </ns0:is>
      </ns0:c>
      <ns0:c r="Z404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04" s="94" t="inlineStr">
        <ns0:is>
          <ns0:t>Confirmar vista, orientação, disponibilidade e condições atuais.</ns0:t>
        </ns0:is>
      </ns0:c>
      <ns0:c r="AB404" s="94" t="inlineStr">
        <ns0:is>
          <ns0:t>Média</ns0:t>
        </ns0:is>
      </ns0:c>
      <ns0:c r="AJ404" s="94" t="inlineStr">
        <ns0:is>
          <ns0:t>LF</ns0:t>
        </ns0:is>
      </ns0:c>
      <ns0:c r="AK404" s="94" t="inlineStr">
        <ns0:is>
          <ns0:t>Convencional</ns0:t>
        </ns0:is>
      </ns0:c>
      <ns0:c r="AL404" s="94" t="n">
        <ns0:v>2</ns0:v>
      </ns0:c>
      <ns0:c r="AM404" s="94" t="n">
        <ns0:v>3</ns0:v>
      </ns0:c>
      <ns0:c r="AN404" s="94" t="inlineStr">
        <ns0:is>
          <ns0:t>Estimada · baixa</ns0:t>
        </ns0:is>
      </ns0:c>
      <ns0:c r="AO404" s="94" t="inlineStr">
        <ns0:is>
          <ns0:t>Estimativa de implantação fornecida pela gestão; piso considerado sem confirmação geométrica.</ns0:t>
        </ns0:is>
      </ns0:c>
      <ns0:c r="AP404" s="94" t="inlineStr">
        <ns0:is>
          <ns0:t>Sim</ns0:t>
        </ns0:is>
      </ns0:c>
      <ns0:c r="AQ404" s="94" t="inlineStr">
        <ns0:is>
          <ns0:t>Olhão</ns0:t>
        </ns0:is>
      </ns0:c>
      <ns0:c r="AR404" s="94" t="inlineStr">
        <ns0:is>
          <ns0:t>BelaFormosa Price List September 2026, p. 1</ns0:t>
        </ns0:is>
      </ns0:c>
    </ns0:row>
    <ns0:row r="405" ht="72" customHeight="1">
      <ns0:c r="A405" s="94" t="inlineStr">
        <ns0:is>
          <ns0:t>BelaFormosa</ns0:t>
        </ns0:is>
      </ns0:c>
      <ns0:c r="B405" s="94" t="inlineStr">
        <ns0:is>
          <ns0:t>LF401</ns0:t>
        </ns0:is>
      </ns0:c>
      <ns0:c r="C405" s="94" t="n">
        <ns0:v>4</ns0:v>
      </ns0:c>
      <ns0:c r="D405" s="94" t="inlineStr">
        <ns0:is>
          <ns0:t>T2</ns0:t>
        </ns0:is>
      </ns0:c>
      <ns0:c r="E405" s="94"/>
      <ns0:c r="F405" s="97" t="n">
        <ns0:v>100.25</ns0:v>
      </ns0:c>
      <ns0:c r="G405" s="97" t="n">
        <ns0:v>18.5</ns0:v>
      </ns0:c>
      <ns0:c r="H405" s="97" t="n">
        <ns0:v>118.75</ns0:v>
      </ns0:c>
      <ns0:c r="I405" s="95" t="n">
        <ns0:v>1040000</ns0:v>
      </ns0:c>
      <ns0:c r="J405" s="94" t="n">
        <ns0:v>2026</ns0:v>
      </ns0:c>
      <ns0:c r="K405" s="95" t="n">
        <ns0:v>10374.064837905236</ns0:v>
      </ns0:c>
      <ns0:c r="L405" s="95" t="n">
        <ns0:v>8757.894736842105</ns0:v>
      </ns0:c>
      <ns0:c r="M405" s="94" t="inlineStr">
        <ns0:is>
          <ns0:t>Ativo</ns0:t>
        </ns0:is>
      </ns0:c>
      <ns0:c r="N405" s="94" t="inlineStr">
        <ns0:is>
          <ns0:t>BelaFormosa · Price List September 2026 · p. 3</ns0:t>
        </ns0:is>
      </ns0:c>
      <ns0:c r="O405" s="94"/>
      <ns0:c r="P405" s="94" t="inlineStr">
        <ns0:is>
          <ns0:t>2026-09</ns0:t>
        </ns0:is>
      </ns0:c>
      <ns0:c r="Q405" s="94" t="inlineStr">
        <ns0:is>
          <ns0:t>Premium local</ns0:t>
        </ns0:is>
      </ns0:c>
      <ns0:c r="R405" s="94" t="inlineStr">
        <ns0:is>
          <ns0:t>Nova construção</ns0:t>
        </ns0:is>
      </ns0:c>
      <ns0:c r="S405" s="94"/>
      <ns0:c r="T405" s="94" t="inlineStr">
        <ns0:is>
          <ns0:t>Não incluído no preço; disponibilidade por confirmar</ns0:t>
        </ns0:is>
      </ns0:c>
      <ns0:c r="U405" s="94"/>
      <ns0:c r="V405" s="94"/>
      <ns0:c r="W405" s="97" t="n">
        <ns0:v>0.9</ns0:v>
      </ns0:c>
      <ns0:c r="X405" s="94" t="inlineStr">
        <ns0:is>
          <ns0:t>A · Premium local; vistas estimadas</ns0:t>
        </ns0:is>
      </ns0:c>
      <ns0:c r="Y405" s="94" t="inlineStr">
        <ns0:is>
          <ns0:t>Média</ns0:t>
        </ns0:is>
      </ns0:c>
      <ns0:c r="Z405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05" s="94" t="inlineStr">
        <ns0:is>
          <ns0:t>Confirmar vista, orientação, disponibilidade e condições atuais.</ns0:t>
        </ns0:is>
      </ns0:c>
      <ns0:c r="AB405" s="94" t="inlineStr">
        <ns0:is>
          <ns0:t>Média</ns0:t>
        </ns0:is>
      </ns0:c>
      <ns0:c r="AJ405" s="94" t="inlineStr">
        <ns0:is>
          <ns0:t>LF</ns0:t>
        </ns0:is>
      </ns0:c>
      <ns0:c r="AK405" s="94" t="inlineStr">
        <ns0:is>
          <ns0:t>Convencional</ns0:t>
        </ns0:is>
      </ns0:c>
      <ns0:c r="AL405" s="94" t="n">
        <ns0:v>3</ns0:v>
      </ns0:c>
      <ns0:c r="AM405" s="94" t="n">
        <ns0:v>4</ns0:v>
      </ns0:c>
      <ns0:c r="AN405" s="94" t="inlineStr">
        <ns0:is>
          <ns0:t>Estimada · média</ns0:t>
        </ns0:is>
      </ns0:c>
      <ns0:c r="AO405" s="94" t="inlineStr">
        <ns0:is>
          <ns0:t>Estimativa de implantação fornecida pela gestão; piso considerado sem confirmação geométrica.</ns0:t>
        </ns0:is>
      </ns0:c>
      <ns0:c r="AP405" s="94" t="inlineStr">
        <ns0:is>
          <ns0:t>Sim</ns0:t>
        </ns0:is>
      </ns0:c>
      <ns0:c r="AQ405" s="94" t="inlineStr">
        <ns0:is>
          <ns0:t>Olhão</ns0:t>
        </ns0:is>
      </ns0:c>
      <ns0:c r="AR405" s="94" t="inlineStr">
        <ns0:is>
          <ns0:t>BelaFormosa Price List September 2026, p. 1</ns0:t>
        </ns0:is>
      </ns0:c>
    </ns0:row>
    <ns0:row r="406" ht="72" customHeight="1">
      <ns0:c r="A406" s="94" t="inlineStr">
        <ns0:is>
          <ns0:t>BelaFormosa</ns0:t>
        </ns0:is>
      </ns0:c>
      <ns0:c r="B406" s="94" t="inlineStr">
        <ns0:is>
          <ns0:t>LF402</ns0:t>
        </ns0:is>
      </ns0:c>
      <ns0:c r="C406" s="94" t="n">
        <ns0:v>4</ns0:v>
      </ns0:c>
      <ns0:c r="D406" s="94" t="inlineStr">
        <ns0:is>
          <ns0:t>T2</ns0:t>
        </ns0:is>
      </ns0:c>
      <ns0:c r="E406" s="94"/>
      <ns0:c r="F406" s="97" t="n">
        <ns0:v>100.25</ns0:v>
      </ns0:c>
      <ns0:c r="G406" s="97" t="n">
        <ns0:v>19.0</ns0:v>
      </ns0:c>
      <ns0:c r="H406" s="97" t="n">
        <ns0:v>119.25</ns0:v>
      </ns0:c>
      <ns0:c r="I406" s="95" t="n">
        <ns0:v>1050000</ns0:v>
      </ns0:c>
      <ns0:c r="J406" s="94" t="n">
        <ns0:v>2026</ns0:v>
      </ns0:c>
      <ns0:c r="K406" s="95" t="n">
        <ns0:v>10473.815461346634</ns0:v>
      </ns0:c>
      <ns0:c r="L406" s="95" t="n">
        <ns0:v>8805.031446540881</ns0:v>
      </ns0:c>
      <ns0:c r="M406" s="94" t="inlineStr">
        <ns0:is>
          <ns0:t>Ativo</ns0:t>
        </ns0:is>
      </ns0:c>
      <ns0:c r="N406" s="94" t="inlineStr">
        <ns0:is>
          <ns0:t>BelaFormosa · Price List September 2026 · p. 3</ns0:t>
        </ns0:is>
      </ns0:c>
      <ns0:c r="O406" s="94"/>
      <ns0:c r="P406" s="94" t="inlineStr">
        <ns0:is>
          <ns0:t>2026-09</ns0:t>
        </ns0:is>
      </ns0:c>
      <ns0:c r="Q406" s="94" t="inlineStr">
        <ns0:is>
          <ns0:t>Premium local</ns0:t>
        </ns0:is>
      </ns0:c>
      <ns0:c r="R406" s="94" t="inlineStr">
        <ns0:is>
          <ns0:t>Nova construção</ns0:t>
        </ns0:is>
      </ns0:c>
      <ns0:c r="S406" s="94"/>
      <ns0:c r="T406" s="94" t="inlineStr">
        <ns0:is>
          <ns0:t>Não incluído no preço; disponibilidade por confirmar</ns0:t>
        </ns0:is>
      </ns0:c>
      <ns0:c r="U406" s="94"/>
      <ns0:c r="V406" s="94"/>
      <ns0:c r="W406" s="97" t="n">
        <ns0:v>0.9</ns0:v>
      </ns0:c>
      <ns0:c r="X406" s="94" t="inlineStr">
        <ns0:is>
          <ns0:t>A · Premium local; vistas estimadas</ns0:t>
        </ns0:is>
      </ns0:c>
      <ns0:c r="Y406" s="94" t="inlineStr">
        <ns0:is>
          <ns0:t>Média</ns0:t>
        </ns0:is>
      </ns0:c>
      <ns0:c r="Z406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06" s="94" t="inlineStr">
        <ns0:is>
          <ns0:t>Confirmar vista, orientação, disponibilidade e condições atuais.</ns0:t>
        </ns0:is>
      </ns0:c>
      <ns0:c r="AB406" s="94" t="inlineStr">
        <ns0:is>
          <ns0:t>Média</ns0:t>
        </ns0:is>
      </ns0:c>
      <ns0:c r="AJ406" s="94" t="inlineStr">
        <ns0:is>
          <ns0:t>LF</ns0:t>
        </ns0:is>
      </ns0:c>
      <ns0:c r="AK406" s="94" t="inlineStr">
        <ns0:is>
          <ns0:t>Convencional</ns0:t>
        </ns0:is>
      </ns0:c>
      <ns0:c r="AL406" s="94" t="n">
        <ns0:v>3</ns0:v>
      </ns0:c>
      <ns0:c r="AM406" s="94" t="n">
        <ns0:v>4</ns0:v>
      </ns0:c>
      <ns0:c r="AN406" s="94" t="inlineStr">
        <ns0:is>
          <ns0:t>Estimada · média</ns0:t>
        </ns0:is>
      </ns0:c>
      <ns0:c r="AO406" s="94" t="inlineStr">
        <ns0:is>
          <ns0:t>Estimativa de implantação fornecida pela gestão; piso considerado sem confirmação geométrica.</ns0:t>
        </ns0:is>
      </ns0:c>
      <ns0:c r="AP406" s="94" t="inlineStr">
        <ns0:is>
          <ns0:t>Sim</ns0:t>
        </ns0:is>
      </ns0:c>
      <ns0:c r="AQ406" s="94" t="inlineStr">
        <ns0:is>
          <ns0:t>Olhão</ns0:t>
        </ns0:is>
      </ns0:c>
      <ns0:c r="AR406" s="94" t="inlineStr">
        <ns0:is>
          <ns0:t>BelaFormosa Price List September 2026, p. 1</ns0:t>
        </ns0:is>
      </ns0:c>
    </ns0:row>
    <ns0:row r="407" ht="72" customHeight="1">
      <ns0:c r="A407" s="94" t="inlineStr">
        <ns0:is>
          <ns0:t>BelaFormosa</ns0:t>
        </ns0:is>
      </ns0:c>
      <ns0:c r="B407" s="94" t="inlineStr">
        <ns0:is>
          <ns0:t>LF403</ns0:t>
        </ns0:is>
      </ns0:c>
      <ns0:c r="C407" s="94" t="n">
        <ns0:v>4</ns0:v>
      </ns0:c>
      <ns0:c r="D407" s="94" t="inlineStr">
        <ns0:is>
          <ns0:t>T2</ns0:t>
        </ns0:is>
      </ns0:c>
      <ns0:c r="E407" s="94"/>
      <ns0:c r="F407" s="97" t="n">
        <ns0:v>100.25</ns0:v>
      </ns0:c>
      <ns0:c r="G407" s="97" t="n">
        <ns0:v>19.0</ns0:v>
      </ns0:c>
      <ns0:c r="H407" s="97" t="n">
        <ns0:v>119.25</ns0:v>
      </ns0:c>
      <ns0:c r="I407" s="95" t="n">
        <ns0:v>1115000</ns0:v>
      </ns0:c>
      <ns0:c r="J407" s="94" t="n">
        <ns0:v>2026</ns0:v>
      </ns0:c>
      <ns0:c r="K407" s="95" t="n">
        <ns0:v>11122.19451371571</ns0:v>
      </ns0:c>
      <ns0:c r="L407" s="95" t="n">
        <ns0:v>9350.104821802935</ns0:v>
      </ns0:c>
      <ns0:c r="M407" s="94" t="inlineStr">
        <ns0:is>
          <ns0:t>Ativo</ns0:t>
        </ns0:is>
      </ns0:c>
      <ns0:c r="N407" s="94" t="inlineStr">
        <ns0:is>
          <ns0:t>BelaFormosa · Price List September 2026 · p. 3</ns0:t>
        </ns0:is>
      </ns0:c>
      <ns0:c r="O407" s="94"/>
      <ns0:c r="P407" s="94" t="inlineStr">
        <ns0:is>
          <ns0:t>2026-09</ns0:t>
        </ns0:is>
      </ns0:c>
      <ns0:c r="Q407" s="94" t="inlineStr">
        <ns0:is>
          <ns0:t>Premium local</ns0:t>
        </ns0:is>
      </ns0:c>
      <ns0:c r="R407" s="94" t="inlineStr">
        <ns0:is>
          <ns0:t>Nova construção</ns0:t>
        </ns0:is>
      </ns0:c>
      <ns0:c r="S407" s="94"/>
      <ns0:c r="T407" s="94" t="inlineStr">
        <ns0:is>
          <ns0:t>Não incluído no preço; disponibilidade por confirmar</ns0:t>
        </ns0:is>
      </ns0:c>
      <ns0:c r="U407" s="94"/>
      <ns0:c r="V407" s="94"/>
      <ns0:c r="W407" s="97" t="n">
        <ns0:v>0.9</ns0:v>
      </ns0:c>
      <ns0:c r="X407" s="94" t="inlineStr">
        <ns0:is>
          <ns0:t>A · Premium local; vistas estimadas</ns0:t>
        </ns0:is>
      </ns0:c>
      <ns0:c r="Y407" s="94" t="inlineStr">
        <ns0:is>
          <ns0:t>Média</ns0:t>
        </ns0:is>
      </ns0:c>
      <ns0:c r="Z407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07" s="94" t="inlineStr">
        <ns0:is>
          <ns0:t>Confirmar vista, orientação, disponibilidade e condições atuais.</ns0:t>
        </ns0:is>
      </ns0:c>
      <ns0:c r="AB407" s="94" t="inlineStr">
        <ns0:is>
          <ns0:t>Média</ns0:t>
        </ns0:is>
      </ns0:c>
      <ns0:c r="AJ407" s="94" t="inlineStr">
        <ns0:is>
          <ns0:t>LF</ns0:t>
        </ns0:is>
      </ns0:c>
      <ns0:c r="AK407" s="94" t="inlineStr">
        <ns0:is>
          <ns0:t>Convencional</ns0:t>
        </ns0:is>
      </ns0:c>
      <ns0:c r="AL407" s="94" t="n">
        <ns0:v>3</ns0:v>
      </ns0:c>
      <ns0:c r="AM407" s="94" t="n">
        <ns0:v>4</ns0:v>
      </ns0:c>
      <ns0:c r="AN407" s="94" t="inlineStr">
        <ns0:is>
          <ns0:t>Estimada · média</ns0:t>
        </ns0:is>
      </ns0:c>
      <ns0:c r="AO407" s="94" t="inlineStr">
        <ns0:is>
          <ns0:t>Estimativa de implantação fornecida pela gestão; piso considerado sem confirmação geométrica.</ns0:t>
        </ns0:is>
      </ns0:c>
      <ns0:c r="AP407" s="94" t="inlineStr">
        <ns0:is>
          <ns0:t>Sim</ns0:t>
        </ns0:is>
      </ns0:c>
      <ns0:c r="AQ407" s="94" t="inlineStr">
        <ns0:is>
          <ns0:t>Olhão</ns0:t>
        </ns0:is>
      </ns0:c>
      <ns0:c r="AR407" s="94" t="inlineStr">
        <ns0:is>
          <ns0:t>BelaFormosa Price List September 2026, p. 1</ns0:t>
        </ns0:is>
      </ns0:c>
    </ns0:row>
    <ns0:row r="408" ht="72" customHeight="1">
      <ns0:c r="A408" s="94" t="inlineStr">
        <ns0:is>
          <ns0:t>BelaFormosa</ns0:t>
        </ns0:is>
      </ns0:c>
      <ns0:c r="B408" s="94" t="inlineStr">
        <ns0:is>
          <ns0:t>LF404</ns0:t>
        </ns0:is>
      </ns0:c>
      <ns0:c r="C408" s="94" t="n">
        <ns0:v>4</ns0:v>
      </ns0:c>
      <ns0:c r="D408" s="94" t="inlineStr">
        <ns0:is>
          <ns0:t>T3</ns0:t>
        </ns0:is>
      </ns0:c>
      <ns0:c r="E408" s="94"/>
      <ns0:c r="F408" s="97" t="n">
        <ns0:v>164.5</ns0:v>
      </ns0:c>
      <ns0:c r="G408" s="97" t="n">
        <ns0:v>61.25</ns0:v>
      </ns0:c>
      <ns0:c r="H408" s="97" t="n">
        <ns0:v>225.75</ns0:v>
      </ns0:c>
      <ns0:c r="I408" s="95" t="n">
        <ns0:v>2185000</ns0:v>
      </ns0:c>
      <ns0:c r="J408" s="94" t="n">
        <ns0:v>2026</ns0:v>
      </ns0:c>
      <ns0:c r="K408" s="95" t="n">
        <ns0:v>13282.674772036475</ns0:v>
      </ns0:c>
      <ns0:c r="L408" s="95" t="n">
        <ns0:v>9678.848283499447</ns0:v>
      </ns0:c>
      <ns0:c r="M408" s="94" t="inlineStr">
        <ns0:is>
          <ns0:t>Ativo</ns0:t>
        </ns0:is>
      </ns0:c>
      <ns0:c r="N408" s="94" t="inlineStr">
        <ns0:is>
          <ns0:t>BelaFormosa · Price List September 2026 · p. 3</ns0:t>
        </ns0:is>
      </ns0:c>
      <ns0:c r="O408" s="94"/>
      <ns0:c r="P408" s="94" t="inlineStr">
        <ns0:is>
          <ns0:t>2026-09</ns0:t>
        </ns0:is>
      </ns0:c>
      <ns0:c r="Q408" s="94" t="inlineStr">
        <ns0:is>
          <ns0:t>Premium local</ns0:t>
        </ns0:is>
      </ns0:c>
      <ns0:c r="R408" s="94" t="inlineStr">
        <ns0:is>
          <ns0:t>Nova construção</ns0:t>
        </ns0:is>
      </ns0:c>
      <ns0:c r="S408" s="94"/>
      <ns0:c r="T408" s="94" t="inlineStr">
        <ns0:is>
          <ns0:t>Não incluído no preço; disponibilidade por confirmar</ns0:t>
        </ns0:is>
      </ns0:c>
      <ns0:c r="U408" s="94"/>
      <ns0:c r="V408" s="94"/>
      <ns0:c r="W408" s="97" t="n">
        <ns0:v>0.9</ns0:v>
      </ns0:c>
      <ns0:c r="X408" s="94" t="inlineStr">
        <ns0:is>
          <ns0:t>A · Premium local; vistas estimadas</ns0:t>
        </ns0:is>
      </ns0:c>
      <ns0:c r="Y408" s="94" t="inlineStr">
        <ns0:is>
          <ns0:t>Média</ns0:t>
        </ns0:is>
      </ns0:c>
      <ns0:c r="Z408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408" s="94" t="inlineStr">
        <ns0:is>
          <ns0:t>Confirmar vista, orientação, disponibilidade e condições atuais.</ns0:t>
        </ns0:is>
      </ns0:c>
      <ns0:c r="AB408" s="94" t="inlineStr">
        <ns0:is>
          <ns0:t>Média</ns0:t>
        </ns0:is>
      </ns0:c>
      <ns0:c r="AJ408" s="94" t="inlineStr">
        <ns0:is>
          <ns0:t>LF</ns0:t>
        </ns0:is>
      </ns0:c>
      <ns0:c r="AK408" s="94" t="inlineStr">
        <ns0:is>
          <ns0:t>Convencional</ns0:t>
        </ns0:is>
      </ns0:c>
      <ns0:c r="AL408" s="94" t="n">
        <ns0:v>1</ns0:v>
      </ns0:c>
      <ns0:c r="AM408" s="94" t="n">
        <ns0:v>1</ns0:v>
      </ns0:c>
      <ns0:c r="AN408" s="94" t="inlineStr">
        <ns0:is>
          <ns0:t>Estimada · média</ns0:t>
        </ns0:is>
      </ns0:c>
      <ns0:c r="AO408" s="94" t="inlineStr">
        <ns0:is>
          <ns0:t>Estimativa de implantação fornecida pela gestão; piso considerado sem confirmação geométrica.</ns0:t>
        </ns0:is>
      </ns0:c>
      <ns0:c r="AP408" s="94" t="inlineStr">
        <ns0:is>
          <ns0:t>Sim</ns0:t>
        </ns0:is>
      </ns0:c>
      <ns0:c r="AQ408" s="94" t="inlineStr">
        <ns0:is>
          <ns0:t>Olhão</ns0:t>
        </ns0:is>
      </ns0:c>
      <ns0:c r="AR408" s="94" t="inlineStr">
        <ns0:is>
          <ns0:t>BelaFormosa Price List September 2026, p. 1</ns0:t>
        </ns0:is>
      </ns0:c>
    </ns0:row>
    <ns0:row r="409" ht="72" customHeight="1">
      <ns0:c r="A409" s="94" t="inlineStr">
        <ns0:is>
          <ns0:t>BelaFormosa</ns0:t>
        </ns0:is>
      </ns0:c>
      <ns0:c r="B409" s="94" t="inlineStr">
        <ns0:is>
          <ns0:t>LF405</ns0:t>
        </ns0:is>
      </ns0:c>
      <ns0:c r="C409" s="94" t="n">
        <ns0:v>4</ns0:v>
      </ns0:c>
      <ns0:c r="D409" s="94" t="inlineStr">
        <ns0:is>
          <ns0:t>T3</ns0:t>
        </ns0:is>
      </ns0:c>
      <ns0:c r="E409" s="94"/>
      <ns0:c r="F409" s="97" t="n">
        <ns0:v>164.5</ns0:v>
      </ns0:c>
      <ns0:c r="G409" s="97" t="n">
        <ns0:v>61.5</ns0:v>
      </ns0:c>
      <ns0:c r="H409" s="97" t="n">
        <ns0:v>226.0</ns0:v>
      </ns0:c>
      <ns0:c r="I409" s="95" t="n">
        <ns0:v>2185000</ns0:v>
      </ns0:c>
      <ns0:c r="J409" s="94" t="n">
        <ns0:v>2026</ns0:v>
      </ns0:c>
      <ns0:c r="K409" s="95" t="n">
        <ns0:v>13282.674772036475</ns0:v>
      </ns0:c>
      <ns0:c r="L409" s="95" t="n">
        <ns0:v>9668.141592920354</ns0:v>
      </ns0:c>
      <ns0:c r="M409" s="94" t="inlineStr">
        <ns0:is>
          <ns0:t>Ativo</ns0:t>
        </ns0:is>
      </ns0:c>
      <ns0:c r="N409" s="94" t="inlineStr">
        <ns0:is>
          <ns0:t>BelaFormosa · Price List September 2026 · p. 3</ns0:t>
        </ns0:is>
      </ns0:c>
      <ns0:c r="O409" s="94"/>
      <ns0:c r="P409" s="94" t="inlineStr">
        <ns0:is>
          <ns0:t>2026-09</ns0:t>
        </ns0:is>
      </ns0:c>
      <ns0:c r="Q409" s="94" t="inlineStr">
        <ns0:is>
          <ns0:t>Premium local</ns0:t>
        </ns0:is>
      </ns0:c>
      <ns0:c r="R409" s="94" t="inlineStr">
        <ns0:is>
          <ns0:t>Nova construção</ns0:t>
        </ns0:is>
      </ns0:c>
      <ns0:c r="S409" s="94"/>
      <ns0:c r="T409" s="94" t="inlineStr">
        <ns0:is>
          <ns0:t>Não incluído no preço; disponibilidade por confirmar</ns0:t>
        </ns0:is>
      </ns0:c>
      <ns0:c r="U409" s="94"/>
      <ns0:c r="V409" s="94"/>
      <ns0:c r="W409" s="97" t="n">
        <ns0:v>0.9</ns0:v>
      </ns0:c>
      <ns0:c r="X409" s="94" t="inlineStr">
        <ns0:is>
          <ns0:t>A · Premium local; vistas estimadas</ns0:t>
        </ns0:is>
      </ns0:c>
      <ns0:c r="Y409" s="94" t="inlineStr">
        <ns0:is>
          <ns0:t>Média</ns0:t>
        </ns0:is>
      </ns0:c>
      <ns0:c r="Z409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409" s="94" t="inlineStr">
        <ns0:is>
          <ns0:t>Confirmar vista, orientação, disponibilidade e condições atuais.</ns0:t>
        </ns0:is>
      </ns0:c>
      <ns0:c r="AB409" s="94" t="inlineStr">
        <ns0:is>
          <ns0:t>Média</ns0:t>
        </ns0:is>
      </ns0:c>
      <ns0:c r="AJ409" s="94" t="inlineStr">
        <ns0:is>
          <ns0:t>LF</ns0:t>
        </ns0:is>
      </ns0:c>
      <ns0:c r="AK409" s="94" t="inlineStr">
        <ns0:is>
          <ns0:t>Convencional</ns0:t>
        </ns0:is>
      </ns0:c>
      <ns0:c r="AL409" s="94" t="n">
        <ns0:v>1</ns0:v>
      </ns0:c>
      <ns0:c r="AM409" s="94" t="n">
        <ns0:v>1</ns0:v>
      </ns0:c>
      <ns0:c r="AN409" s="94" t="inlineStr">
        <ns0:is>
          <ns0:t>Estimada · média</ns0:t>
        </ns0:is>
      </ns0:c>
      <ns0:c r="AO409" s="94" t="inlineStr">
        <ns0:is>
          <ns0:t>Estimativa de implantação fornecida pela gestão; piso considerado sem confirmação geométrica.</ns0:t>
        </ns0:is>
      </ns0:c>
      <ns0:c r="AP409" s="94" t="inlineStr">
        <ns0:is>
          <ns0:t>Sim</ns0:t>
        </ns0:is>
      </ns0:c>
      <ns0:c r="AQ409" s="94" t="inlineStr">
        <ns0:is>
          <ns0:t>Olhão</ns0:t>
        </ns0:is>
      </ns0:c>
      <ns0:c r="AR409" s="94" t="inlineStr">
        <ns0:is>
          <ns0:t>BelaFormosa Price List September 2026, p. 1</ns0:t>
        </ns0:is>
      </ns0:c>
    </ns0:row>
    <ns0:row r="410" ht="72" customHeight="1">
      <ns0:c r="A410" s="94" t="inlineStr">
        <ns0:is>
          <ns0:t>BelaFormosa</ns0:t>
        </ns0:is>
      </ns0:c>
      <ns0:c r="B410" s="94" t="inlineStr">
        <ns0:is>
          <ns0:t>LF406</ns0:t>
        </ns0:is>
      </ns0:c>
      <ns0:c r="C410" s="94" t="n">
        <ns0:v>4</ns0:v>
      </ns0:c>
      <ns0:c r="D410" s="94" t="inlineStr">
        <ns0:is>
          <ns0:t>T2</ns0:t>
        </ns0:is>
      </ns0:c>
      <ns0:c r="E410" s="94"/>
      <ns0:c r="F410" s="97" t="n">
        <ns0:v>100.25</ns0:v>
      </ns0:c>
      <ns0:c r="G410" s="97" t="n">
        <ns0:v>19.0</ns0:v>
      </ns0:c>
      <ns0:c r="H410" s="97" t="n">
        <ns0:v>119.25</ns0:v>
      </ns0:c>
      <ns0:c r="I410" s="95" t="n">
        <ns0:v>1240000</ns0:v>
      </ns0:c>
      <ns0:c r="J410" s="94" t="n">
        <ns0:v>2026</ns0:v>
      </ns0:c>
      <ns0:c r="K410" s="95" t="n">
        <ns0:v>12369.077306733167</ns0:v>
      </ns0:c>
      <ns0:c r="L410" s="95" t="n">
        <ns0:v>10398.32285115304</ns0:v>
      </ns0:c>
      <ns0:c r="M410" s="94" t="inlineStr">
        <ns0:is>
          <ns0:t>Ativo</ns0:t>
        </ns0:is>
      </ns0:c>
      <ns0:c r="N410" s="94" t="inlineStr">
        <ns0:is>
          <ns0:t>BelaFormosa · Price List September 2026 · p. 3</ns0:t>
        </ns0:is>
      </ns0:c>
      <ns0:c r="O410" s="94"/>
      <ns0:c r="P410" s="94" t="inlineStr">
        <ns0:is>
          <ns0:t>2026-09</ns0:t>
        </ns0:is>
      </ns0:c>
      <ns0:c r="Q410" s="94" t="inlineStr">
        <ns0:is>
          <ns0:t>Premium local</ns0:t>
        </ns0:is>
      </ns0:c>
      <ns0:c r="R410" s="94" t="inlineStr">
        <ns0:is>
          <ns0:t>Nova construção</ns0:t>
        </ns0:is>
      </ns0:c>
      <ns0:c r="S410" s="94"/>
      <ns0:c r="T410" s="94" t="inlineStr">
        <ns0:is>
          <ns0:t>Não incluído no preço; disponibilidade por confirmar</ns0:t>
        </ns0:is>
      </ns0:c>
      <ns0:c r="U410" s="94"/>
      <ns0:c r="V410" s="94"/>
      <ns0:c r="W410" s="97" t="n">
        <ns0:v>0.9</ns0:v>
      </ns0:c>
      <ns0:c r="X410" s="94" t="inlineStr">
        <ns0:is>
          <ns0:t>A · Premium local; vistas estimadas</ns0:t>
        </ns0:is>
      </ns0:c>
      <ns0:c r="Y410" s="94" t="inlineStr">
        <ns0:is>
          <ns0:t>Média</ns0:t>
        </ns0:is>
      </ns0:c>
      <ns0:c r="Z410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10" s="94" t="inlineStr">
        <ns0:is>
          <ns0:t>Confirmar vista, orientação, disponibilidade e condições atuais.</ns0:t>
        </ns0:is>
      </ns0:c>
      <ns0:c r="AB410" s="94" t="inlineStr">
        <ns0:is>
          <ns0:t>Média</ns0:t>
        </ns0:is>
      </ns0:c>
      <ns0:c r="AJ410" s="94" t="inlineStr">
        <ns0:is>
          <ns0:t>LF</ns0:t>
        </ns0:is>
      </ns0:c>
      <ns0:c r="AK410" s="94" t="inlineStr">
        <ns0:is>
          <ns0:t>Convencional</ns0:t>
        </ns0:is>
      </ns0:c>
      <ns0:c r="AL410" s="94" t="n">
        <ns0:v>2</ns0:v>
      </ns0:c>
      <ns0:c r="AM410" s="94" t="n">
        <ns0:v>3</ns0:v>
      </ns0:c>
      <ns0:c r="AN410" s="94" t="inlineStr">
        <ns0:is>
          <ns0:t>Estimada · média</ns0:t>
        </ns0:is>
      </ns0:c>
      <ns0:c r="AO410" s="94" t="inlineStr">
        <ns0:is>
          <ns0:t>Estimativa de implantação fornecida pela gestão; piso considerado sem confirmação geométrica.</ns0:t>
        </ns0:is>
      </ns0:c>
      <ns0:c r="AP410" s="94" t="inlineStr">
        <ns0:is>
          <ns0:t>Sim</ns0:t>
        </ns0:is>
      </ns0:c>
      <ns0:c r="AQ410" s="94" t="inlineStr">
        <ns0:is>
          <ns0:t>Olhão</ns0:t>
        </ns0:is>
      </ns0:c>
      <ns0:c r="AR410" s="94" t="inlineStr">
        <ns0:is>
          <ns0:t>BelaFormosa Price List September 2026, p. 1</ns0:t>
        </ns0:is>
      </ns0:c>
    </ns0:row>
    <ns0:row r="411" ht="72" customHeight="1">
      <ns0:c r="A411" s="94" t="inlineStr">
        <ns0:is>
          <ns0:t>BelaFormosa</ns0:t>
        </ns0:is>
      </ns0:c>
      <ns0:c r="B411" s="94" t="inlineStr">
        <ns0:is>
          <ns0:t>LF407</ns0:t>
        </ns0:is>
      </ns0:c>
      <ns0:c r="C411" s="94" t="n">
        <ns0:v>4</ns0:v>
      </ns0:c>
      <ns0:c r="D411" s="94" t="inlineStr">
        <ns0:is>
          <ns0:t>T2</ns0:t>
        </ns0:is>
      </ns0:c>
      <ns0:c r="E411" s="94"/>
      <ns0:c r="F411" s="97" t="n">
        <ns0:v>100.25</ns0:v>
      </ns0:c>
      <ns0:c r="G411" s="97" t="n">
        <ns0:v>19.0</ns0:v>
      </ns0:c>
      <ns0:c r="H411" s="97" t="n">
        <ns0:v>119.25</ns0:v>
      </ns0:c>
      <ns0:c r="I411" s="95" t="n">
        <ns0:v>1175000</ns0:v>
      </ns0:c>
      <ns0:c r="J411" s="94" t="n">
        <ns0:v>2026</ns0:v>
      </ns0:c>
      <ns0:c r="K411" s="95" t="n">
        <ns0:v>11720.69825436409</ns0:v>
      </ns0:c>
      <ns0:c r="L411" s="95" t="n">
        <ns0:v>9853.249475890985</ns0:v>
      </ns0:c>
      <ns0:c r="M411" s="94" t="inlineStr">
        <ns0:is>
          <ns0:t>Ativo</ns0:t>
        </ns0:is>
      </ns0:c>
      <ns0:c r="N411" s="94" t="inlineStr">
        <ns0:is>
          <ns0:t>BelaFormosa · Price List September 2026 · p. 3</ns0:t>
        </ns0:is>
      </ns0:c>
      <ns0:c r="O411" s="94"/>
      <ns0:c r="P411" s="94" t="inlineStr">
        <ns0:is>
          <ns0:t>2026-09</ns0:t>
        </ns0:is>
      </ns0:c>
      <ns0:c r="Q411" s="94" t="inlineStr">
        <ns0:is>
          <ns0:t>Premium local</ns0:t>
        </ns0:is>
      </ns0:c>
      <ns0:c r="R411" s="94" t="inlineStr">
        <ns0:is>
          <ns0:t>Nova construção</ns0:t>
        </ns0:is>
      </ns0:c>
      <ns0:c r="S411" s="94"/>
      <ns0:c r="T411" s="94" t="inlineStr">
        <ns0:is>
          <ns0:t>Não incluído no preço; disponibilidade por confirmar</ns0:t>
        </ns0:is>
      </ns0:c>
      <ns0:c r="U411" s="94"/>
      <ns0:c r="V411" s="94"/>
      <ns0:c r="W411" s="97" t="n">
        <ns0:v>0.9</ns0:v>
      </ns0:c>
      <ns0:c r="X411" s="94" t="inlineStr">
        <ns0:is>
          <ns0:t>A · Premium local; vistas estimadas</ns0:t>
        </ns0:is>
      </ns0:c>
      <ns0:c r="Y411" s="94" t="inlineStr">
        <ns0:is>
          <ns0:t>Média</ns0:t>
        </ns0:is>
      </ns0:c>
      <ns0:c r="Z411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11" s="94" t="inlineStr">
        <ns0:is>
          <ns0:t>Confirmar vista, orientação, disponibilidade e condições atuais.</ns0:t>
        </ns0:is>
      </ns0:c>
      <ns0:c r="AB411" s="94" t="inlineStr">
        <ns0:is>
          <ns0:t>Média</ns0:t>
        </ns0:is>
      </ns0:c>
      <ns0:c r="AJ411" s="94" t="inlineStr">
        <ns0:is>
          <ns0:t>LF</ns0:t>
        </ns0:is>
      </ns0:c>
      <ns0:c r="AK411" s="94" t="inlineStr">
        <ns0:is>
          <ns0:t>Convencional</ns0:t>
        </ns0:is>
      </ns0:c>
      <ns0:c r="AL411" s="94" t="n">
        <ns0:v>2</ns0:v>
      </ns0:c>
      <ns0:c r="AM411" s="94" t="n">
        <ns0:v>3</ns0:v>
      </ns0:c>
      <ns0:c r="AN411" s="94" t="inlineStr">
        <ns0:is>
          <ns0:t>Estimada · média</ns0:t>
        </ns0:is>
      </ns0:c>
      <ns0:c r="AO411" s="94" t="inlineStr">
        <ns0:is>
          <ns0:t>Estimativa de implantação fornecida pela gestão; piso considerado sem confirmação geométrica.</ns0:t>
        </ns0:is>
      </ns0:c>
      <ns0:c r="AP411" s="94" t="inlineStr">
        <ns0:is>
          <ns0:t>Sim</ns0:t>
        </ns0:is>
      </ns0:c>
      <ns0:c r="AQ411" s="94" t="inlineStr">
        <ns0:is>
          <ns0:t>Olhão</ns0:t>
        </ns0:is>
      </ns0:c>
      <ns0:c r="AR411" s="94" t="inlineStr">
        <ns0:is>
          <ns0:t>BelaFormosa Price List September 2026, p. 1</ns0:t>
        </ns0:is>
      </ns0:c>
    </ns0:row>
    <ns0:row r="412" ht="72" customHeight="1">
      <ns0:c r="A412" s="94" t="inlineStr">
        <ns0:is>
          <ns0:t>BelaFormosa</ns0:t>
        </ns0:is>
      </ns0:c>
      <ns0:c r="B412" s="94" t="inlineStr">
        <ns0:is>
          <ns0:t>LF408</ns0:t>
        </ns0:is>
      </ns0:c>
      <ns0:c r="C412" s="94" t="n">
        <ns0:v>4</ns0:v>
      </ns0:c>
      <ns0:c r="D412" s="94" t="inlineStr">
        <ns0:is>
          <ns0:t>T2</ns0:t>
        </ns0:is>
      </ns0:c>
      <ns0:c r="E412" s="94"/>
      <ns0:c r="F412" s="97" t="n">
        <ns0:v>100.25</ns0:v>
      </ns0:c>
      <ns0:c r="G412" s="97" t="n">
        <ns0:v>18.5</ns0:v>
      </ns0:c>
      <ns0:c r="H412" s="97" t="n">
        <ns0:v>118.75</ns0:v>
      </ns0:c>
      <ns0:c r="I412" s="95" t="n">
        <ns0:v>1165000</ns0:v>
      </ns0:c>
      <ns0:c r="J412" s="94" t="n">
        <ns0:v>2026</ns0:v>
      </ns0:c>
      <ns0:c r="K412" s="95" t="n">
        <ns0:v>11620.947630922694</ns0:v>
      </ns0:c>
      <ns0:c r="L412" s="95" t="n">
        <ns0:v>9810.526315789473</ns0:v>
      </ns0:c>
      <ns0:c r="M412" s="94" t="inlineStr">
        <ns0:is>
          <ns0:t>Ativo</ns0:t>
        </ns0:is>
      </ns0:c>
      <ns0:c r="N412" s="94" t="inlineStr">
        <ns0:is>
          <ns0:t>BelaFormosa · Price List September 2026 · p. 3</ns0:t>
        </ns0:is>
      </ns0:c>
      <ns0:c r="O412" s="94"/>
      <ns0:c r="P412" s="94" t="inlineStr">
        <ns0:is>
          <ns0:t>2026-09</ns0:t>
        </ns0:is>
      </ns0:c>
      <ns0:c r="Q412" s="94" t="inlineStr">
        <ns0:is>
          <ns0:t>Premium local</ns0:t>
        </ns0:is>
      </ns0:c>
      <ns0:c r="R412" s="94" t="inlineStr">
        <ns0:is>
          <ns0:t>Nova construção</ns0:t>
        </ns0:is>
      </ns0:c>
      <ns0:c r="S412" s="94"/>
      <ns0:c r="T412" s="94" t="inlineStr">
        <ns0:is>
          <ns0:t>Não incluído no preço; disponibilidade por confirmar</ns0:t>
        </ns0:is>
      </ns0:c>
      <ns0:c r="U412" s="94"/>
      <ns0:c r="V412" s="94"/>
      <ns0:c r="W412" s="97" t="n">
        <ns0:v>0.9</ns0:v>
      </ns0:c>
      <ns0:c r="X412" s="94" t="inlineStr">
        <ns0:is>
          <ns0:t>A · Premium local; vistas estimadas</ns0:t>
        </ns0:is>
      </ns0:c>
      <ns0:c r="Y412" s="94" t="inlineStr">
        <ns0:is>
          <ns0:t>Média</ns0:t>
        </ns0:is>
      </ns0:c>
      <ns0:c r="Z412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12" s="94" t="inlineStr">
        <ns0:is>
          <ns0:t>Confirmar vista, orientação, disponibilidade e condições atuais.</ns0:t>
        </ns0:is>
      </ns0:c>
      <ns0:c r="AB412" s="94" t="inlineStr">
        <ns0:is>
          <ns0:t>Média</ns0:t>
        </ns0:is>
      </ns0:c>
      <ns0:c r="AJ412" s="94" t="inlineStr">
        <ns0:is>
          <ns0:t>LF</ns0:t>
        </ns0:is>
      </ns0:c>
      <ns0:c r="AK412" s="94" t="inlineStr">
        <ns0:is>
          <ns0:t>Convencional</ns0:t>
        </ns0:is>
      </ns0:c>
      <ns0:c r="AL412" s="94" t="n">
        <ns0:v>2</ns0:v>
      </ns0:c>
      <ns0:c r="AM412" s="94" t="n">
        <ns0:v>3</ns0:v>
      </ns0:c>
      <ns0:c r="AN412" s="94" t="inlineStr">
        <ns0:is>
          <ns0:t>Estimada · média</ns0:t>
        </ns0:is>
      </ns0:c>
      <ns0:c r="AO412" s="94" t="inlineStr">
        <ns0:is>
          <ns0:t>Estimativa de implantação fornecida pela gestão; piso considerado sem confirmação geométrica.</ns0:t>
        </ns0:is>
      </ns0:c>
      <ns0:c r="AP412" s="94" t="inlineStr">
        <ns0:is>
          <ns0:t>Sim</ns0:t>
        </ns0:is>
      </ns0:c>
      <ns0:c r="AQ412" s="94" t="inlineStr">
        <ns0:is>
          <ns0:t>Olhão</ns0:t>
        </ns0:is>
      </ns0:c>
      <ns0:c r="AR412" s="94" t="inlineStr">
        <ns0:is>
          <ns0:t>BelaFormosa Price List September 2026, p. 1</ns0:t>
        </ns0:is>
      </ns0:c>
    </ns0:row>
    <ns0:row r="413" ht="72" customHeight="1">
      <ns0:c r="A413" s="94" t="inlineStr">
        <ns0:is>
          <ns0:t>BelaFormosa</ns0:t>
        </ns0:is>
      </ns0:c>
      <ns0:c r="B413" s="94" t="inlineStr">
        <ns0:is>
          <ns0:t>LF501</ns0:t>
        </ns0:is>
      </ns0:c>
      <ns0:c r="C413" s="94" t="n">
        <ns0:v>5</ns0:v>
      </ns0:c>
      <ns0:c r="D413" s="94" t="inlineStr">
        <ns0:is>
          <ns0:t>T2</ns0:t>
        </ns0:is>
      </ns0:c>
      <ns0:c r="E413" s="94"/>
      <ns0:c r="F413" s="97" t="n">
        <ns0:v>100.25</ns0:v>
      </ns0:c>
      <ns0:c r="G413" s="97" t="n">
        <ns0:v>18.5</ns0:v>
      </ns0:c>
      <ns0:c r="H413" s="97" t="n">
        <ns0:v>118.75</ns0:v>
      </ns0:c>
      <ns0:c r="I413" s="95" t="n">
        <ns0:v>1140000</ns0:v>
      </ns0:c>
      <ns0:c r="J413" s="94" t="n">
        <ns0:v>2026</ns0:v>
      </ns0:c>
      <ns0:c r="K413" s="95" t="n">
        <ns0:v>11371.571072319202</ns0:v>
      </ns0:c>
      <ns0:c r="L413" s="95" t="n">
        <ns0:v>9600.0</ns0:v>
      </ns0:c>
      <ns0:c r="M413" s="94" t="inlineStr">
        <ns0:is>
          <ns0:t>Ativo</ns0:t>
        </ns0:is>
      </ns0:c>
      <ns0:c r="N413" s="94" t="inlineStr">
        <ns0:is>
          <ns0:t>BelaFormosa · Price List September 2026 · p. 3</ns0:t>
        </ns0:is>
      </ns0:c>
      <ns0:c r="O413" s="94"/>
      <ns0:c r="P413" s="94" t="inlineStr">
        <ns0:is>
          <ns0:t>2026-09</ns0:t>
        </ns0:is>
      </ns0:c>
      <ns0:c r="Q413" s="94" t="inlineStr">
        <ns0:is>
          <ns0:t>Premium local</ns0:t>
        </ns0:is>
      </ns0:c>
      <ns0:c r="R413" s="94" t="inlineStr">
        <ns0:is>
          <ns0:t>Nova construção</ns0:t>
        </ns0:is>
      </ns0:c>
      <ns0:c r="S413" s="94"/>
      <ns0:c r="T413" s="94" t="inlineStr">
        <ns0:is>
          <ns0:t>Não incluído no preço; disponibilidade por confirmar</ns0:t>
        </ns0:is>
      </ns0:c>
      <ns0:c r="U413" s="94"/>
      <ns0:c r="V413" s="94"/>
      <ns0:c r="W413" s="97" t="n">
        <ns0:v>0.9</ns0:v>
      </ns0:c>
      <ns0:c r="X413" s="94" t="inlineStr">
        <ns0:is>
          <ns0:t>A · Premium local; vistas estimadas</ns0:t>
        </ns0:is>
      </ns0:c>
      <ns0:c r="Y413" s="94" t="inlineStr">
        <ns0:is>
          <ns0:t>Média</ns0:t>
        </ns0:is>
      </ns0:c>
      <ns0:c r="Z413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13" s="94" t="inlineStr">
        <ns0:is>
          <ns0:t>Confirmar vista, orientação, disponibilidade e condições atuais.</ns0:t>
        </ns0:is>
      </ns0:c>
      <ns0:c r="AB413" s="94" t="inlineStr">
        <ns0:is>
          <ns0:t>Média</ns0:t>
        </ns0:is>
      </ns0:c>
      <ns0:c r="AJ413" s="94" t="inlineStr">
        <ns0:is>
          <ns0:t>LF</ns0:t>
        </ns0:is>
      </ns0:c>
      <ns0:c r="AK413" s="94" t="inlineStr">
        <ns0:is>
          <ns0:t>Convencional</ns0:t>
        </ns0:is>
      </ns0:c>
      <ns0:c r="AL413" s="94" t="n">
        <ns0:v>3</ns0:v>
      </ns0:c>
      <ns0:c r="AM413" s="94" t="n">
        <ns0:v>4</ns0:v>
      </ns0:c>
      <ns0:c r="AN413" s="94" t="inlineStr">
        <ns0:is>
          <ns0:t>Estimada · média</ns0:t>
        </ns0:is>
      </ns0:c>
      <ns0:c r="AO413" s="94" t="inlineStr">
        <ns0:is>
          <ns0:t>Estimativa de implantação fornecida pela gestão; piso considerado sem confirmação geométrica.</ns0:t>
        </ns0:is>
      </ns0:c>
      <ns0:c r="AP413" s="94" t="inlineStr">
        <ns0:is>
          <ns0:t>Sim</ns0:t>
        </ns0:is>
      </ns0:c>
      <ns0:c r="AQ413" s="94" t="inlineStr">
        <ns0:is>
          <ns0:t>Olhão</ns0:t>
        </ns0:is>
      </ns0:c>
      <ns0:c r="AR413" s="94" t="inlineStr">
        <ns0:is>
          <ns0:t>BelaFormosa Price List September 2026, p. 1</ns0:t>
        </ns0:is>
      </ns0:c>
    </ns0:row>
    <ns0:row r="414" ht="72" customHeight="1">
      <ns0:c r="A414" s="94" t="inlineStr">
        <ns0:is>
          <ns0:t>BelaFormosa</ns0:t>
        </ns0:is>
      </ns0:c>
      <ns0:c r="B414" s="94" t="inlineStr">
        <ns0:is>
          <ns0:t>LF502</ns0:t>
        </ns0:is>
      </ns0:c>
      <ns0:c r="C414" s="94" t="n">
        <ns0:v>5</ns0:v>
      </ns0:c>
      <ns0:c r="D414" s="94" t="inlineStr">
        <ns0:is>
          <ns0:t>T2</ns0:t>
        </ns0:is>
      </ns0:c>
      <ns0:c r="E414" s="94"/>
      <ns0:c r="F414" s="97" t="n">
        <ns0:v>100.25</ns0:v>
      </ns0:c>
      <ns0:c r="G414" s="97" t="n">
        <ns0:v>19.0</ns0:v>
      </ns0:c>
      <ns0:c r="H414" s="97" t="n">
        <ns0:v>119.25</ns0:v>
      </ns0:c>
      <ns0:c r="I414" s="95" t="n">
        <ns0:v>1155000</ns0:v>
      </ns0:c>
      <ns0:c r="J414" s="94" t="n">
        <ns0:v>2026</ns0:v>
      </ns0:c>
      <ns0:c r="K414" s="95" t="n">
        <ns0:v>11521.197007481296</ns0:v>
      </ns0:c>
      <ns0:c r="L414" s="95" t="n">
        <ns0:v>9685.534591194968</ns0:v>
      </ns0:c>
      <ns0:c r="M414" s="94" t="inlineStr">
        <ns0:is>
          <ns0:t>Ativo</ns0:t>
        </ns0:is>
      </ns0:c>
      <ns0:c r="N414" s="94" t="inlineStr">
        <ns0:is>
          <ns0:t>BelaFormosa · Price List September 2026 · p. 3</ns0:t>
        </ns0:is>
      </ns0:c>
      <ns0:c r="O414" s="94"/>
      <ns0:c r="P414" s="94" t="inlineStr">
        <ns0:is>
          <ns0:t>2026-09</ns0:t>
        </ns0:is>
      </ns0:c>
      <ns0:c r="Q414" s="94" t="inlineStr">
        <ns0:is>
          <ns0:t>Premium local</ns0:t>
        </ns0:is>
      </ns0:c>
      <ns0:c r="R414" s="94" t="inlineStr">
        <ns0:is>
          <ns0:t>Nova construção</ns0:t>
        </ns0:is>
      </ns0:c>
      <ns0:c r="S414" s="94"/>
      <ns0:c r="T414" s="94" t="inlineStr">
        <ns0:is>
          <ns0:t>Não incluído no preço; disponibilidade por confirmar</ns0:t>
        </ns0:is>
      </ns0:c>
      <ns0:c r="U414" s="94"/>
      <ns0:c r="V414" s="94"/>
      <ns0:c r="W414" s="97" t="n">
        <ns0:v>0.9</ns0:v>
      </ns0:c>
      <ns0:c r="X414" s="94" t="inlineStr">
        <ns0:is>
          <ns0:t>A · Premium local; vistas estimadas</ns0:t>
        </ns0:is>
      </ns0:c>
      <ns0:c r="Y414" s="94" t="inlineStr">
        <ns0:is>
          <ns0:t>Média</ns0:t>
        </ns0:is>
      </ns0:c>
      <ns0:c r="Z414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14" s="94" t="inlineStr">
        <ns0:is>
          <ns0:t>Confirmar vista, orientação, disponibilidade e condições atuais.</ns0:t>
        </ns0:is>
      </ns0:c>
      <ns0:c r="AB414" s="94" t="inlineStr">
        <ns0:is>
          <ns0:t>Média</ns0:t>
        </ns0:is>
      </ns0:c>
      <ns0:c r="AJ414" s="94" t="inlineStr">
        <ns0:is>
          <ns0:t>LF</ns0:t>
        </ns0:is>
      </ns0:c>
      <ns0:c r="AK414" s="94" t="inlineStr">
        <ns0:is>
          <ns0:t>Convencional</ns0:t>
        </ns0:is>
      </ns0:c>
      <ns0:c r="AL414" s="94" t="n">
        <ns0:v>3</ns0:v>
      </ns0:c>
      <ns0:c r="AM414" s="94" t="n">
        <ns0:v>4</ns0:v>
      </ns0:c>
      <ns0:c r="AN414" s="94" t="inlineStr">
        <ns0:is>
          <ns0:t>Estimada · média</ns0:t>
        </ns0:is>
      </ns0:c>
      <ns0:c r="AO414" s="94" t="inlineStr">
        <ns0:is>
          <ns0:t>Estimativa de implantação fornecida pela gestão; piso considerado sem confirmação geométrica.</ns0:t>
        </ns0:is>
      </ns0:c>
      <ns0:c r="AP414" s="94" t="inlineStr">
        <ns0:is>
          <ns0:t>Sim</ns0:t>
        </ns0:is>
      </ns0:c>
      <ns0:c r="AQ414" s="94" t="inlineStr">
        <ns0:is>
          <ns0:t>Olhão</ns0:t>
        </ns0:is>
      </ns0:c>
      <ns0:c r="AR414" s="94" t="inlineStr">
        <ns0:is>
          <ns0:t>BelaFormosa Price List September 2026, p. 1</ns0:t>
        </ns0:is>
      </ns0:c>
    </ns0:row>
    <ns0:row r="415" ht="72" customHeight="1">
      <ns0:c r="A415" s="94" t="inlineStr">
        <ns0:is>
          <ns0:t>BelaFormosa</ns0:t>
        </ns0:is>
      </ns0:c>
      <ns0:c r="B415" s="94" t="inlineStr">
        <ns0:is>
          <ns0:t>LF503</ns0:t>
        </ns0:is>
      </ns0:c>
      <ns0:c r="C415" s="94" t="n">
        <ns0:v>5</ns0:v>
      </ns0:c>
      <ns0:c r="D415" s="94" t="inlineStr">
        <ns0:is>
          <ns0:t>T2</ns0:t>
        </ns0:is>
      </ns0:c>
      <ns0:c r="E415" s="94"/>
      <ns0:c r="F415" s="97" t="n">
        <ns0:v>100.25</ns0:v>
      </ns0:c>
      <ns0:c r="G415" s="97" t="n">
        <ns0:v>19.0</ns0:v>
      </ns0:c>
      <ns0:c r="H415" s="97" t="n">
        <ns0:v>119.25</ns0:v>
      </ns0:c>
      <ns0:c r="I415" s="95" t="n">
        <ns0:v>1225000</ns0:v>
      </ns0:c>
      <ns0:c r="J415" s="94" t="n">
        <ns0:v>2026</ns0:v>
      </ns0:c>
      <ns0:c r="K415" s="95" t="n">
        <ns0:v>12219.451371571073</ns0:v>
      </ns0:c>
      <ns0:c r="L415" s="95" t="n">
        <ns0:v>10272.536687631027</ns0:v>
      </ns0:c>
      <ns0:c r="M415" s="94" t="inlineStr">
        <ns0:is>
          <ns0:t>Ativo</ns0:t>
        </ns0:is>
      </ns0:c>
      <ns0:c r="N415" s="94" t="inlineStr">
        <ns0:is>
          <ns0:t>BelaFormosa · Price List September 2026 · p. 3</ns0:t>
        </ns0:is>
      </ns0:c>
      <ns0:c r="O415" s="94"/>
      <ns0:c r="P415" s="94" t="inlineStr">
        <ns0:is>
          <ns0:t>2026-09</ns0:t>
        </ns0:is>
      </ns0:c>
      <ns0:c r="Q415" s="94" t="inlineStr">
        <ns0:is>
          <ns0:t>Premium local</ns0:t>
        </ns0:is>
      </ns0:c>
      <ns0:c r="R415" s="94" t="inlineStr">
        <ns0:is>
          <ns0:t>Nova construção</ns0:t>
        </ns0:is>
      </ns0:c>
      <ns0:c r="S415" s="94"/>
      <ns0:c r="T415" s="94" t="inlineStr">
        <ns0:is>
          <ns0:t>Não incluído no preço; disponibilidade por confirmar</ns0:t>
        </ns0:is>
      </ns0:c>
      <ns0:c r="U415" s="94"/>
      <ns0:c r="V415" s="94"/>
      <ns0:c r="W415" s="97" t="n">
        <ns0:v>0.9</ns0:v>
      </ns0:c>
      <ns0:c r="X415" s="94" t="inlineStr">
        <ns0:is>
          <ns0:t>A · Premium local; vistas estimadas</ns0:t>
        </ns0:is>
      </ns0:c>
      <ns0:c r="Y415" s="94" t="inlineStr">
        <ns0:is>
          <ns0:t>Média</ns0:t>
        </ns0:is>
      </ns0:c>
      <ns0:c r="Z415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15" s="94" t="inlineStr">
        <ns0:is>
          <ns0:t>Confirmar vista, orientação, disponibilidade e condições atuais.</ns0:t>
        </ns0:is>
      </ns0:c>
      <ns0:c r="AB415" s="94" t="inlineStr">
        <ns0:is>
          <ns0:t>Média</ns0:t>
        </ns0:is>
      </ns0:c>
      <ns0:c r="AJ415" s="94" t="inlineStr">
        <ns0:is>
          <ns0:t>LF</ns0:t>
        </ns0:is>
      </ns0:c>
      <ns0:c r="AK415" s="94" t="inlineStr">
        <ns0:is>
          <ns0:t>Convencional</ns0:t>
        </ns0:is>
      </ns0:c>
      <ns0:c r="AL415" s="94" t="n">
        <ns0:v>3</ns0:v>
      </ns0:c>
      <ns0:c r="AM415" s="94" t="n">
        <ns0:v>4</ns0:v>
      </ns0:c>
      <ns0:c r="AN415" s="94" t="inlineStr">
        <ns0:is>
          <ns0:t>Estimada · média</ns0:t>
        </ns0:is>
      </ns0:c>
      <ns0:c r="AO415" s="94" t="inlineStr">
        <ns0:is>
          <ns0:t>Estimativa de implantação fornecida pela gestão; piso considerado sem confirmação geométrica.</ns0:t>
        </ns0:is>
      </ns0:c>
      <ns0:c r="AP415" s="94" t="inlineStr">
        <ns0:is>
          <ns0:t>Sim</ns0:t>
        </ns0:is>
      </ns0:c>
      <ns0:c r="AQ415" s="94" t="inlineStr">
        <ns0:is>
          <ns0:t>Olhão</ns0:t>
        </ns0:is>
      </ns0:c>
      <ns0:c r="AR415" s="94" t="inlineStr">
        <ns0:is>
          <ns0:t>BelaFormosa Price List September 2026, p. 1</ns0:t>
        </ns0:is>
      </ns0:c>
    </ns0:row>
    <ns0:row r="416" ht="72" customHeight="1">
      <ns0:c r="A416" s="94" t="inlineStr">
        <ns0:is>
          <ns0:t>BelaFormosa</ns0:t>
        </ns0:is>
      </ns0:c>
      <ns0:c r="B416" s="94" t="inlineStr">
        <ns0:is>
          <ns0:t>LF504</ns0:t>
        </ns0:is>
      </ns0:c>
      <ns0:c r="C416" s="94" t="n">
        <ns0:v>5</ns0:v>
      </ns0:c>
      <ns0:c r="D416" s="94" t="inlineStr">
        <ns0:is>
          <ns0:t>T3</ns0:t>
        </ns0:is>
      </ns0:c>
      <ns0:c r="E416" s="94"/>
      <ns0:c r="F416" s="97" t="n">
        <ns0:v>164.5</ns0:v>
      </ns0:c>
      <ns0:c r="G416" s="97" t="n">
        <ns0:v>58.75</ns0:v>
      </ns0:c>
      <ns0:c r="H416" s="97" t="n">
        <ns0:v>223.25</ns0:v>
      </ns0:c>
      <ns0:c r="I416" s="95" t="n">
        <ns0:v>2405000</ns0:v>
      </ns0:c>
      <ns0:c r="J416" s="94" t="n">
        <ns0:v>2026</ns0:v>
      </ns0:c>
      <ns0:c r="K416" s="95" t="n">
        <ns0:v>14620.060790273556</ns0:v>
      </ns0:c>
      <ns0:c r="L416" s="95" t="n">
        <ns0:v>10772.676371780515</ns0:v>
      </ns0:c>
      <ns0:c r="M416" s="94" t="inlineStr">
        <ns0:is>
          <ns0:t>Ativo</ns0:t>
        </ns0:is>
      </ns0:c>
      <ns0:c r="N416" s="94" t="inlineStr">
        <ns0:is>
          <ns0:t>BelaFormosa · Price List September 2026 · p. 3</ns0:t>
        </ns0:is>
      </ns0:c>
      <ns0:c r="O416" s="94"/>
      <ns0:c r="P416" s="94" t="inlineStr">
        <ns0:is>
          <ns0:t>2026-09</ns0:t>
        </ns0:is>
      </ns0:c>
      <ns0:c r="Q416" s="94" t="inlineStr">
        <ns0:is>
          <ns0:t>Premium local</ns0:t>
        </ns0:is>
      </ns0:c>
      <ns0:c r="R416" s="94" t="inlineStr">
        <ns0:is>
          <ns0:t>Nova construção</ns0:t>
        </ns0:is>
      </ns0:c>
      <ns0:c r="S416" s="94"/>
      <ns0:c r="T416" s="94" t="inlineStr">
        <ns0:is>
          <ns0:t>Não incluído no preço; disponibilidade por confirmar</ns0:t>
        </ns0:is>
      </ns0:c>
      <ns0:c r="U416" s="94"/>
      <ns0:c r="V416" s="94"/>
      <ns0:c r="W416" s="97" t="n">
        <ns0:v>0.9</ns0:v>
      </ns0:c>
      <ns0:c r="X416" s="94" t="inlineStr">
        <ns0:is>
          <ns0:t>A · Premium local; vistas estimadas</ns0:t>
        </ns0:is>
      </ns0:c>
      <ns0:c r="Y416" s="94" t="inlineStr">
        <ns0:is>
          <ns0:t>Média</ns0:t>
        </ns0:is>
      </ns0:c>
      <ns0:c r="Z416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416" s="94" t="inlineStr">
        <ns0:is>
          <ns0:t>Confirmar vista, orientação, disponibilidade e condições atuais.</ns0:t>
        </ns0:is>
      </ns0:c>
      <ns0:c r="AB416" s="94" t="inlineStr">
        <ns0:is>
          <ns0:t>Média</ns0:t>
        </ns0:is>
      </ns0:c>
      <ns0:c r="AJ416" s="94" t="inlineStr">
        <ns0:is>
          <ns0:t>LF</ns0:t>
        </ns0:is>
      </ns0:c>
      <ns0:c r="AK416" s="94" t="inlineStr">
        <ns0:is>
          <ns0:t>Convencional</ns0:t>
        </ns0:is>
      </ns0:c>
      <ns0:c r="AL416" s="94" t="n">
        <ns0:v>1</ns0:v>
      </ns0:c>
      <ns0:c r="AM416" s="94" t="n">
        <ns0:v>1</ns0:v>
      </ns0:c>
      <ns0:c r="AN416" s="94" t="inlineStr">
        <ns0:is>
          <ns0:t>Estimada · média</ns0:t>
        </ns0:is>
      </ns0:c>
      <ns0:c r="AO416" s="94" t="inlineStr">
        <ns0:is>
          <ns0:t>Estimativa de implantação fornecida pela gestão; piso considerado sem confirmação geométrica.</ns0:t>
        </ns0:is>
      </ns0:c>
      <ns0:c r="AP416" s="94" t="inlineStr">
        <ns0:is>
          <ns0:t>Sim</ns0:t>
        </ns0:is>
      </ns0:c>
      <ns0:c r="AQ416" s="94" t="inlineStr">
        <ns0:is>
          <ns0:t>Olhão</ns0:t>
        </ns0:is>
      </ns0:c>
      <ns0:c r="AR416" s="94" t="inlineStr">
        <ns0:is>
          <ns0:t>BelaFormosa Price List September 2026, p. 1</ns0:t>
        </ns0:is>
      </ns0:c>
    </ns0:row>
    <ns0:row r="417" ht="72" customHeight="1">
      <ns0:c r="A417" s="94" t="inlineStr">
        <ns0:is>
          <ns0:t>BelaFormosa</ns0:t>
        </ns0:is>
      </ns0:c>
      <ns0:c r="B417" s="94" t="inlineStr">
        <ns0:is>
          <ns0:t>LF505</ns0:t>
        </ns0:is>
      </ns0:c>
      <ns0:c r="C417" s="94" t="n">
        <ns0:v>5</ns0:v>
      </ns0:c>
      <ns0:c r="D417" s="94" t="inlineStr">
        <ns0:is>
          <ns0:t>T3</ns0:t>
        </ns0:is>
      </ns0:c>
      <ns0:c r="E417" s="94"/>
      <ns0:c r="F417" s="97" t="n">
        <ns0:v>164.5</ns0:v>
      </ns0:c>
      <ns0:c r="G417" s="97" t="n">
        <ns0:v>58.75</ns0:v>
      </ns0:c>
      <ns0:c r="H417" s="97" t="n">
        <ns0:v>223.25</ns0:v>
      </ns0:c>
      <ns0:c r="I417" s="95" t="n">
        <ns0:v>2405000</ns0:v>
      </ns0:c>
      <ns0:c r="J417" s="94" t="n">
        <ns0:v>2026</ns0:v>
      </ns0:c>
      <ns0:c r="K417" s="95" t="n">
        <ns0:v>14620.060790273556</ns0:v>
      </ns0:c>
      <ns0:c r="L417" s="95" t="n">
        <ns0:v>10772.676371780515</ns0:v>
      </ns0:c>
      <ns0:c r="M417" s="94" t="inlineStr">
        <ns0:is>
          <ns0:t>Ativo</ns0:t>
        </ns0:is>
      </ns0:c>
      <ns0:c r="N417" s="94" t="inlineStr">
        <ns0:is>
          <ns0:t>BelaFormosa · Price List September 2026 · p. 3</ns0:t>
        </ns0:is>
      </ns0:c>
      <ns0:c r="O417" s="94"/>
      <ns0:c r="P417" s="94" t="inlineStr">
        <ns0:is>
          <ns0:t>2026-09</ns0:t>
        </ns0:is>
      </ns0:c>
      <ns0:c r="Q417" s="94" t="inlineStr">
        <ns0:is>
          <ns0:t>Premium local</ns0:t>
        </ns0:is>
      </ns0:c>
      <ns0:c r="R417" s="94" t="inlineStr">
        <ns0:is>
          <ns0:t>Nova construção</ns0:t>
        </ns0:is>
      </ns0:c>
      <ns0:c r="S417" s="94"/>
      <ns0:c r="T417" s="94" t="inlineStr">
        <ns0:is>
          <ns0:t>Não incluído no preço; disponibilidade por confirmar</ns0:t>
        </ns0:is>
      </ns0:c>
      <ns0:c r="U417" s="94"/>
      <ns0:c r="V417" s="94"/>
      <ns0:c r="W417" s="97" t="n">
        <ns0:v>0.9</ns0:v>
      </ns0:c>
      <ns0:c r="X417" s="94" t="inlineStr">
        <ns0:is>
          <ns0:t>A · Premium local; vistas estimadas</ns0:t>
        </ns0:is>
      </ns0:c>
      <ns0:c r="Y417" s="94" t="inlineStr">
        <ns0:is>
          <ns0:t>Média</ns0:t>
        </ns0:is>
      </ns0:c>
      <ns0:c r="Z417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417" s="94" t="inlineStr">
        <ns0:is>
          <ns0:t>Confirmar vista, orientação, disponibilidade e condições atuais.</ns0:t>
        </ns0:is>
      </ns0:c>
      <ns0:c r="AB417" s="94" t="inlineStr">
        <ns0:is>
          <ns0:t>Média</ns0:t>
        </ns0:is>
      </ns0:c>
      <ns0:c r="AJ417" s="94" t="inlineStr">
        <ns0:is>
          <ns0:t>LF</ns0:t>
        </ns0:is>
      </ns0:c>
      <ns0:c r="AK417" s="94" t="inlineStr">
        <ns0:is>
          <ns0:t>Convencional</ns0:t>
        </ns0:is>
      </ns0:c>
      <ns0:c r="AL417" s="94" t="n">
        <ns0:v>1</ns0:v>
      </ns0:c>
      <ns0:c r="AM417" s="94" t="n">
        <ns0:v>1</ns0:v>
      </ns0:c>
      <ns0:c r="AN417" s="94" t="inlineStr">
        <ns0:is>
          <ns0:t>Estimada · média</ns0:t>
        </ns0:is>
      </ns0:c>
      <ns0:c r="AO417" s="94" t="inlineStr">
        <ns0:is>
          <ns0:t>Estimativa de implantação fornecida pela gestão; piso considerado sem confirmação geométrica.</ns0:t>
        </ns0:is>
      </ns0:c>
      <ns0:c r="AP417" s="94" t="inlineStr">
        <ns0:is>
          <ns0:t>Sim</ns0:t>
        </ns0:is>
      </ns0:c>
      <ns0:c r="AQ417" s="94" t="inlineStr">
        <ns0:is>
          <ns0:t>Olhão</ns0:t>
        </ns0:is>
      </ns0:c>
      <ns0:c r="AR417" s="94" t="inlineStr">
        <ns0:is>
          <ns0:t>BelaFormosa Price List September 2026, p. 1</ns0:t>
        </ns0:is>
      </ns0:c>
    </ns0:row>
    <ns0:row r="418" ht="72" customHeight="1">
      <ns0:c r="A418" s="94" t="inlineStr">
        <ns0:is>
          <ns0:t>BelaFormosa</ns0:t>
        </ns0:is>
      </ns0:c>
      <ns0:c r="B418" s="94" t="inlineStr">
        <ns0:is>
          <ns0:t>LF506</ns0:t>
        </ns0:is>
      </ns0:c>
      <ns0:c r="C418" s="94" t="n">
        <ns0:v>5</ns0:v>
      </ns0:c>
      <ns0:c r="D418" s="94" t="inlineStr">
        <ns0:is>
          <ns0:t>T2</ns0:t>
        </ns0:is>
      </ns0:c>
      <ns0:c r="E418" s="94"/>
      <ns0:c r="F418" s="97" t="n">
        <ns0:v>100.25</ns0:v>
      </ns0:c>
      <ns0:c r="G418" s="97" t="n">
        <ns0:v>19.0</ns0:v>
      </ns0:c>
      <ns0:c r="H418" s="97" t="n">
        <ns0:v>119.25</ns0:v>
      </ns0:c>
      <ns0:c r="I418" s="95" t="n">
        <ns0:v>1360000</ns0:v>
      </ns0:c>
      <ns0:c r="J418" s="94" t="n">
        <ns0:v>2026</ns0:v>
      </ns0:c>
      <ns0:c r="K418" s="95" t="n">
        <ns0:v>13566.084788029924</ns0:v>
      </ns0:c>
      <ns0:c r="L418" s="95" t="n">
        <ns0:v>11404.612159329141</ns0:v>
      </ns0:c>
      <ns0:c r="M418" s="94" t="inlineStr">
        <ns0:is>
          <ns0:t>Ativo</ns0:t>
        </ns0:is>
      </ns0:c>
      <ns0:c r="N418" s="94" t="inlineStr">
        <ns0:is>
          <ns0:t>BelaFormosa · Price List September 2026 · p. 3</ns0:t>
        </ns0:is>
      </ns0:c>
      <ns0:c r="O418" s="94"/>
      <ns0:c r="P418" s="94" t="inlineStr">
        <ns0:is>
          <ns0:t>2026-09</ns0:t>
        </ns0:is>
      </ns0:c>
      <ns0:c r="Q418" s="94" t="inlineStr">
        <ns0:is>
          <ns0:t>Premium local</ns0:t>
        </ns0:is>
      </ns0:c>
      <ns0:c r="R418" s="94" t="inlineStr">
        <ns0:is>
          <ns0:t>Nova construção</ns0:t>
        </ns0:is>
      </ns0:c>
      <ns0:c r="S418" s="94"/>
      <ns0:c r="T418" s="94" t="inlineStr">
        <ns0:is>
          <ns0:t>Não incluído no preço; disponibilidade por confirmar</ns0:t>
        </ns0:is>
      </ns0:c>
      <ns0:c r="U418" s="94"/>
      <ns0:c r="V418" s="94"/>
      <ns0:c r="W418" s="97" t="n">
        <ns0:v>0.9</ns0:v>
      </ns0:c>
      <ns0:c r="X418" s="94" t="inlineStr">
        <ns0:is>
          <ns0:t>A · Premium local; vistas estimadas</ns0:t>
        </ns0:is>
      </ns0:c>
      <ns0:c r="Y418" s="94" t="inlineStr">
        <ns0:is>
          <ns0:t>Média</ns0:t>
        </ns0:is>
      </ns0:c>
      <ns0:c r="Z418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18" s="94" t="inlineStr">
        <ns0:is>
          <ns0:t>Confirmar vista, orientação, disponibilidade e condições atuais.</ns0:t>
        </ns0:is>
      </ns0:c>
      <ns0:c r="AB418" s="94" t="inlineStr">
        <ns0:is>
          <ns0:t>Média</ns0:t>
        </ns0:is>
      </ns0:c>
      <ns0:c r="AJ418" s="94" t="inlineStr">
        <ns0:is>
          <ns0:t>LF</ns0:t>
        </ns0:is>
      </ns0:c>
      <ns0:c r="AK418" s="94" t="inlineStr">
        <ns0:is>
          <ns0:t>Convencional</ns0:t>
        </ns0:is>
      </ns0:c>
      <ns0:c r="AL418" s="94" t="n">
        <ns0:v>2</ns0:v>
      </ns0:c>
      <ns0:c r="AM418" s="94" t="n">
        <ns0:v>3</ns0:v>
      </ns0:c>
      <ns0:c r="AN418" s="94" t="inlineStr">
        <ns0:is>
          <ns0:t>Estimada · média</ns0:t>
        </ns0:is>
      </ns0:c>
      <ns0:c r="AO418" s="94" t="inlineStr">
        <ns0:is>
          <ns0:t>Estimativa de implantação fornecida pela gestão; piso considerado sem confirmação geométrica.</ns0:t>
        </ns0:is>
      </ns0:c>
      <ns0:c r="AP418" s="94" t="inlineStr">
        <ns0:is>
          <ns0:t>Sim</ns0:t>
        </ns0:is>
      </ns0:c>
      <ns0:c r="AQ418" s="94" t="inlineStr">
        <ns0:is>
          <ns0:t>Olhão</ns0:t>
        </ns0:is>
      </ns0:c>
      <ns0:c r="AR418" s="94" t="inlineStr">
        <ns0:is>
          <ns0:t>BelaFormosa Price List September 2026, p. 1</ns0:t>
        </ns0:is>
      </ns0:c>
    </ns0:row>
    <ns0:row r="419" ht="72" customHeight="1">
      <ns0:c r="A419" s="94" t="inlineStr">
        <ns0:is>
          <ns0:t>BelaFormosa</ns0:t>
        </ns0:is>
      </ns0:c>
      <ns0:c r="B419" s="94" t="inlineStr">
        <ns0:is>
          <ns0:t>LF507</ns0:t>
        </ns0:is>
      </ns0:c>
      <ns0:c r="C419" s="94" t="n">
        <ns0:v>5</ns0:v>
      </ns0:c>
      <ns0:c r="D419" s="94" t="inlineStr">
        <ns0:is>
          <ns0:t>T2</ns0:t>
        </ns0:is>
      </ns0:c>
      <ns0:c r="E419" s="94"/>
      <ns0:c r="F419" s="97" t="n">
        <ns0:v>100.25</ns0:v>
      </ns0:c>
      <ns0:c r="G419" s="97" t="n">
        <ns0:v>19.0</ns0:v>
      </ns0:c>
      <ns0:c r="H419" s="97" t="n">
        <ns0:v>119.25</ns0:v>
      </ns0:c>
      <ns0:c r="I419" s="95" t="n">
        <ns0:v>1295000</ns0:v>
      </ns0:c>
      <ns0:c r="J419" s="94" t="n">
        <ns0:v>2026</ns0:v>
      </ns0:c>
      <ns0:c r="K419" s="95" t="n">
        <ns0:v>12917.705735660847</ns0:v>
      </ns0:c>
      <ns0:c r="L419" s="95" t="n">
        <ns0:v>10859.538784067086</ns0:v>
      </ns0:c>
      <ns0:c r="M419" s="94" t="inlineStr">
        <ns0:is>
          <ns0:t>Ativo</ns0:t>
        </ns0:is>
      </ns0:c>
      <ns0:c r="N419" s="94" t="inlineStr">
        <ns0:is>
          <ns0:t>BelaFormosa · Price List September 2026 · p. 4</ns0:t>
        </ns0:is>
      </ns0:c>
      <ns0:c r="O419" s="94"/>
      <ns0:c r="P419" s="94" t="inlineStr">
        <ns0:is>
          <ns0:t>2026-09</ns0:t>
        </ns0:is>
      </ns0:c>
      <ns0:c r="Q419" s="94" t="inlineStr">
        <ns0:is>
          <ns0:t>Premium local</ns0:t>
        </ns0:is>
      </ns0:c>
      <ns0:c r="R419" s="94" t="inlineStr">
        <ns0:is>
          <ns0:t>Nova construção</ns0:t>
        </ns0:is>
      </ns0:c>
      <ns0:c r="S419" s="94"/>
      <ns0:c r="T419" s="94" t="inlineStr">
        <ns0:is>
          <ns0:t>Não incluído no preço; disponibilidade por confirmar</ns0:t>
        </ns0:is>
      </ns0:c>
      <ns0:c r="U419" s="94"/>
      <ns0:c r="V419" s="94"/>
      <ns0:c r="W419" s="97" t="n">
        <ns0:v>0.9</ns0:v>
      </ns0:c>
      <ns0:c r="X419" s="94" t="inlineStr">
        <ns0:is>
          <ns0:t>A · Premium local; vistas estimadas</ns0:t>
        </ns0:is>
      </ns0:c>
      <ns0:c r="Y419" s="94" t="inlineStr">
        <ns0:is>
          <ns0:t>Média</ns0:t>
        </ns0:is>
      </ns0:c>
      <ns0:c r="Z419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19" s="94" t="inlineStr">
        <ns0:is>
          <ns0:t>Confirmar vista, orientação, disponibilidade e condições atuais.</ns0:t>
        </ns0:is>
      </ns0:c>
      <ns0:c r="AB419" s="94" t="inlineStr">
        <ns0:is>
          <ns0:t>Média</ns0:t>
        </ns0:is>
      </ns0:c>
      <ns0:c r="AJ419" s="94" t="inlineStr">
        <ns0:is>
          <ns0:t>LF</ns0:t>
        </ns0:is>
      </ns0:c>
      <ns0:c r="AK419" s="94" t="inlineStr">
        <ns0:is>
          <ns0:t>Convencional</ns0:t>
        </ns0:is>
      </ns0:c>
      <ns0:c r="AL419" s="94" t="n">
        <ns0:v>2</ns0:v>
      </ns0:c>
      <ns0:c r="AM419" s="94" t="n">
        <ns0:v>3</ns0:v>
      </ns0:c>
      <ns0:c r="AN419" s="94" t="inlineStr">
        <ns0:is>
          <ns0:t>Estimada · média</ns0:t>
        </ns0:is>
      </ns0:c>
      <ns0:c r="AO419" s="94" t="inlineStr">
        <ns0:is>
          <ns0:t>Estimativa de implantação fornecida pela gestão; piso considerado sem confirmação geométrica.</ns0:t>
        </ns0:is>
      </ns0:c>
      <ns0:c r="AP419" s="94" t="inlineStr">
        <ns0:is>
          <ns0:t>Sim</ns0:t>
        </ns0:is>
      </ns0:c>
      <ns0:c r="AQ419" s="94" t="inlineStr">
        <ns0:is>
          <ns0:t>Olhão</ns0:t>
        </ns0:is>
      </ns0:c>
      <ns0:c r="AR419" s="94" t="inlineStr">
        <ns0:is>
          <ns0:t>BelaFormosa Price List September 2026, p. 1</ns0:t>
        </ns0:is>
      </ns0:c>
    </ns0:row>
    <ns0:row r="420" ht="72" customHeight="1">
      <ns0:c r="A420" s="94" t="inlineStr">
        <ns0:is>
          <ns0:t>BelaFormosa</ns0:t>
        </ns0:is>
      </ns0:c>
      <ns0:c r="B420" s="94" t="inlineStr">
        <ns0:is>
          <ns0:t>LF508</ns0:t>
        </ns0:is>
      </ns0:c>
      <ns0:c r="C420" s="94" t="n">
        <ns0:v>5</ns0:v>
      </ns0:c>
      <ns0:c r="D420" s="94" t="inlineStr">
        <ns0:is>
          <ns0:t>T2</ns0:t>
        </ns0:is>
      </ns0:c>
      <ns0:c r="E420" s="94"/>
      <ns0:c r="F420" s="97" t="n">
        <ns0:v>100.25</ns0:v>
      </ns0:c>
      <ns0:c r="G420" s="97" t="n">
        <ns0:v>18.5</ns0:v>
      </ns0:c>
      <ns0:c r="H420" s="97" t="n">
        <ns0:v>118.75</ns0:v>
      </ns0:c>
      <ns0:c r="I420" s="95" t="n">
        <ns0:v>1280000</ns0:v>
      </ns0:c>
      <ns0:c r="J420" s="94" t="n">
        <ns0:v>2026</ns0:v>
      </ns0:c>
      <ns0:c r="K420" s="95" t="n">
        <ns0:v>12768.079800498754</ns0:v>
      </ns0:c>
      <ns0:c r="L420" s="95" t="n">
        <ns0:v>10778.947368421053</ns0:v>
      </ns0:c>
      <ns0:c r="M420" s="94" t="inlineStr">
        <ns0:is>
          <ns0:t>Ativo</ns0:t>
        </ns0:is>
      </ns0:c>
      <ns0:c r="N420" s="94" t="inlineStr">
        <ns0:is>
          <ns0:t>BelaFormosa · Price List September 2026 · p. 4</ns0:t>
        </ns0:is>
      </ns0:c>
      <ns0:c r="O420" s="94"/>
      <ns0:c r="P420" s="94" t="inlineStr">
        <ns0:is>
          <ns0:t>2026-09</ns0:t>
        </ns0:is>
      </ns0:c>
      <ns0:c r="Q420" s="94" t="inlineStr">
        <ns0:is>
          <ns0:t>Premium local</ns0:t>
        </ns0:is>
      </ns0:c>
      <ns0:c r="R420" s="94" t="inlineStr">
        <ns0:is>
          <ns0:t>Nova construção</ns0:t>
        </ns0:is>
      </ns0:c>
      <ns0:c r="S420" s="94"/>
      <ns0:c r="T420" s="94" t="inlineStr">
        <ns0:is>
          <ns0:t>Não incluído no preço; disponibilidade por confirmar</ns0:t>
        </ns0:is>
      </ns0:c>
      <ns0:c r="U420" s="94"/>
      <ns0:c r="V420" s="94"/>
      <ns0:c r="W420" s="97" t="n">
        <ns0:v>0.9</ns0:v>
      </ns0:c>
      <ns0:c r="X420" s="94" t="inlineStr">
        <ns0:is>
          <ns0:t>A · Premium local; vistas estimadas</ns0:t>
        </ns0:is>
      </ns0:c>
      <ns0:c r="Y420" s="94" t="inlineStr">
        <ns0:is>
          <ns0:t>Média</ns0:t>
        </ns0:is>
      </ns0:c>
      <ns0:c r="Z420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20" s="94" t="inlineStr">
        <ns0:is>
          <ns0:t>Confirmar vista, orientação, disponibilidade e condições atuais.</ns0:t>
        </ns0:is>
      </ns0:c>
      <ns0:c r="AB420" s="94" t="inlineStr">
        <ns0:is>
          <ns0:t>Média</ns0:t>
        </ns0:is>
      </ns0:c>
      <ns0:c r="AJ420" s="94" t="inlineStr">
        <ns0:is>
          <ns0:t>LF</ns0:t>
        </ns0:is>
      </ns0:c>
      <ns0:c r="AK420" s="94" t="inlineStr">
        <ns0:is>
          <ns0:t>Convencional</ns0:t>
        </ns0:is>
      </ns0:c>
      <ns0:c r="AL420" s="94" t="n">
        <ns0:v>2</ns0:v>
      </ns0:c>
      <ns0:c r="AM420" s="94" t="n">
        <ns0:v>3</ns0:v>
      </ns0:c>
      <ns0:c r="AN420" s="94" t="inlineStr">
        <ns0:is>
          <ns0:t>Estimada · média</ns0:t>
        </ns0:is>
      </ns0:c>
      <ns0:c r="AO420" s="94" t="inlineStr">
        <ns0:is>
          <ns0:t>Estimativa de implantação fornecida pela gestão; piso considerado sem confirmação geométrica.</ns0:t>
        </ns0:is>
      </ns0:c>
      <ns0:c r="AP420" s="94" t="inlineStr">
        <ns0:is>
          <ns0:t>Sim</ns0:t>
        </ns0:is>
      </ns0:c>
      <ns0:c r="AQ420" s="94" t="inlineStr">
        <ns0:is>
          <ns0:t>Olhão</ns0:t>
        </ns0:is>
      </ns0:c>
      <ns0:c r="AR420" s="94" t="inlineStr">
        <ns0:is>
          <ns0:t>BelaFormosa Price List September 2026, p. 1</ns0:t>
        </ns0:is>
      </ns0:c>
    </ns0:row>
    <ns0:row r="421" ht="72" customHeight="1">
      <ns0:c r="A421" s="94" t="inlineStr">
        <ns0:is>
          <ns0:t>BelaFormosa</ns0:t>
        </ns0:is>
      </ns0:c>
      <ns0:c r="B421" s="94" t="inlineStr">
        <ns0:is>
          <ns0:t>LF601</ns0:t>
        </ns0:is>
      </ns0:c>
      <ns0:c r="C421" s="94" t="n">
        <ns0:v>6</ns0:v>
      </ns0:c>
      <ns0:c r="D421" s="94" t="inlineStr">
        <ns0:is>
          <ns0:t>T2 Rooftop</ns0:t>
        </ns0:is>
      </ns0:c>
      <ns0:c r="E421" s="94"/>
      <ns0:c r="F421" s="97" t="n">
        <ns0:v>100.25</ns0:v>
      </ns0:c>
      <ns0:c r="G421" s="97" t="n">
        <ns0:v>117.5</ns0:v>
      </ns0:c>
      <ns0:c r="H421" s="97" t="n">
        <ns0:v>217.75</ns0:v>
      </ns0:c>
      <ns0:c r="I421" s="95" t="n">
        <ns0:v>1850000</ns0:v>
      </ns0:c>
      <ns0:c r="J421" s="94" t="n">
        <ns0:v>2026</ns0:v>
      </ns0:c>
      <ns0:c r="K421" s="95" t="n">
        <ns0:v>18453.865336658353</ns0:v>
      </ns0:c>
      <ns0:c r="L421" s="95" t="n">
        <ns0:v>8495.981630309989</ns0:v>
      </ns0:c>
      <ns0:c r="M421" s="94" t="inlineStr">
        <ns0:is>
          <ns0:t>Ativo</ns0:t>
        </ns0:is>
      </ns0:c>
      <ns0:c r="N421" s="94" t="inlineStr">
        <ns0:is>
          <ns0:t>BelaFormosa · Price List September 2026 · p. 4</ns0:t>
        </ns0:is>
      </ns0:c>
      <ns0:c r="O421" s="94"/>
      <ns0:c r="P421" s="94" t="inlineStr">
        <ns0:is>
          <ns0:t>2026-09</ns0:t>
        </ns0:is>
      </ns0:c>
      <ns0:c r="Q421" s="94" t="inlineStr">
        <ns0:is>
          <ns0:t>Premium local</ns0:t>
        </ns0:is>
      </ns0:c>
      <ns0:c r="R421" s="94" t="inlineStr">
        <ns0:is>
          <ns0:t>Nova construção</ns0:t>
        </ns0:is>
      </ns0:c>
      <ns0:c r="S421" s="94"/>
      <ns0:c r="T421" s="94" t="inlineStr">
        <ns0:is>
          <ns0:t>Não incluído no preço; disponibilidade por confirmar</ns0:t>
        </ns0:is>
      </ns0:c>
      <ns0:c r="U421" s="94"/>
      <ns0:c r="V421" s="94"/>
      <ns0:c r="W421" s="97" t="n">
        <ns0:v>0.9</ns0:v>
      </ns0:c>
      <ns0:c r="X421" s="94" t="inlineStr">
        <ns0:is>
          <ns0:t>A · Premium local; vistas estimadas</ns0:t>
        </ns0:is>
      </ns0:c>
      <ns0:c r="Y421" s="94" t="inlineStr">
        <ns0:is>
          <ns0:t>Média</ns0:t>
        </ns0:is>
      </ns0:c>
      <ns0:c r="Z421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21" s="94" t="inlineStr">
        <ns0:is>
          <ns0:t>Confirmar vista, orientação, disponibilidade e condições atuais.</ns0:t>
        </ns0:is>
      </ns0:c>
      <ns0:c r="AB421" s="94" t="inlineStr">
        <ns0:is>
          <ns0:t>Média</ns0:t>
        </ns0:is>
      </ns0:c>
      <ns0:c r="AJ421" s="94" t="inlineStr">
        <ns0:is>
          <ns0:t>LF</ns0:t>
        </ns0:is>
      </ns0:c>
      <ns0:c r="AK421" s="94" t="inlineStr">
        <ns0:is>
          <ns0:t>Rooftop</ns0:t>
        </ns0:is>
      </ns0:c>
      <ns0:c r="AL421" s="94" t="n">
        <ns0:v>3</ns0:v>
      </ns0:c>
      <ns0:c r="AM421" s="94" t="n">
        <ns0:v>4</ns0:v>
      </ns0:c>
      <ns0:c r="AN421" s="94" t="inlineStr">
        <ns0:is>
          <ns0:t>Estimada · média</ns0:t>
        </ns0:is>
      </ns0:c>
      <ns0:c r="AO421" s="94" t="inlineStr">
        <ns0:is>
          <ns0:t>Estimativa de implantação fornecida pela gestão; piso considerado sem confirmação geométrica.</ns0:t>
        </ns0:is>
      </ns0:c>
      <ns0:c r="AP421" s="94" t="inlineStr">
        <ns0:is>
          <ns0:t>Sim</ns0:t>
        </ns0:is>
      </ns0:c>
      <ns0:c r="AQ421" s="94" t="inlineStr">
        <ns0:is>
          <ns0:t>Olhão</ns0:t>
        </ns0:is>
      </ns0:c>
      <ns0:c r="AR421" s="94" t="inlineStr">
        <ns0:is>
          <ns0:t>BelaFormosa Price List September 2026, p. 1</ns0:t>
        </ns0:is>
      </ns0:c>
    </ns0:row>
    <ns0:row r="422" ht="72" customHeight="1">
      <ns0:c r="A422" s="94" t="inlineStr">
        <ns0:is>
          <ns0:t>BelaFormosa</ns0:t>
        </ns0:is>
      </ns0:c>
      <ns0:c r="B422" s="94" t="inlineStr">
        <ns0:is>
          <ns0:t>LF602</ns0:t>
        </ns0:is>
      </ns0:c>
      <ns0:c r="C422" s="94" t="n">
        <ns0:v>6</ns0:v>
      </ns0:c>
      <ns0:c r="D422" s="94" t="inlineStr">
        <ns0:is>
          <ns0:t>T2 Rooftop</ns0:t>
        </ns0:is>
      </ns0:c>
      <ns0:c r="E422" s="94"/>
      <ns0:c r="F422" s="97" t="n">
        <ns0:v>100.25</ns0:v>
      </ns0:c>
      <ns0:c r="G422" s="97" t="n">
        <ns0:v>107.25</ns0:v>
      </ns0:c>
      <ns0:c r="H422" s="97" t="n">
        <ns0:v>207.5</ns0:v>
      </ns0:c>
      <ns0:c r="I422" s="95" t="n">
        <ns0:v>1900000</ns0:v>
      </ns0:c>
      <ns0:c r="J422" s="94" t="n">
        <ns0:v>2026</ns0:v>
      </ns0:c>
      <ns0:c r="K422" s="95" t="n">
        <ns0:v>18952.618453865336</ns0:v>
      </ns0:c>
      <ns0:c r="L422" s="95" t="n">
        <ns0:v>9156.626506024097</ns0:v>
      </ns0:c>
      <ns0:c r="M422" s="94" t="inlineStr">
        <ns0:is>
          <ns0:t>Ativo</ns0:t>
        </ns0:is>
      </ns0:c>
      <ns0:c r="N422" s="94" t="inlineStr">
        <ns0:is>
          <ns0:t>BelaFormosa · Price List September 2026 · p. 4</ns0:t>
        </ns0:is>
      </ns0:c>
      <ns0:c r="O422" s="94"/>
      <ns0:c r="P422" s="94" t="inlineStr">
        <ns0:is>
          <ns0:t>2026-09</ns0:t>
        </ns0:is>
      </ns0:c>
      <ns0:c r="Q422" s="94" t="inlineStr">
        <ns0:is>
          <ns0:t>Premium local</ns0:t>
        </ns0:is>
      </ns0:c>
      <ns0:c r="R422" s="94" t="inlineStr">
        <ns0:is>
          <ns0:t>Nova construção</ns0:t>
        </ns0:is>
      </ns0:c>
      <ns0:c r="S422" s="94"/>
      <ns0:c r="T422" s="94" t="inlineStr">
        <ns0:is>
          <ns0:t>Não incluído no preço; disponibilidade por confirmar</ns0:t>
        </ns0:is>
      </ns0:c>
      <ns0:c r="U422" s="94"/>
      <ns0:c r="V422" s="94"/>
      <ns0:c r="W422" s="97" t="n">
        <ns0:v>0.9</ns0:v>
      </ns0:c>
      <ns0:c r="X422" s="94" t="inlineStr">
        <ns0:is>
          <ns0:t>A · Premium local; vistas estimadas</ns0:t>
        </ns0:is>
      </ns0:c>
      <ns0:c r="Y422" s="94" t="inlineStr">
        <ns0:is>
          <ns0:t>Média</ns0:t>
        </ns0:is>
      </ns0:c>
      <ns0:c r="Z422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22" s="94" t="inlineStr">
        <ns0:is>
          <ns0:t>Confirmar vista, orientação, disponibilidade e condições atuais.</ns0:t>
        </ns0:is>
      </ns0:c>
      <ns0:c r="AB422" s="94" t="inlineStr">
        <ns0:is>
          <ns0:t>Média</ns0:t>
        </ns0:is>
      </ns0:c>
      <ns0:c r="AJ422" s="94" t="inlineStr">
        <ns0:is>
          <ns0:t>LF</ns0:t>
        </ns0:is>
      </ns0:c>
      <ns0:c r="AK422" s="94" t="inlineStr">
        <ns0:is>
          <ns0:t>Rooftop</ns0:t>
        </ns0:is>
      </ns0:c>
      <ns0:c r="AL422" s="94" t="n">
        <ns0:v>3</ns0:v>
      </ns0:c>
      <ns0:c r="AM422" s="94" t="n">
        <ns0:v>4</ns0:v>
      </ns0:c>
      <ns0:c r="AN422" s="94" t="inlineStr">
        <ns0:is>
          <ns0:t>Estimada · média</ns0:t>
        </ns0:is>
      </ns0:c>
      <ns0:c r="AO422" s="94" t="inlineStr">
        <ns0:is>
          <ns0:t>Estimativa de implantação fornecida pela gestão; piso considerado sem confirmação geométrica.</ns0:t>
        </ns0:is>
      </ns0:c>
      <ns0:c r="AP422" s="94" t="inlineStr">
        <ns0:is>
          <ns0:t>Sim</ns0:t>
        </ns0:is>
      </ns0:c>
      <ns0:c r="AQ422" s="94" t="inlineStr">
        <ns0:is>
          <ns0:t>Olhão</ns0:t>
        </ns0:is>
      </ns0:c>
      <ns0:c r="AR422" s="94" t="inlineStr">
        <ns0:is>
          <ns0:t>BelaFormosa Price List September 2026, p. 1</ns0:t>
        </ns0:is>
      </ns0:c>
    </ns0:row>
    <ns0:row r="423" ht="72" customHeight="1">
      <ns0:c r="A423" s="94" t="inlineStr">
        <ns0:is>
          <ns0:t>BelaFormosa</ns0:t>
        </ns0:is>
      </ns0:c>
      <ns0:c r="B423" s="94" t="inlineStr">
        <ns0:is>
          <ns0:t>LF603</ns0:t>
        </ns0:is>
      </ns0:c>
      <ns0:c r="C423" s="94" t="n">
        <ns0:v>6</ns0:v>
      </ns0:c>
      <ns0:c r="D423" s="94" t="inlineStr">
        <ns0:is>
          <ns0:t>T2 Rooftop</ns0:t>
        </ns0:is>
      </ns0:c>
      <ns0:c r="E423" s="94"/>
      <ns0:c r="F423" s="97" t="n">
        <ns0:v>100.25</ns0:v>
      </ns0:c>
      <ns0:c r="G423" s="97" t="n">
        <ns0:v>107.25</ns0:v>
      </ns0:c>
      <ns0:c r="H423" s="97" t="n">
        <ns0:v>207.5</ns0:v>
      </ns0:c>
      <ns0:c r="I423" s="95" t="n">
        <ns0:v>1950000</ns0:v>
      </ns0:c>
      <ns0:c r="J423" s="94" t="n">
        <ns0:v>2026</ns0:v>
      </ns0:c>
      <ns0:c r="K423" s="95" t="n">
        <ns0:v>19451.37157107232</ns0:v>
      </ns0:c>
      <ns0:c r="L423" s="95" t="n">
        <ns0:v>9397.590361445784</ns0:v>
      </ns0:c>
      <ns0:c r="M423" s="94" t="inlineStr">
        <ns0:is>
          <ns0:t>Ativo</ns0:t>
        </ns0:is>
      </ns0:c>
      <ns0:c r="N423" s="94" t="inlineStr">
        <ns0:is>
          <ns0:t>BelaFormosa · Price List September 2026 · p. 4</ns0:t>
        </ns0:is>
      </ns0:c>
      <ns0:c r="O423" s="94"/>
      <ns0:c r="P423" s="94" t="inlineStr">
        <ns0:is>
          <ns0:t>2026-09</ns0:t>
        </ns0:is>
      </ns0:c>
      <ns0:c r="Q423" s="94" t="inlineStr">
        <ns0:is>
          <ns0:t>Premium local</ns0:t>
        </ns0:is>
      </ns0:c>
      <ns0:c r="R423" s="94" t="inlineStr">
        <ns0:is>
          <ns0:t>Nova construção</ns0:t>
        </ns0:is>
      </ns0:c>
      <ns0:c r="S423" s="94"/>
      <ns0:c r="T423" s="94" t="inlineStr">
        <ns0:is>
          <ns0:t>Não incluído no preço; disponibilidade por confirmar</ns0:t>
        </ns0:is>
      </ns0:c>
      <ns0:c r="U423" s="94"/>
      <ns0:c r="V423" s="94"/>
      <ns0:c r="W423" s="97" t="n">
        <ns0:v>0.9</ns0:v>
      </ns0:c>
      <ns0:c r="X423" s="94" t="inlineStr">
        <ns0:is>
          <ns0:t>A · Premium local; vistas estimadas</ns0:t>
        </ns0:is>
      </ns0:c>
      <ns0:c r="Y423" s="94" t="inlineStr">
        <ns0:is>
          <ns0:t>Média</ns0:t>
        </ns0:is>
      </ns0:c>
      <ns0:c r="Z423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23" s="94" t="inlineStr">
        <ns0:is>
          <ns0:t>Confirmar vista, orientação, disponibilidade e condições atuais.</ns0:t>
        </ns0:is>
      </ns0:c>
      <ns0:c r="AB423" s="94" t="inlineStr">
        <ns0:is>
          <ns0:t>Média</ns0:t>
        </ns0:is>
      </ns0:c>
      <ns0:c r="AJ423" s="94" t="inlineStr">
        <ns0:is>
          <ns0:t>LF</ns0:t>
        </ns0:is>
      </ns0:c>
      <ns0:c r="AK423" s="94" t="inlineStr">
        <ns0:is>
          <ns0:t>Rooftop</ns0:t>
        </ns0:is>
      </ns0:c>
      <ns0:c r="AL423" s="94" t="n">
        <ns0:v>3</ns0:v>
      </ns0:c>
      <ns0:c r="AM423" s="94" t="n">
        <ns0:v>4</ns0:v>
      </ns0:c>
      <ns0:c r="AN423" s="94" t="inlineStr">
        <ns0:is>
          <ns0:t>Estimada · média</ns0:t>
        </ns0:is>
      </ns0:c>
      <ns0:c r="AO423" s="94" t="inlineStr">
        <ns0:is>
          <ns0:t>Estimativa de implantação fornecida pela gestão; piso considerado sem confirmação geométrica.</ns0:t>
        </ns0:is>
      </ns0:c>
      <ns0:c r="AP423" s="94" t="inlineStr">
        <ns0:is>
          <ns0:t>Sim</ns0:t>
        </ns0:is>
      </ns0:c>
      <ns0:c r="AQ423" s="94" t="inlineStr">
        <ns0:is>
          <ns0:t>Olhão</ns0:t>
        </ns0:is>
      </ns0:c>
      <ns0:c r="AR423" s="94" t="inlineStr">
        <ns0:is>
          <ns0:t>BelaFormosa Price List September 2026, p. 1</ns0:t>
        </ns0:is>
      </ns0:c>
    </ns0:row>
    <ns0:row r="424" ht="72" customHeight="1">
      <ns0:c r="A424" s="94" t="inlineStr">
        <ns0:is>
          <ns0:t>BelaFormosa</ns0:t>
        </ns0:is>
      </ns0:c>
      <ns0:c r="B424" s="94" t="inlineStr">
        <ns0:is>
          <ns0:t>LF604</ns0:t>
        </ns0:is>
      </ns0:c>
      <ns0:c r="C424" s="94" t="n">
        <ns0:v>6</ns0:v>
      </ns0:c>
      <ns0:c r="D424" s="94" t="inlineStr">
        <ns0:is>
          <ns0:t>T3 Rooftop</ns0:t>
        </ns0:is>
      </ns0:c>
      <ns0:c r="E424" s="94"/>
      <ns0:c r="F424" s="97" t="n">
        <ns0:v>164.5</ns0:v>
      </ns0:c>
      <ns0:c r="G424" s="97" t="n">
        <ns0:v>258.5</ns0:v>
      </ns0:c>
      <ns0:c r="H424" s="97" t="n">
        <ns0:v>423.0</ns0:v>
      </ns0:c>
      <ns0:c r="I424" s="95" t="n">
        <ns0:v>4600000</ns0:v>
      </ns0:c>
      <ns0:c r="J424" s="94" t="n">
        <ns0:v>2026</ns0:v>
      </ns0:c>
      <ns0:c r="K424" s="95" t="n">
        <ns0:v>27963.52583586626</ns0:v>
      </ns0:c>
      <ns0:c r="L424" s="95" t="n">
        <ns0:v>10874.704491725768</ns0:v>
      </ns0:c>
      <ns0:c r="M424" s="94" t="inlineStr">
        <ns0:is>
          <ns0:t>Ativo</ns0:t>
        </ns0:is>
      </ns0:c>
      <ns0:c r="N424" s="94" t="inlineStr">
        <ns0:is>
          <ns0:t>BelaFormosa · Price List September 2026 · p. 4</ns0:t>
        </ns0:is>
      </ns0:c>
      <ns0:c r="O424" s="94"/>
      <ns0:c r="P424" s="94" t="inlineStr">
        <ns0:is>
          <ns0:t>2026-09</ns0:t>
        </ns0:is>
      </ns0:c>
      <ns0:c r="Q424" s="94" t="inlineStr">
        <ns0:is>
          <ns0:t>Premium local</ns0:t>
        </ns0:is>
      </ns0:c>
      <ns0:c r="R424" s="94" t="inlineStr">
        <ns0:is>
          <ns0:t>Nova construção</ns0:t>
        </ns0:is>
      </ns0:c>
      <ns0:c r="S424" s="94"/>
      <ns0:c r="T424" s="94" t="inlineStr">
        <ns0:is>
          <ns0:t>Não incluído no preço; disponibilidade por confirmar</ns0:t>
        </ns0:is>
      </ns0:c>
      <ns0:c r="U424" s="94"/>
      <ns0:c r="V424" s="94"/>
      <ns0:c r="W424" s="97" t="n">
        <ns0:v>0.9</ns0:v>
      </ns0:c>
      <ns0:c r="X424" s="94" t="inlineStr">
        <ns0:is>
          <ns0:t>A · Premium local; vistas estimadas</ns0:t>
        </ns0:is>
      </ns0:c>
      <ns0:c r="Y424" s="94" t="inlineStr">
        <ns0:is>
          <ns0:t>Média</ns0:t>
        </ns0:is>
      </ns0:c>
      <ns0:c r="Z424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424" s="94" t="inlineStr">
        <ns0:is>
          <ns0:t>Confirmar vista, orientação, disponibilidade e condições atuais.</ns0:t>
        </ns0:is>
      </ns0:c>
      <ns0:c r="AB424" s="94" t="inlineStr">
        <ns0:is>
          <ns0:t>Média</ns0:t>
        </ns0:is>
      </ns0:c>
      <ns0:c r="AJ424" s="94" t="inlineStr">
        <ns0:is>
          <ns0:t>LF</ns0:t>
        </ns0:is>
      </ns0:c>
      <ns0:c r="AK424" s="94" t="inlineStr">
        <ns0:is>
          <ns0:t>Rooftop</ns0:t>
        </ns0:is>
      </ns0:c>
      <ns0:c r="AL424" s="94" t="n">
        <ns0:v>1</ns0:v>
      </ns0:c>
      <ns0:c r="AM424" s="94" t="n">
        <ns0:v>1</ns0:v>
      </ns0:c>
      <ns0:c r="AN424" s="94" t="inlineStr">
        <ns0:is>
          <ns0:t>Estimada · média</ns0:t>
        </ns0:is>
      </ns0:c>
      <ns0:c r="AO424" s="94" t="inlineStr">
        <ns0:is>
          <ns0:t>Estimativa de implantação fornecida pela gestão; piso considerado sem confirmação geométrica.</ns0:t>
        </ns0:is>
      </ns0:c>
      <ns0:c r="AP424" s="94" t="inlineStr">
        <ns0:is>
          <ns0:t>Sim</ns0:t>
        </ns0:is>
      </ns0:c>
      <ns0:c r="AQ424" s="94" t="inlineStr">
        <ns0:is>
          <ns0:t>Olhão</ns0:t>
        </ns0:is>
      </ns0:c>
      <ns0:c r="AR424" s="94" t="inlineStr">
        <ns0:is>
          <ns0:t>BelaFormosa Price List September 2026, p. 1</ns0:t>
        </ns0:is>
      </ns0:c>
    </ns0:row>
    <ns0:row r="425" ht="72" customHeight="1">
      <ns0:c r="A425" s="94" t="inlineStr">
        <ns0:is>
          <ns0:t>BelaFormosa</ns0:t>
        </ns0:is>
      </ns0:c>
      <ns0:c r="B425" s="94" t="inlineStr">
        <ns0:is>
          <ns0:t>LF605</ns0:t>
        </ns0:is>
      </ns0:c>
      <ns0:c r="C425" s="94" t="n">
        <ns0:v>6</ns0:v>
      </ns0:c>
      <ns0:c r="D425" s="94" t="inlineStr">
        <ns0:is>
          <ns0:t>T3 Rooftop</ns0:t>
        </ns0:is>
      </ns0:c>
      <ns0:c r="E425" s="94"/>
      <ns0:c r="F425" s="97" t="n">
        <ns0:v>164.5</ns0:v>
      </ns0:c>
      <ns0:c r="G425" s="97" t="n">
        <ns0:v>258.5</ns0:v>
      </ns0:c>
      <ns0:c r="H425" s="97" t="n">
        <ns0:v>423.0</ns0:v>
      </ns0:c>
      <ns0:c r="I425" s="95" t="n">
        <ns0:v>4600000</ns0:v>
      </ns0:c>
      <ns0:c r="J425" s="94" t="n">
        <ns0:v>2026</ns0:v>
      </ns0:c>
      <ns0:c r="K425" s="95" t="n">
        <ns0:v>27963.52583586626</ns0:v>
      </ns0:c>
      <ns0:c r="L425" s="95" t="n">
        <ns0:v>10874.704491725768</ns0:v>
      </ns0:c>
      <ns0:c r="M425" s="94" t="inlineStr">
        <ns0:is>
          <ns0:t>Reservado</ns0:t>
        </ns0:is>
      </ns0:c>
      <ns0:c r="N425" s="94" t="inlineStr">
        <ns0:is>
          <ns0:t>BelaFormosa · Price List September 2026 · p. 4</ns0:t>
        </ns0:is>
      </ns0:c>
      <ns0:c r="O425" s="94"/>
      <ns0:c r="P425" s="94" t="inlineStr">
        <ns0:is>
          <ns0:t>2026-09</ns0:t>
        </ns0:is>
      </ns0:c>
      <ns0:c r="Q425" s="94" t="inlineStr">
        <ns0:is>
          <ns0:t>Premium local</ns0:t>
        </ns0:is>
      </ns0:c>
      <ns0:c r="R425" s="94" t="inlineStr">
        <ns0:is>
          <ns0:t>Nova construção</ns0:t>
        </ns0:is>
      </ns0:c>
      <ns0:c r="S425" s="94"/>
      <ns0:c r="T425" s="94" t="inlineStr">
        <ns0:is>
          <ns0:t>Não incluído no preço; disponibilidade por confirmar</ns0:t>
        </ns0:is>
      </ns0:c>
      <ns0:c r="U425" s="94"/>
      <ns0:c r="V425" s="94"/>
      <ns0:c r="W425" s="97" t="n">
        <ns0:v>0.9</ns0:v>
      </ns0:c>
      <ns0:c r="X425" s="94" t="inlineStr">
        <ns0:is>
          <ns0:t>A · Premium local; vistas estimadas</ns0:t>
        </ns0:is>
      </ns0:c>
      <ns0:c r="Y425" s="94" t="inlineStr">
        <ns0:is>
          <ns0:t>Média</ns0:t>
        </ns0:is>
      </ns0:c>
      <ns0:c r="Z425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 Reservado, não vendido. Preço extraído mantido por autorização da gestão; não constitui oferta ativa.</ns0:t>
        </ns0:is>
      </ns0:c>
      <ns0:c r="AA425" s="94" t="inlineStr">
        <ns0:is>
          <ns0:t>Confirmar vista, orientação, disponibilidade e condições atuais.</ns0:t>
        </ns0:is>
      </ns0:c>
      <ns0:c r="AB425" s="94" t="inlineStr">
        <ns0:is>
          <ns0:t>Alta</ns0:t>
        </ns0:is>
      </ns0:c>
      <ns0:c r="AJ425" s="94" t="inlineStr">
        <ns0:is>
          <ns0:t>LF</ns0:t>
        </ns0:is>
      </ns0:c>
      <ns0:c r="AK425" s="94" t="inlineStr">
        <ns0:is>
          <ns0:t>Rooftop</ns0:t>
        </ns0:is>
      </ns0:c>
      <ns0:c r="AL425" s="94" t="n">
        <ns0:v>1</ns0:v>
      </ns0:c>
      <ns0:c r="AM425" s="94" t="n">
        <ns0:v>1</ns0:v>
      </ns0:c>
      <ns0:c r="AN425" s="94" t="inlineStr">
        <ns0:is>
          <ns0:t>Estimada · média</ns0:t>
        </ns0:is>
      </ns0:c>
      <ns0:c r="AO425" s="94" t="inlineStr">
        <ns0:is>
          <ns0:t>Estimativa de implantação fornecida pela gestão; piso considerado sem confirmação geométrica.</ns0:t>
        </ns0:is>
      </ns0:c>
      <ns0:c r="AP425" s="94" t="inlineStr">
        <ns0:is>
          <ns0:t>Não · reservado</ns0:t>
        </ns0:is>
      </ns0:c>
      <ns0:c r="AQ425" s="94" t="inlineStr">
        <ns0:is>
          <ns0:t>Olhão</ns0:t>
        </ns0:is>
      </ns0:c>
      <ns0:c r="AR425" s="94" t="inlineStr">
        <ns0:is>
          <ns0:t>BelaFormosa Price List September 2026, p. 1</ns0:t>
        </ns0:is>
      </ns0:c>
    </ns0:row>
    <ns0:row r="426" ht="72" customHeight="1">
      <ns0:c r="A426" s="94" t="inlineStr">
        <ns0:is>
          <ns0:t>BelaFormosa</ns0:t>
        </ns0:is>
      </ns0:c>
      <ns0:c r="B426" s="94" t="inlineStr">
        <ns0:is>
          <ns0:t>LF606</ns0:t>
        </ns0:is>
      </ns0:c>
      <ns0:c r="C426" s="94" t="n">
        <ns0:v>6</ns0:v>
      </ns0:c>
      <ns0:c r="D426" s="94" t="inlineStr">
        <ns0:is>
          <ns0:t>T2 Rooftop</ns0:t>
        </ns0:is>
      </ns0:c>
      <ns0:c r="E426" s="94"/>
      <ns0:c r="F426" s="97" t="n">
        <ns0:v>100.25</ns0:v>
      </ns0:c>
      <ns0:c r="G426" s="97" t="n">
        <ns0:v>107.25</ns0:v>
      </ns0:c>
      <ns0:c r="H426" s="97" t="n">
        <ns0:v>207.5</ns0:v>
      </ns0:c>
      <ns0:c r="I426" s="95" t="n">
        <ns0:v>2150000</ns0:v>
      </ns0:c>
      <ns0:c r="J426" s="94" t="n">
        <ns0:v>2026</ns0:v>
      </ns0:c>
      <ns0:c r="K426" s="95" t="n">
        <ns0:v>21446.38403990025</ns0:v>
      </ns0:c>
      <ns0:c r="L426" s="95" t="n">
        <ns0:v>10361.44578313253</ns0:v>
      </ns0:c>
      <ns0:c r="M426" s="94" t="inlineStr">
        <ns0:is>
          <ns0:t>Ativo</ns0:t>
        </ns0:is>
      </ns0:c>
      <ns0:c r="N426" s="94" t="inlineStr">
        <ns0:is>
          <ns0:t>BelaFormosa · Price List September 2026 · p. 4</ns0:t>
        </ns0:is>
      </ns0:c>
      <ns0:c r="O426" s="94"/>
      <ns0:c r="P426" s="94" t="inlineStr">
        <ns0:is>
          <ns0:t>2026-09</ns0:t>
        </ns0:is>
      </ns0:c>
      <ns0:c r="Q426" s="94" t="inlineStr">
        <ns0:is>
          <ns0:t>Premium local</ns0:t>
        </ns0:is>
      </ns0:c>
      <ns0:c r="R426" s="94" t="inlineStr">
        <ns0:is>
          <ns0:t>Nova construção</ns0:t>
        </ns0:is>
      </ns0:c>
      <ns0:c r="S426" s="94"/>
      <ns0:c r="T426" s="94" t="inlineStr">
        <ns0:is>
          <ns0:t>Não incluído no preço; disponibilidade por confirmar</ns0:t>
        </ns0:is>
      </ns0:c>
      <ns0:c r="U426" s="94"/>
      <ns0:c r="V426" s="94"/>
      <ns0:c r="W426" s="97" t="n">
        <ns0:v>0.9</ns0:v>
      </ns0:c>
      <ns0:c r="X426" s="94" t="inlineStr">
        <ns0:is>
          <ns0:t>A · Premium local; vistas estimadas</ns0:t>
        </ns0:is>
      </ns0:c>
      <ns0:c r="Y426" s="94" t="inlineStr">
        <ns0:is>
          <ns0:t>Média</ns0:t>
        </ns0:is>
      </ns0:c>
      <ns0:c r="Z426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26" s="94" t="inlineStr">
        <ns0:is>
          <ns0:t>Confirmar vista, orientação, disponibilidade e condições atuais.</ns0:t>
        </ns0:is>
      </ns0:c>
      <ns0:c r="AB426" s="94" t="inlineStr">
        <ns0:is>
          <ns0:t>Média</ns0:t>
        </ns0:is>
      </ns0:c>
      <ns0:c r="AJ426" s="94" t="inlineStr">
        <ns0:is>
          <ns0:t>LF</ns0:t>
        </ns0:is>
      </ns0:c>
      <ns0:c r="AK426" s="94" t="inlineStr">
        <ns0:is>
          <ns0:t>Rooftop</ns0:t>
        </ns0:is>
      </ns0:c>
      <ns0:c r="AL426" s="94" t="n">
        <ns0:v>2</ns0:v>
      </ns0:c>
      <ns0:c r="AM426" s="94" t="n">
        <ns0:v>3</ns0:v>
      </ns0:c>
      <ns0:c r="AN426" s="94" t="inlineStr">
        <ns0:is>
          <ns0:t>Estimada · média</ns0:t>
        </ns0:is>
      </ns0:c>
      <ns0:c r="AO426" s="94" t="inlineStr">
        <ns0:is>
          <ns0:t>Estimativa de implantação fornecida pela gestão; piso considerado sem confirmação geométrica.</ns0:t>
        </ns0:is>
      </ns0:c>
      <ns0:c r="AP426" s="94" t="inlineStr">
        <ns0:is>
          <ns0:t>Sim</ns0:t>
        </ns0:is>
      </ns0:c>
      <ns0:c r="AQ426" s="94" t="inlineStr">
        <ns0:is>
          <ns0:t>Olhão</ns0:t>
        </ns0:is>
      </ns0:c>
      <ns0:c r="AR426" s="94" t="inlineStr">
        <ns0:is>
          <ns0:t>BelaFormosa Price List September 2026, p. 1</ns0:t>
        </ns0:is>
      </ns0:c>
    </ns0:row>
    <ns0:row r="427" ht="72" customHeight="1">
      <ns0:c r="A427" s="94" t="inlineStr">
        <ns0:is>
          <ns0:t>BelaFormosa</ns0:t>
        </ns0:is>
      </ns0:c>
      <ns0:c r="B427" s="94" t="inlineStr">
        <ns0:is>
          <ns0:t>LF607</ns0:t>
        </ns0:is>
      </ns0:c>
      <ns0:c r="C427" s="94" t="n">
        <ns0:v>6</ns0:v>
      </ns0:c>
      <ns0:c r="D427" s="94" t="inlineStr">
        <ns0:is>
          <ns0:t>T2 Rooftop</ns0:t>
        </ns0:is>
      </ns0:c>
      <ns0:c r="E427" s="94"/>
      <ns0:c r="F427" s="97" t="n">
        <ns0:v>100.25</ns0:v>
      </ns0:c>
      <ns0:c r="G427" s="97" t="n">
        <ns0:v>107.5</ns0:v>
      </ns0:c>
      <ns0:c r="H427" s="97" t="n">
        <ns0:v>207.75</ns0:v>
      </ns0:c>
      <ns0:c r="I427" s="95" t="n">
        <ns0:v>2130000</ns0:v>
      </ns0:c>
      <ns0:c r="J427" s="94" t="n">
        <ns0:v>2026</ns0:v>
      </ns0:c>
      <ns0:c r="K427" s="95" t="n">
        <ns0:v>21246.882793017456</ns0:v>
      </ns0:c>
      <ns0:c r="L427" s="95" t="n">
        <ns0:v>10252.707581227436</ns0:v>
      </ns0:c>
      <ns0:c r="M427" s="94" t="inlineStr">
        <ns0:is>
          <ns0:t>Ativo</ns0:t>
        </ns0:is>
      </ns0:c>
      <ns0:c r="N427" s="94" t="inlineStr">
        <ns0:is>
          <ns0:t>BelaFormosa · Price List September 2026 · p. 4</ns0:t>
        </ns0:is>
      </ns0:c>
      <ns0:c r="O427" s="94"/>
      <ns0:c r="P427" s="94" t="inlineStr">
        <ns0:is>
          <ns0:t>2026-09</ns0:t>
        </ns0:is>
      </ns0:c>
      <ns0:c r="Q427" s="94" t="inlineStr">
        <ns0:is>
          <ns0:t>Premium local</ns0:t>
        </ns0:is>
      </ns0:c>
      <ns0:c r="R427" s="94" t="inlineStr">
        <ns0:is>
          <ns0:t>Nova construção</ns0:t>
        </ns0:is>
      </ns0:c>
      <ns0:c r="S427" s="94"/>
      <ns0:c r="T427" s="94" t="inlineStr">
        <ns0:is>
          <ns0:t>Não incluído no preço; disponibilidade por confirmar</ns0:t>
        </ns0:is>
      </ns0:c>
      <ns0:c r="U427" s="94"/>
      <ns0:c r="V427" s="94"/>
      <ns0:c r="W427" s="97" t="n">
        <ns0:v>0.9</ns0:v>
      </ns0:c>
      <ns0:c r="X427" s="94" t="inlineStr">
        <ns0:is>
          <ns0:t>A · Premium local; vistas estimadas</ns0:t>
        </ns0:is>
      </ns0:c>
      <ns0:c r="Y427" s="94" t="inlineStr">
        <ns0:is>
          <ns0:t>Média</ns0:t>
        </ns0:is>
      </ns0:c>
      <ns0:c r="Z427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27" s="94" t="inlineStr">
        <ns0:is>
          <ns0:t>Confirmar vista, orientação, disponibilidade e condições atuais.</ns0:t>
        </ns0:is>
      </ns0:c>
      <ns0:c r="AB427" s="94" t="inlineStr">
        <ns0:is>
          <ns0:t>Média</ns0:t>
        </ns0:is>
      </ns0:c>
      <ns0:c r="AJ427" s="94" t="inlineStr">
        <ns0:is>
          <ns0:t>LF</ns0:t>
        </ns0:is>
      </ns0:c>
      <ns0:c r="AK427" s="94" t="inlineStr">
        <ns0:is>
          <ns0:t>Rooftop</ns0:t>
        </ns0:is>
      </ns0:c>
      <ns0:c r="AL427" s="94" t="n">
        <ns0:v>2</ns0:v>
      </ns0:c>
      <ns0:c r="AM427" s="94" t="n">
        <ns0:v>3</ns0:v>
      </ns0:c>
      <ns0:c r="AN427" s="94" t="inlineStr">
        <ns0:is>
          <ns0:t>Estimada · média</ns0:t>
        </ns0:is>
      </ns0:c>
      <ns0:c r="AO427" s="94" t="inlineStr">
        <ns0:is>
          <ns0:t>Estimativa de implantação fornecida pela gestão; piso considerado sem confirmação geométrica.</ns0:t>
        </ns0:is>
      </ns0:c>
      <ns0:c r="AP427" s="94" t="inlineStr">
        <ns0:is>
          <ns0:t>Sim</ns0:t>
        </ns0:is>
      </ns0:c>
      <ns0:c r="AQ427" s="94" t="inlineStr">
        <ns0:is>
          <ns0:t>Olhão</ns0:t>
        </ns0:is>
      </ns0:c>
      <ns0:c r="AR427" s="94" t="inlineStr">
        <ns0:is>
          <ns0:t>BelaFormosa Price List September 2026, p. 1</ns0:t>
        </ns0:is>
      </ns0:c>
    </ns0:row>
    <ns0:row r="428" ht="72" customHeight="1">
      <ns0:c r="A428" s="94" t="inlineStr">
        <ns0:is>
          <ns0:t>BelaFormosa</ns0:t>
        </ns0:is>
      </ns0:c>
      <ns0:c r="B428" s="94" t="inlineStr">
        <ns0:is>
          <ns0:t>LF608</ns0:t>
        </ns0:is>
      </ns0:c>
      <ns0:c r="C428" s="94" t="n">
        <ns0:v>6</ns0:v>
      </ns0:c>
      <ns0:c r="D428" s="94" t="inlineStr">
        <ns0:is>
          <ns0:t>T2 Rooftop</ns0:t>
        </ns0:is>
      </ns0:c>
      <ns0:c r="E428" s="94"/>
      <ns0:c r="F428" s="97" t="n">
        <ns0:v>100.25</ns0:v>
      </ns0:c>
      <ns0:c r="G428" s="97" t="n">
        <ns0:v>117.5</ns0:v>
      </ns0:c>
      <ns0:c r="H428" s="97" t="n">
        <ns0:v>217.75</ns0:v>
      </ns0:c>
      <ns0:c r="I428" s="95" t="n">
        <ns0:v>2120000</ns0:v>
      </ns0:c>
      <ns0:c r="J428" s="94" t="n">
        <ns0:v>2026</ns0:v>
      </ns0:c>
      <ns0:c r="K428" s="95" t="n">
        <ns0:v>21147.13216957606</ns0:v>
      </ns0:c>
      <ns0:c r="L428" s="95" t="n">
        <ns0:v>9735.93570608496</ns0:v>
      </ns0:c>
      <ns0:c r="M428" s="94" t="inlineStr">
        <ns0:is>
          <ns0:t>Ativo</ns0:t>
        </ns0:is>
      </ns0:c>
      <ns0:c r="N428" s="94" t="inlineStr">
        <ns0:is>
          <ns0:t>BelaFormosa · Price List September 2026 · p. 4</ns0:t>
        </ns0:is>
      </ns0:c>
      <ns0:c r="O428" s="94"/>
      <ns0:c r="P428" s="94" t="inlineStr">
        <ns0:is>
          <ns0:t>2026-09</ns0:t>
        </ns0:is>
      </ns0:c>
      <ns0:c r="Q428" s="94" t="inlineStr">
        <ns0:is>
          <ns0:t>Premium local</ns0:t>
        </ns0:is>
      </ns0:c>
      <ns0:c r="R428" s="94" t="inlineStr">
        <ns0:is>
          <ns0:t>Nova construção</ns0:t>
        </ns0:is>
      </ns0:c>
      <ns0:c r="S428" s="94"/>
      <ns0:c r="T428" s="94" t="inlineStr">
        <ns0:is>
          <ns0:t>Não incluído no preço; disponibilidade por confirmar</ns0:t>
        </ns0:is>
      </ns0:c>
      <ns0:c r="U428" s="94"/>
      <ns0:c r="V428" s="94"/>
      <ns0:c r="W428" s="97" t="n">
        <ns0:v>0.9</ns0:v>
      </ns0:c>
      <ns0:c r="X428" s="94" t="inlineStr">
        <ns0:is>
          <ns0:t>A · Premium local; vistas estimadas</ns0:t>
        </ns0:is>
      </ns0:c>
      <ns0:c r="Y428" s="94" t="inlineStr">
        <ns0:is>
          <ns0:t>Média</ns0:t>
        </ns0:is>
      </ns0:c>
      <ns0:c r="Z428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28" s="94" t="inlineStr">
        <ns0:is>
          <ns0:t>Confirmar vista, orientação, disponibilidade e condições atuais.</ns0:t>
        </ns0:is>
      </ns0:c>
      <ns0:c r="AB428" s="94" t="inlineStr">
        <ns0:is>
          <ns0:t>Média</ns0:t>
        </ns0:is>
      </ns0:c>
      <ns0:c r="AJ428" s="94" t="inlineStr">
        <ns0:is>
          <ns0:t>LF</ns0:t>
        </ns0:is>
      </ns0:c>
      <ns0:c r="AK428" s="94" t="inlineStr">
        <ns0:is>
          <ns0:t>Rooftop</ns0:t>
        </ns0:is>
      </ns0:c>
      <ns0:c r="AL428" s="94" t="n">
        <ns0:v>2</ns0:v>
      </ns0:c>
      <ns0:c r="AM428" s="94" t="n">
        <ns0:v>3</ns0:v>
      </ns0:c>
      <ns0:c r="AN428" s="94" t="inlineStr">
        <ns0:is>
          <ns0:t>Estimada · média</ns0:t>
        </ns0:is>
      </ns0:c>
      <ns0:c r="AO428" s="94" t="inlineStr">
        <ns0:is>
          <ns0:t>Estimativa de implantação fornecida pela gestão; piso considerado sem confirmação geométrica.</ns0:t>
        </ns0:is>
      </ns0:c>
      <ns0:c r="AP428" s="94" t="inlineStr">
        <ns0:is>
          <ns0:t>Sim</ns0:t>
        </ns0:is>
      </ns0:c>
      <ns0:c r="AQ428" s="94" t="inlineStr">
        <ns0:is>
          <ns0:t>Olhão</ns0:t>
        </ns0:is>
      </ns0:c>
      <ns0:c r="AR428" s="94" t="inlineStr">
        <ns0:is>
          <ns0:t>BelaFormosa Price List September 2026, p. 1</ns0:t>
        </ns0:is>
      </ns0:c>
    </ns0:row>
    <ns0:row r="429" ht="72" customHeight="1">
      <ns0:c r="A429" s="94" t="inlineStr">
        <ns0:is>
          <ns0:t>BelaFormosa</ns0:t>
        </ns0:is>
      </ns0:c>
      <ns0:c r="B429" s="94" t="inlineStr">
        <ns0:is>
          <ns0:t>RB101</ns0:t>
        </ns0:is>
      </ns0:c>
      <ns0:c r="C429" s="94" t="n">
        <ns0:v>1</ns0:v>
      </ns0:c>
      <ns0:c r="D429" s="94" t="inlineStr">
        <ns0:is>
          <ns0:t>T2</ns0:t>
        </ns0:is>
      </ns0:c>
      <ns0:c r="E429" s="94"/>
      <ns0:c r="F429" s="97" t="n">
        <ns0:v>91.0</ns0:v>
      </ns0:c>
      <ns0:c r="G429" s="97" t="n">
        <ns0:v>72.0</ns0:v>
      </ns0:c>
      <ns0:c r="H429" s="97" t="n">
        <ns0:v>163.0</ns0:v>
      </ns0:c>
      <ns0:c r="I429" s="95" t="n">
        <ns0:v>565000</ns0:v>
      </ns0:c>
      <ns0:c r="J429" s="94" t="n">
        <ns0:v>2026</ns0:v>
      </ns0:c>
      <ns0:c r="K429" s="95" t="n">
        <ns0:v>6208.791208791209</ns0:v>
      </ns0:c>
      <ns0:c r="L429" s="95" t="n">
        <ns0:v>3466.2576687116566</ns0:v>
      </ns0:c>
      <ns0:c r="M429" s="94" t="inlineStr">
        <ns0:is>
          <ns0:t>Ativo</ns0:t>
        </ns0:is>
      </ns0:c>
      <ns0:c r="N429" s="94" t="inlineStr">
        <ns0:is>
          <ns0:t>BelaFormosa · Price List September 2026 · p. 4</ns0:t>
        </ns0:is>
      </ns0:c>
      <ns0:c r="O429" s="94"/>
      <ns0:c r="P429" s="94" t="inlineStr">
        <ns0:is>
          <ns0:t>2026-09</ns0:t>
        </ns0:is>
      </ns0:c>
      <ns0:c r="Q429" s="94" t="inlineStr">
        <ns0:is>
          <ns0:t>Premium local</ns0:t>
        </ns0:is>
      </ns0:c>
      <ns0:c r="R429" s="94" t="inlineStr">
        <ns0:is>
          <ns0:t>Nova construção</ns0:t>
        </ns0:is>
      </ns0:c>
      <ns0:c r="S429" s="94"/>
      <ns0:c r="T429" s="94" t="inlineStr">
        <ns0:is>
          <ns0:t>Não incluído no preço; disponibilidade por confirmar</ns0:t>
        </ns0:is>
      </ns0:c>
      <ns0:c r="U429" s="94"/>
      <ns0:c r="V429" s="94"/>
      <ns0:c r="W429" s="97" t="n">
        <ns0:v>0.9</ns0:v>
      </ns0:c>
      <ns0:c r="X429" s="94" t="inlineStr">
        <ns0:is>
          <ns0:t>A · Premium local; vistas estimadas</ns0:t>
        </ns0:is>
      </ns0:c>
      <ns0:c r="Y429" s="94" t="inlineStr">
        <ns0:is>
          <ns0:t>Média</ns0:t>
        </ns0:is>
      </ns0:c>
      <ns0:c r="Z429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</ns0:t>
        </ns0:is>
      </ns0:c>
      <ns0:c r="AA429" s="94" t="inlineStr">
        <ns0:is>
          <ns0:t>Confirmar vista, orientação, disponibilidade e condições atuais.</ns0:t>
        </ns0:is>
      </ns0:c>
      <ns0:c r="AB429" s="94" t="inlineStr">
        <ns0:is>
          <ns0:t>Média</ns0:t>
        </ns0:is>
      </ns0:c>
      <ns0:c r="AJ429" s="94" t="inlineStr">
        <ns0:is>
          <ns0:t>RB</ns0:t>
        </ns0:is>
      </ns0:c>
      <ns0:c r="AK429" s="94" t="inlineStr">
        <ns0:is>
          <ns0:t>Convencional</ns0:t>
        </ns0:is>
      </ns0:c>
      <ns0:c r="AL429" s="94" t="n">
        <ns0:v>3</ns0:v>
      </ns0:c>
      <ns0:c r="AM429" s="94" t="n">
        <ns0:v>4</ns0:v>
      </ns0:c>
      <ns0:c r="AN429" s="94" t="inlineStr">
        <ns0:is>
          <ns0:t>Estimada · baixa</ns0:t>
        </ns0:is>
      </ns0:c>
      <ns0:c r="AO429" s="94" t="inlineStr">
        <ns0:is>
          <ns0:t>Estimativa de implantação fornecida pela gestão; piso considerado sem confirmação geométrica.</ns0:t>
        </ns0:is>
      </ns0:c>
      <ns0:c r="AP429" s="94" t="inlineStr">
        <ns0:is>
          <ns0:t>Sim</ns0:t>
        </ns0:is>
      </ns0:c>
      <ns0:c r="AQ429" s="94" t="inlineStr">
        <ns0:is>
          <ns0:t>Olhão</ns0:t>
        </ns0:is>
      </ns0:c>
      <ns0:c r="AR429" s="94" t="inlineStr">
        <ns0:is>
          <ns0:t>BelaFormosa Price List September 2026, p. 1</ns0:t>
        </ns0:is>
      </ns0:c>
    </ns0:row>
    <ns0:row r="430" ht="72" customHeight="1">
      <ns0:c r="A430" s="94" t="inlineStr">
        <ns0:is>
          <ns0:t>BelaFormosa</ns0:t>
        </ns0:is>
      </ns0:c>
      <ns0:c r="B430" s="94" t="inlineStr">
        <ns0:is>
          <ns0:t>RB102</ns0:t>
        </ns0:is>
      </ns0:c>
      <ns0:c r="C430" s="94" t="n">
        <ns0:v>1</ns0:v>
      </ns0:c>
      <ns0:c r="D430" s="94" t="inlineStr">
        <ns0:is>
          <ns0:t>T2</ns0:t>
        </ns0:is>
      </ns0:c>
      <ns0:c r="E430" s="94"/>
      <ns0:c r="F430" s="97" t="n">
        <ns0:v>89.25</ns0:v>
      </ns0:c>
      <ns0:c r="G430" s="97" t="n">
        <ns0:v>37.0</ns0:v>
      </ns0:c>
      <ns0:c r="H430" s="97" t="n">
        <ns0:v>126.25</ns0:v>
      </ns0:c>
      <ns0:c r="I430" s="95" t="n">
        <ns0:v>550000</ns0:v>
      </ns0:c>
      <ns0:c r="J430" s="94" t="n">
        <ns0:v>2026</ns0:v>
      </ns0:c>
      <ns0:c r="K430" s="95" t="n">
        <ns0:v>6162.4649859943975</ns0:v>
      </ns0:c>
      <ns0:c r="L430" s="95" t="n">
        <ns0:v>4356.435643564357</ns0:v>
      </ns0:c>
      <ns0:c r="M430" s="94" t="inlineStr">
        <ns0:is>
          <ns0:t>Ativo</ns0:t>
        </ns0:is>
      </ns0:c>
      <ns0:c r="N430" s="94" t="inlineStr">
        <ns0:is>
          <ns0:t>BelaFormosa · Price List September 2026 · p. 4</ns0:t>
        </ns0:is>
      </ns0:c>
      <ns0:c r="O430" s="94"/>
      <ns0:c r="P430" s="94" t="inlineStr">
        <ns0:is>
          <ns0:t>2026-09</ns0:t>
        </ns0:is>
      </ns0:c>
      <ns0:c r="Q430" s="94" t="inlineStr">
        <ns0:is>
          <ns0:t>Premium local</ns0:t>
        </ns0:is>
      </ns0:c>
      <ns0:c r="R430" s="94" t="inlineStr">
        <ns0:is>
          <ns0:t>Nova construção</ns0:t>
        </ns0:is>
      </ns0:c>
      <ns0:c r="S430" s="94"/>
      <ns0:c r="T430" s="94" t="inlineStr">
        <ns0:is>
          <ns0:t>Não incluído no preço; disponibilidade por confirmar</ns0:t>
        </ns0:is>
      </ns0:c>
      <ns0:c r="U430" s="94"/>
      <ns0:c r="V430" s="94"/>
      <ns0:c r="W430" s="97" t="n">
        <ns0:v>0.9</ns0:v>
      </ns0:c>
      <ns0:c r="X430" s="94" t="inlineStr">
        <ns0:is>
          <ns0:t>A · Premium local; vistas estimadas</ns0:t>
        </ns0:is>
      </ns0:c>
      <ns0:c r="Y430" s="94" t="inlineStr">
        <ns0:is>
          <ns0:t>Média</ns0:t>
        </ns0:is>
      </ns0:c>
      <ns0:c r="Z430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30" s="94" t="inlineStr">
        <ns0:is>
          <ns0:t>Confirmar vista, orientação, disponibilidade e condições atuais.</ns0:t>
        </ns0:is>
      </ns0:c>
      <ns0:c r="AB430" s="94" t="inlineStr">
        <ns0:is>
          <ns0:t>Média</ns0:t>
        </ns0:is>
      </ns0:c>
      <ns0:c r="AJ430" s="94" t="inlineStr">
        <ns0:is>
          <ns0:t>RB</ns0:t>
        </ns0:is>
      </ns0:c>
      <ns0:c r="AK430" s="94" t="inlineStr">
        <ns0:is>
          <ns0:t>Convencional</ns0:t>
        </ns0:is>
      </ns0:c>
      <ns0:c r="AL430" s="94" t="n">
        <ns0:v>3</ns0:v>
      </ns0:c>
      <ns0:c r="AM430" s="94" t="n">
        <ns0:v>4</ns0:v>
      </ns0:c>
      <ns0:c r="AN430" s="94" t="inlineStr">
        <ns0:is>
          <ns0:t>Estimada · baixa</ns0:t>
        </ns0:is>
      </ns0:c>
      <ns0:c r="AO430" s="94" t="inlineStr">
        <ns0:is>
          <ns0:t>Estimativa de implantação fornecida pela gestão; piso considerado sem confirmação geométrica.</ns0:t>
        </ns0:is>
      </ns0:c>
      <ns0:c r="AP430" s="94" t="inlineStr">
        <ns0:is>
          <ns0:t>Sim</ns0:t>
        </ns0:is>
      </ns0:c>
      <ns0:c r="AQ430" s="94" t="inlineStr">
        <ns0:is>
          <ns0:t>Olhão</ns0:t>
        </ns0:is>
      </ns0:c>
      <ns0:c r="AR430" s="94" t="inlineStr">
        <ns0:is>
          <ns0:t>BelaFormosa Price List September 2026, p. 1</ns0:t>
        </ns0:is>
      </ns0:c>
    </ns0:row>
    <ns0:row r="431" ht="72" customHeight="1">
      <ns0:c r="A431" s="94" t="inlineStr">
        <ns0:is>
          <ns0:t>BelaFormosa</ns0:t>
        </ns0:is>
      </ns0:c>
      <ns0:c r="B431" s="94" t="inlineStr">
        <ns0:is>
          <ns0:t>RB103</ns0:t>
        </ns0:is>
      </ns0:c>
      <ns0:c r="C431" s="94" t="n">
        <ns0:v>1</ns0:v>
      </ns0:c>
      <ns0:c r="D431" s="94" t="inlineStr">
        <ns0:is>
          <ns0:t>T1</ns0:t>
        </ns0:is>
      </ns0:c>
      <ns0:c r="E431" s="94"/>
      <ns0:c r="F431" s="97" t="n">
        <ns0:v>60.25</ns0:v>
      </ns0:c>
      <ns0:c r="G431" s="97" t="n">
        <ns0:v>24.25</ns0:v>
      </ns0:c>
      <ns0:c r="H431" s="97" t="n">
        <ns0:v>84.5</ns0:v>
      </ns0:c>
      <ns0:c r="I431" s="95" t="n">
        <ns0:v>370000</ns0:v>
      </ns0:c>
      <ns0:c r="J431" s="94" t="n">
        <ns0:v>2026</ns0:v>
      </ns0:c>
      <ns0:c r="K431" s="95" t="n">
        <ns0:v>6141.078838174274</ns0:v>
      </ns0:c>
      <ns0:c r="L431" s="95" t="n">
        <ns0:v>4378.698224852071</ns0:v>
      </ns0:c>
      <ns0:c r="M431" s="94" t="inlineStr">
        <ns0:is>
          <ns0:t>Ativo</ns0:t>
        </ns0:is>
      </ns0:c>
      <ns0:c r="N431" s="94" t="inlineStr">
        <ns0:is>
          <ns0:t>BelaFormosa · Price List September 2026 · p. 4</ns0:t>
        </ns0:is>
      </ns0:c>
      <ns0:c r="O431" s="94"/>
      <ns0:c r="P431" s="94" t="inlineStr">
        <ns0:is>
          <ns0:t>2026-09</ns0:t>
        </ns0:is>
      </ns0:c>
      <ns0:c r="Q431" s="94" t="inlineStr">
        <ns0:is>
          <ns0:t>Premium local</ns0:t>
        </ns0:is>
      </ns0:c>
      <ns0:c r="R431" s="94" t="inlineStr">
        <ns0:is>
          <ns0:t>Nova construção</ns0:t>
        </ns0:is>
      </ns0:c>
      <ns0:c r="S431" s="94"/>
      <ns0:c r="T431" s="94" t="inlineStr">
        <ns0:is>
          <ns0:t>Não incluído no preço; disponibilidade por confirmar</ns0:t>
        </ns0:is>
      </ns0:c>
      <ns0:c r="U431" s="94"/>
      <ns0:c r="V431" s="94"/>
      <ns0:c r="W431" s="97" t="n">
        <ns0:v>0.9</ns0:v>
      </ns0:c>
      <ns0:c r="X431" s="94" t="inlineStr">
        <ns0:is>
          <ns0:t>A · Premium local; vistas estimadas</ns0:t>
        </ns0:is>
      </ns0:c>
      <ns0:c r="Y431" s="94" t="inlineStr">
        <ns0:is>
          <ns0:t>Média</ns0:t>
        </ns0:is>
      </ns0:c>
      <ns0:c r="Z431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431" s="94" t="inlineStr">
        <ns0:is>
          <ns0:t>Confirmar vista, orientação, disponibilidade e condições atuais.</ns0:t>
        </ns0:is>
      </ns0:c>
      <ns0:c r="AB431" s="94" t="inlineStr">
        <ns0:is>
          <ns0:t>Média</ns0:t>
        </ns0:is>
      </ns0:c>
      <ns0:c r="AJ431" s="94" t="inlineStr">
        <ns0:is>
          <ns0:t>RB</ns0:t>
        </ns0:is>
      </ns0:c>
      <ns0:c r="AK431" s="94" t="inlineStr">
        <ns0:is>
          <ns0:t>Convencional</ns0:t>
        </ns0:is>
      </ns0:c>
      <ns0:c r="AL431" s="94" t="n">
        <ns0:v>3</ns0:v>
      </ns0:c>
      <ns0:c r="AM431" s="94" t="n">
        <ns0:v>4</ns0:v>
      </ns0:c>
      <ns0:c r="AN431" s="94" t="inlineStr">
        <ns0:is>
          <ns0:t>Estimada · baixa</ns0:t>
        </ns0:is>
      </ns0:c>
      <ns0:c r="AO431" s="94" t="inlineStr">
        <ns0:is>
          <ns0:t>Estimativa de implantação fornecida pela gestão; piso considerado sem confirmação geométrica.</ns0:t>
        </ns0:is>
      </ns0:c>
      <ns0:c r="AP431" s="94" t="inlineStr">
        <ns0:is>
          <ns0:t>Sim</ns0:t>
        </ns0:is>
      </ns0:c>
      <ns0:c r="AQ431" s="94" t="inlineStr">
        <ns0:is>
          <ns0:t>Olhão</ns0:t>
        </ns0:is>
      </ns0:c>
      <ns0:c r="AR431" s="94" t="inlineStr">
        <ns0:is>
          <ns0:t>BelaFormosa Price List September 2026, p. 1</ns0:t>
        </ns0:is>
      </ns0:c>
    </ns0:row>
    <ns0:row r="432" ht="72" customHeight="1">
      <ns0:c r="A432" s="94" t="inlineStr">
        <ns0:is>
          <ns0:t>BelaFormosa</ns0:t>
        </ns0:is>
      </ns0:c>
      <ns0:c r="B432" s="94" t="inlineStr">
        <ns0:is>
          <ns0:t>RB104</ns0:t>
        </ns0:is>
      </ns0:c>
      <ns0:c r="C432" s="94" t="n">
        <ns0:v>1</ns0:v>
      </ns0:c>
      <ns0:c r="D432" s="94" t="inlineStr">
        <ns0:is>
          <ns0:t>T1</ns0:t>
        </ns0:is>
      </ns0:c>
      <ns0:c r="E432" s="94"/>
      <ns0:c r="F432" s="97" t="n">
        <ns0:v>60.25</ns0:v>
      </ns0:c>
      <ns0:c r="G432" s="97" t="n">
        <ns0:v>24.25</ns0:v>
      </ns0:c>
      <ns0:c r="H432" s="97" t="n">
        <ns0:v>84.5</ns0:v>
      </ns0:c>
      <ns0:c r="I432" s="95" t="n">
        <ns0:v>375000</ns0:v>
      </ns0:c>
      <ns0:c r="J432" s="94" t="n">
        <ns0:v>2026</ns0:v>
      </ns0:c>
      <ns0:c r="K432" s="95" t="n">
        <ns0:v>6224.066390041494</ns0:v>
      </ns0:c>
      <ns0:c r="L432" s="95" t="n">
        <ns0:v>4437.869822485207</ns0:v>
      </ns0:c>
      <ns0:c r="M432" s="94" t="inlineStr">
        <ns0:is>
          <ns0:t>Reservado</ns0:t>
        </ns0:is>
      </ns0:c>
      <ns0:c r="N432" s="94" t="inlineStr">
        <ns0:is>
          <ns0:t>BelaFormosa · Price List September 2026 · p. 4</ns0:t>
        </ns0:is>
      </ns0:c>
      <ns0:c r="O432" s="94"/>
      <ns0:c r="P432" s="94" t="inlineStr">
        <ns0:is>
          <ns0:t>2026-09</ns0:t>
        </ns0:is>
      </ns0:c>
      <ns0:c r="Q432" s="94" t="inlineStr">
        <ns0:is>
          <ns0:t>Premium local</ns0:t>
        </ns0:is>
      </ns0:c>
      <ns0:c r="R432" s="94" t="inlineStr">
        <ns0:is>
          <ns0:t>Nova construção</ns0:t>
        </ns0:is>
      </ns0:c>
      <ns0:c r="S432" s="94"/>
      <ns0:c r="T432" s="94" t="inlineStr">
        <ns0:is>
          <ns0:t>Não incluído no preço; disponibilidade por confirmar</ns0:t>
        </ns0:is>
      </ns0:c>
      <ns0:c r="U432" s="94"/>
      <ns0:c r="V432" s="94"/>
      <ns0:c r="W432" s="97" t="n">
        <ns0:v>0.9</ns0:v>
      </ns0:c>
      <ns0:c r="X432" s="94" t="inlineStr">
        <ns0:is>
          <ns0:t>A · Premium local; vistas estimadas</ns0:t>
        </ns0:is>
      </ns0:c>
      <ns0:c r="Y432" s="94" t="inlineStr">
        <ns0:is>
          <ns0:t>Média</ns0:t>
        </ns0:is>
      </ns0:c>
      <ns0:c r="Z432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 Reservado, não vendido. Preço extraído mantido por autorização da gestão; não constitui oferta ativa.</ns0:t>
        </ns0:is>
      </ns0:c>
      <ns0:c r="AA432" s="94" t="inlineStr">
        <ns0:is>
          <ns0:t>Confirmar vista, orientação, disponibilidade e condições atuais.</ns0:t>
        </ns0:is>
      </ns0:c>
      <ns0:c r="AB432" s="94" t="inlineStr">
        <ns0:is>
          <ns0:t>Alta</ns0:t>
        </ns0:is>
      </ns0:c>
      <ns0:c r="AJ432" s="94" t="inlineStr">
        <ns0:is>
          <ns0:t>RB</ns0:t>
        </ns0:is>
      </ns0:c>
      <ns0:c r="AK432" s="94" t="inlineStr">
        <ns0:is>
          <ns0:t>Convencional</ns0:t>
        </ns0:is>
      </ns0:c>
      <ns0:c r="AL432" s="94" t="n">
        <ns0:v>3</ns0:v>
      </ns0:c>
      <ns0:c r="AM432" s="94" t="n">
        <ns0:v>4</ns0:v>
      </ns0:c>
      <ns0:c r="AN432" s="94" t="inlineStr">
        <ns0:is>
          <ns0:t>Estimada · baixa</ns0:t>
        </ns0:is>
      </ns0:c>
      <ns0:c r="AO432" s="94" t="inlineStr">
        <ns0:is>
          <ns0:t>Estimativa de implantação fornecida pela gestão; piso considerado sem confirmação geométrica.</ns0:t>
        </ns0:is>
      </ns0:c>
      <ns0:c r="AP432" s="94" t="inlineStr">
        <ns0:is>
          <ns0:t>Não · reservado</ns0:t>
        </ns0:is>
      </ns0:c>
      <ns0:c r="AQ432" s="94" t="inlineStr">
        <ns0:is>
          <ns0:t>Olhão</ns0:t>
        </ns0:is>
      </ns0:c>
      <ns0:c r="AR432" s="94" t="inlineStr">
        <ns0:is>
          <ns0:t>BelaFormosa Price List September 2026, p. 1</ns0:t>
        </ns0:is>
      </ns0:c>
    </ns0:row>
    <ns0:row r="433" ht="72" customHeight="1">
      <ns0:c r="A433" s="94" t="inlineStr">
        <ns0:is>
          <ns0:t>BelaFormosa</ns0:t>
        </ns0:is>
      </ns0:c>
      <ns0:c r="B433" s="94" t="inlineStr">
        <ns0:is>
          <ns0:t>RB105</ns0:t>
        </ns0:is>
      </ns0:c>
      <ns0:c r="C433" s="94" t="n">
        <ns0:v>1</ns0:v>
      </ns0:c>
      <ns0:c r="D433" s="94" t="inlineStr">
        <ns0:is>
          <ns0:t>T2</ns0:t>
        </ns0:is>
      </ns0:c>
      <ns0:c r="E433" s="94"/>
      <ns0:c r="F433" s="97" t="n">
        <ns0:v>89.25</ns0:v>
      </ns0:c>
      <ns0:c r="G433" s="97" t="n">
        <ns0:v>41.25</ns0:v>
      </ns0:c>
      <ns0:c r="H433" s="97" t="n">
        <ns0:v>130.5</ns0:v>
      </ns0:c>
      <ns0:c r="I433" s="95" t="n">
        <ns0:v>550000</ns0:v>
      </ns0:c>
      <ns0:c r="J433" s="94" t="n">
        <ns0:v>2026</ns0:v>
      </ns0:c>
      <ns0:c r="K433" s="95" t="n">
        <ns0:v>6162.4649859943975</ns0:v>
      </ns0:c>
      <ns0:c r="L433" s="95" t="n">
        <ns0:v>4214.55938697318</ns0:v>
      </ns0:c>
      <ns0:c r="M433" s="94" t="inlineStr">
        <ns0:is>
          <ns0:t>Ativo</ns0:t>
        </ns0:is>
      </ns0:c>
      <ns0:c r="N433" s="94" t="inlineStr">
        <ns0:is>
          <ns0:t>BelaFormosa · Price List September 2026 · p. 4</ns0:t>
        </ns0:is>
      </ns0:c>
      <ns0:c r="O433" s="94"/>
      <ns0:c r="P433" s="94" t="inlineStr">
        <ns0:is>
          <ns0:t>2026-09</ns0:t>
        </ns0:is>
      </ns0:c>
      <ns0:c r="Q433" s="94" t="inlineStr">
        <ns0:is>
          <ns0:t>Premium local</ns0:t>
        </ns0:is>
      </ns0:c>
      <ns0:c r="R433" s="94" t="inlineStr">
        <ns0:is>
          <ns0:t>Nova construção</ns0:t>
        </ns0:is>
      </ns0:c>
      <ns0:c r="S433" s="94"/>
      <ns0:c r="T433" s="94" t="inlineStr">
        <ns0:is>
          <ns0:t>Não incluído no preço; disponibilidade por confirmar</ns0:t>
        </ns0:is>
      </ns0:c>
      <ns0:c r="U433" s="94"/>
      <ns0:c r="V433" s="94"/>
      <ns0:c r="W433" s="97" t="n">
        <ns0:v>0.9</ns0:v>
      </ns0:c>
      <ns0:c r="X433" s="94" t="inlineStr">
        <ns0:is>
          <ns0:t>A · Premium local; vistas estimadas</ns0:t>
        </ns0:is>
      </ns0:c>
      <ns0:c r="Y433" s="94" t="inlineStr">
        <ns0:is>
          <ns0:t>Média</ns0:t>
        </ns0:is>
      </ns0:c>
      <ns0:c r="Z433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33" s="94" t="inlineStr">
        <ns0:is>
          <ns0:t>Confirmar vista, orientação, disponibilidade e condições atuais.</ns0:t>
        </ns0:is>
      </ns0:c>
      <ns0:c r="AB433" s="94" t="inlineStr">
        <ns0:is>
          <ns0:t>Média</ns0:t>
        </ns0:is>
      </ns0:c>
      <ns0:c r="AJ433" s="94" t="inlineStr">
        <ns0:is>
          <ns0:t>RB</ns0:t>
        </ns0:is>
      </ns0:c>
      <ns0:c r="AK433" s="94" t="inlineStr">
        <ns0:is>
          <ns0:t>Convencional</ns0:t>
        </ns0:is>
      </ns0:c>
      <ns0:c r="AL433" s="94" t="n">
        <ns0:v>3</ns0:v>
      </ns0:c>
      <ns0:c r="AM433" s="94" t="n">
        <ns0:v>4</ns0:v>
      </ns0:c>
      <ns0:c r="AN433" s="94" t="inlineStr">
        <ns0:is>
          <ns0:t>Estimada · baixa</ns0:t>
        </ns0:is>
      </ns0:c>
      <ns0:c r="AO433" s="94" t="inlineStr">
        <ns0:is>
          <ns0:t>Estimativa de implantação fornecida pela gestão; piso considerado sem confirmação geométrica.</ns0:t>
        </ns0:is>
      </ns0:c>
      <ns0:c r="AP433" s="94" t="inlineStr">
        <ns0:is>
          <ns0:t>Sim</ns0:t>
        </ns0:is>
      </ns0:c>
      <ns0:c r="AQ433" s="94" t="inlineStr">
        <ns0:is>
          <ns0:t>Olhão</ns0:t>
        </ns0:is>
      </ns0:c>
      <ns0:c r="AR433" s="94" t="inlineStr">
        <ns0:is>
          <ns0:t>BelaFormosa Price List September 2026, p. 1</ns0:t>
        </ns0:is>
      </ns0:c>
    </ns0:row>
    <ns0:row r="434" ht="72" customHeight="1">
      <ns0:c r="A434" s="94" t="inlineStr">
        <ns0:is>
          <ns0:t>BelaFormosa</ns0:t>
        </ns0:is>
      </ns0:c>
      <ns0:c r="B434" s="94" t="inlineStr">
        <ns0:is>
          <ns0:t>RB106</ns0:t>
        </ns0:is>
      </ns0:c>
      <ns0:c r="C434" s="94" t="n">
        <ns0:v>1</ns0:v>
      </ns0:c>
      <ns0:c r="D434" s="94" t="inlineStr">
        <ns0:is>
          <ns0:t>T1</ns0:t>
        </ns0:is>
      </ns0:c>
      <ns0:c r="E434" s="94"/>
      <ns0:c r="F434" s="97" t="n">
        <ns0:v>60.25</ns0:v>
      </ns0:c>
      <ns0:c r="G434" s="97" t="n">
        <ns0:v>40.5</ns0:v>
      </ns0:c>
      <ns0:c r="H434" s="97" t="n">
        <ns0:v>100.75</ns0:v>
      </ns0:c>
      <ns0:c r="I434" s="95" t="n">
        <ns0:v>420000</ns0:v>
      </ns0:c>
      <ns0:c r="J434" s="94" t="n">
        <ns0:v>2026</ns0:v>
      </ns0:c>
      <ns0:c r="K434" s="95" t="n">
        <ns0:v>6970.954356846473</ns0:v>
      </ns0:c>
      <ns0:c r="L434" s="95" t="n">
        <ns0:v>4168.734491315136</ns0:v>
      </ns0:c>
      <ns0:c r="M434" s="94" t="inlineStr">
        <ns0:is>
          <ns0:t>Reservado</ns0:t>
        </ns0:is>
      </ns0:c>
      <ns0:c r="N434" s="94" t="inlineStr">
        <ns0:is>
          <ns0:t>BelaFormosa · Price List September 2026 · p. 4</ns0:t>
        </ns0:is>
      </ns0:c>
      <ns0:c r="O434" s="94"/>
      <ns0:c r="P434" s="94" t="inlineStr">
        <ns0:is>
          <ns0:t>2026-09</ns0:t>
        </ns0:is>
      </ns0:c>
      <ns0:c r="Q434" s="94" t="inlineStr">
        <ns0:is>
          <ns0:t>Premium local</ns0:t>
        </ns0:is>
      </ns0:c>
      <ns0:c r="R434" s="94" t="inlineStr">
        <ns0:is>
          <ns0:t>Nova construção</ns0:t>
        </ns0:is>
      </ns0:c>
      <ns0:c r="S434" s="94"/>
      <ns0:c r="T434" s="94" t="inlineStr">
        <ns0:is>
          <ns0:t>Não incluído no preço; disponibilidade por confirmar</ns0:t>
        </ns0:is>
      </ns0:c>
      <ns0:c r="U434" s="94"/>
      <ns0:c r="V434" s="94"/>
      <ns0:c r="W434" s="97" t="n">
        <ns0:v>0.9</ns0:v>
      </ns0:c>
      <ns0:c r="X434" s="94" t="inlineStr">
        <ns0:is>
          <ns0:t>A · Premium local; vistas estimadas</ns0:t>
        </ns0:is>
      </ns0:c>
      <ns0:c r="Y434" s="94" t="inlineStr">
        <ns0:is>
          <ns0:t>Média</ns0:t>
        </ns0:is>
      </ns0:c>
      <ns0:c r="Z434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 Reservado, não vendido. Preço extraído mantido por autorização da gestão; não constitui oferta ativa.</ns0:t>
        </ns0:is>
      </ns0:c>
      <ns0:c r="AA434" s="94" t="inlineStr">
        <ns0:is>
          <ns0:t>Confirmar vista, orientação, disponibilidade e condições atuais.</ns0:t>
        </ns0:is>
      </ns0:c>
      <ns0:c r="AB434" s="94" t="inlineStr">
        <ns0:is>
          <ns0:t>Alta</ns0:t>
        </ns0:is>
      </ns0:c>
      <ns0:c r="AJ434" s="94" t="inlineStr">
        <ns0:is>
          <ns0:t>RB</ns0:t>
        </ns0:is>
      </ns0:c>
      <ns0:c r="AK434" s="94" t="inlineStr">
        <ns0:is>
          <ns0:t>Convencional</ns0:t>
        </ns0:is>
      </ns0:c>
      <ns0:c r="AL434" s="94" t="n">
        <ns0:v>2</ns0:v>
      </ns0:c>
      <ns0:c r="AM434" s="94" t="n">
        <ns0:v>3</ns0:v>
      </ns0:c>
      <ns0:c r="AN434" s="94" t="inlineStr">
        <ns0:is>
          <ns0:t>Estimada · baixa</ns0:t>
        </ns0:is>
      </ns0:c>
      <ns0:c r="AO434" s="94" t="inlineStr">
        <ns0:is>
          <ns0:t>Estimativa de implantação fornecida pela gestão; piso considerado sem confirmação geométrica.</ns0:t>
        </ns0:is>
      </ns0:c>
      <ns0:c r="AP434" s="94" t="inlineStr">
        <ns0:is>
          <ns0:t>Não · reservado</ns0:t>
        </ns0:is>
      </ns0:c>
      <ns0:c r="AQ434" s="94" t="inlineStr">
        <ns0:is>
          <ns0:t>Olhão</ns0:t>
        </ns0:is>
      </ns0:c>
      <ns0:c r="AR434" s="94" t="inlineStr">
        <ns0:is>
          <ns0:t>BelaFormosa Price List September 2026, p. 1</ns0:t>
        </ns0:is>
      </ns0:c>
    </ns0:row>
    <ns0:row r="435" ht="72" customHeight="1">
      <ns0:c r="A435" s="94" t="inlineStr">
        <ns0:is>
          <ns0:t>BelaFormosa</ns0:t>
        </ns0:is>
      </ns0:c>
      <ns0:c r="B435" s="94" t="inlineStr">
        <ns0:is>
          <ns0:t>RB107</ns0:t>
        </ns0:is>
      </ns0:c>
      <ns0:c r="C435" s="94" t="n">
        <ns0:v>1</ns0:v>
      </ns0:c>
      <ns0:c r="D435" s="94" t="inlineStr">
        <ns0:is>
          <ns0:t>T1</ns0:t>
        </ns0:is>
      </ns0:c>
      <ns0:c r="E435" s="94"/>
      <ns0:c r="F435" s="97" t="n">
        <ns0:v>60.25</ns0:v>
      </ns0:c>
      <ns0:c r="G435" s="97" t="n">
        <ns0:v>31.75</ns0:v>
      </ns0:c>
      <ns0:c r="H435" s="97" t="n">
        <ns0:v>92.0</ns0:v>
      </ns0:c>
      <ns0:c r="I435" s="95" t="n">
        <ns0:v>415000</ns0:v>
      </ns0:c>
      <ns0:c r="J435" s="94" t="n">
        <ns0:v>2026</ns0:v>
      </ns0:c>
      <ns0:c r="K435" s="95" t="n">
        <ns0:v>6887.9668049792535</ns0:v>
      </ns0:c>
      <ns0:c r="L435" s="95" t="n">
        <ns0:v>4510.869565217391</ns0:v>
      </ns0:c>
      <ns0:c r="M435" s="94" t="inlineStr">
        <ns0:is>
          <ns0:t>Ativo</ns0:t>
        </ns0:is>
      </ns0:c>
      <ns0:c r="N435" s="94" t="inlineStr">
        <ns0:is>
          <ns0:t>BelaFormosa · Price List September 2026 · p. 4</ns0:t>
        </ns0:is>
      </ns0:c>
      <ns0:c r="O435" s="94"/>
      <ns0:c r="P435" s="94" t="inlineStr">
        <ns0:is>
          <ns0:t>2026-09</ns0:t>
        </ns0:is>
      </ns0:c>
      <ns0:c r="Q435" s="94" t="inlineStr">
        <ns0:is>
          <ns0:t>Premium local</ns0:t>
        </ns0:is>
      </ns0:c>
      <ns0:c r="R435" s="94" t="inlineStr">
        <ns0:is>
          <ns0:t>Nova construção</ns0:t>
        </ns0:is>
      </ns0:c>
      <ns0:c r="S435" s="94"/>
      <ns0:c r="T435" s="94" t="inlineStr">
        <ns0:is>
          <ns0:t>Não incluído no preço; disponibilidade por confirmar</ns0:t>
        </ns0:is>
      </ns0:c>
      <ns0:c r="U435" s="94"/>
      <ns0:c r="V435" s="94"/>
      <ns0:c r="W435" s="97" t="n">
        <ns0:v>0.9</ns0:v>
      </ns0:c>
      <ns0:c r="X435" s="94" t="inlineStr">
        <ns0:is>
          <ns0:t>A · Premium local; vistas estimadas</ns0:t>
        </ns0:is>
      </ns0:c>
      <ns0:c r="Y435" s="94" t="inlineStr">
        <ns0:is>
          <ns0:t>Média</ns0:t>
        </ns0:is>
      </ns0:c>
      <ns0:c r="Z435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</ns0:t>
        </ns0:is>
      </ns0:c>
      <ns0:c r="AA435" s="94" t="inlineStr">
        <ns0:is>
          <ns0:t>Confirmar vista, orientação, disponibilidade e condições atuais.</ns0:t>
        </ns0:is>
      </ns0:c>
      <ns0:c r="AB435" s="94" t="inlineStr">
        <ns0:is>
          <ns0:t>Média</ns0:t>
        </ns0:is>
      </ns0:c>
      <ns0:c r="AJ435" s="94" t="inlineStr">
        <ns0:is>
          <ns0:t>RB</ns0:t>
        </ns0:is>
      </ns0:c>
      <ns0:c r="AK435" s="94" t="inlineStr">
        <ns0:is>
          <ns0:t>Convencional</ns0:t>
        </ns0:is>
      </ns0:c>
      <ns0:c r="AL435" s="94" t="n">
        <ns0:v>2</ns0:v>
      </ns0:c>
      <ns0:c r="AM435" s="94" t="n">
        <ns0:v>3</ns0:v>
      </ns0:c>
      <ns0:c r="AN435" s="94" t="inlineStr">
        <ns0:is>
          <ns0:t>Estimada · baixa</ns0:t>
        </ns0:is>
      </ns0:c>
      <ns0:c r="AO435" s="94" t="inlineStr">
        <ns0:is>
          <ns0:t>Estimativa de implantação fornecida pela gestão; piso considerado sem confirmação geométrica.</ns0:t>
        </ns0:is>
      </ns0:c>
      <ns0:c r="AP435" s="94" t="inlineStr">
        <ns0:is>
          <ns0:t>Sim</ns0:t>
        </ns0:is>
      </ns0:c>
      <ns0:c r="AQ435" s="94" t="inlineStr">
        <ns0:is>
          <ns0:t>Olhão</ns0:t>
        </ns0:is>
      </ns0:c>
      <ns0:c r="AR435" s="94" t="inlineStr">
        <ns0:is>
          <ns0:t>BelaFormosa Price List September 2026, p. 1</ns0:t>
        </ns0:is>
      </ns0:c>
    </ns0:row>
    <ns0:row r="436" ht="72" customHeight="1">
      <ns0:c r="A436" s="94" t="inlineStr">
        <ns0:is>
          <ns0:t>BelaFormosa</ns0:t>
        </ns0:is>
      </ns0:c>
      <ns0:c r="B436" s="94" t="inlineStr">
        <ns0:is>
          <ns0:t>RB108</ns0:t>
        </ns0:is>
      </ns0:c>
      <ns0:c r="C436" s="94" t="n">
        <ns0:v>1</ns0:v>
      </ns0:c>
      <ns0:c r="D436" s="94" t="inlineStr">
        <ns0:is>
          <ns0:t>T1</ns0:t>
        </ns0:is>
      </ns0:c>
      <ns0:c r="E436" s="94"/>
      <ns0:c r="F436" s="97" t="n">
        <ns0:v>60.25</ns0:v>
      </ns0:c>
      <ns0:c r="G436" s="97" t="n">
        <ns0:v>30.75</ns0:v>
      </ns0:c>
      <ns0:c r="H436" s="97" t="n">
        <ns0:v>91.0</ns0:v>
      </ns0:c>
      <ns0:c r="I436" s="95" t="n">
        <ns0:v>415000</ns0:v>
      </ns0:c>
      <ns0:c r="J436" s="94" t="n">
        <ns0:v>2026</ns0:v>
      </ns0:c>
      <ns0:c r="K436" s="95" t="n">
        <ns0:v>6887.9668049792535</ns0:v>
      </ns0:c>
      <ns0:c r="L436" s="95" t="n">
        <ns0:v>4560.43956043956</ns0:v>
      </ns0:c>
      <ns0:c r="M436" s="94" t="inlineStr">
        <ns0:is>
          <ns0:t>Reservado</ns0:t>
        </ns0:is>
      </ns0:c>
      <ns0:c r="N436" s="94" t="inlineStr">
        <ns0:is>
          <ns0:t>BelaFormosa · Price List September 2026 · p. 4</ns0:t>
        </ns0:is>
      </ns0:c>
      <ns0:c r="O436" s="94"/>
      <ns0:c r="P436" s="94" t="inlineStr">
        <ns0:is>
          <ns0:t>2026-09</ns0:t>
        </ns0:is>
      </ns0:c>
      <ns0:c r="Q436" s="94" t="inlineStr">
        <ns0:is>
          <ns0:t>Premium local</ns0:t>
        </ns0:is>
      </ns0:c>
      <ns0:c r="R436" s="94" t="inlineStr">
        <ns0:is>
          <ns0:t>Nova construção</ns0:t>
        </ns0:is>
      </ns0:c>
      <ns0:c r="S436" s="94"/>
      <ns0:c r="T436" s="94" t="inlineStr">
        <ns0:is>
          <ns0:t>Não incluído no preço; disponibilidade por confirmar</ns0:t>
        </ns0:is>
      </ns0:c>
      <ns0:c r="U436" s="94"/>
      <ns0:c r="V436" s="94"/>
      <ns0:c r="W436" s="97" t="n">
        <ns0:v>0.9</ns0:v>
      </ns0:c>
      <ns0:c r="X436" s="94" t="inlineStr">
        <ns0:is>
          <ns0:t>A · Premium local; vistas estimadas</ns0:t>
        </ns0:is>
      </ns0:c>
      <ns0:c r="Y436" s="94" t="inlineStr">
        <ns0:is>
          <ns0:t>Média</ns0:t>
        </ns0:is>
      </ns0:c>
      <ns0:c r="Z436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 Reservado, não vendido. Preço extraído mantido por autorização da gestão; não constitui oferta ativa.</ns0:t>
        </ns0:is>
      </ns0:c>
      <ns0:c r="AA436" s="94" t="inlineStr">
        <ns0:is>
          <ns0:t>Confirmar vista, orientação, disponibilidade e condições atuais.</ns0:t>
        </ns0:is>
      </ns0:c>
      <ns0:c r="AB436" s="94" t="inlineStr">
        <ns0:is>
          <ns0:t>Alta</ns0:t>
        </ns0:is>
      </ns0:c>
      <ns0:c r="AJ436" s="94" t="inlineStr">
        <ns0:is>
          <ns0:t>RB</ns0:t>
        </ns0:is>
      </ns0:c>
      <ns0:c r="AK436" s="94" t="inlineStr">
        <ns0:is>
          <ns0:t>Convencional</ns0:t>
        </ns0:is>
      </ns0:c>
      <ns0:c r="AL436" s="94" t="n">
        <ns0:v>2</ns0:v>
      </ns0:c>
      <ns0:c r="AM436" s="94" t="n">
        <ns0:v>3</ns0:v>
      </ns0:c>
      <ns0:c r="AN436" s="94" t="inlineStr">
        <ns0:is>
          <ns0:t>Estimada · baixa</ns0:t>
        </ns0:is>
      </ns0:c>
      <ns0:c r="AO436" s="94" t="inlineStr">
        <ns0:is>
          <ns0:t>Estimativa de implantação fornecida pela gestão; piso considerado sem confirmação geométrica.</ns0:t>
        </ns0:is>
      </ns0:c>
      <ns0:c r="AP436" s="94" t="inlineStr">
        <ns0:is>
          <ns0:t>Não · reservado</ns0:t>
        </ns0:is>
      </ns0:c>
      <ns0:c r="AQ436" s="94" t="inlineStr">
        <ns0:is>
          <ns0:t>Olhão</ns0:t>
        </ns0:is>
      </ns0:c>
      <ns0:c r="AR436" s="94" t="inlineStr">
        <ns0:is>
          <ns0:t>BelaFormosa Price List September 2026, p. 1</ns0:t>
        </ns0:is>
      </ns0:c>
    </ns0:row>
    <ns0:row r="437" ht="72" customHeight="1">
      <ns0:c r="A437" s="94" t="inlineStr">
        <ns0:is>
          <ns0:t>BelaFormosa</ns0:t>
        </ns0:is>
      </ns0:c>
      <ns0:c r="B437" s="94" t="inlineStr">
        <ns0:is>
          <ns0:t>RB109</ns0:t>
        </ns0:is>
      </ns0:c>
      <ns0:c r="C437" s="94" t="n">
        <ns0:v>1</ns0:v>
      </ns0:c>
      <ns0:c r="D437" s="94" t="inlineStr">
        <ns0:is>
          <ns0:t>T2</ns0:t>
        </ns0:is>
      </ns0:c>
      <ns0:c r="E437" s="94"/>
      <ns0:c r="F437" s="97" t="n">
        <ns0:v>89.25</ns0:v>
      </ns0:c>
      <ns0:c r="G437" s="97" t="n">
        <ns0:v>50.25</ns0:v>
      </ns0:c>
      <ns0:c r="H437" s="97" t="n">
        <ns0:v>139.5</ns0:v>
      </ns0:c>
      <ns0:c r="I437" s="95" t="n">
        <ns0:v>610000</ns0:v>
      </ns0:c>
      <ns0:c r="J437" s="94" t="n">
        <ns0:v>2026</ns0:v>
      </ns0:c>
      <ns0:c r="K437" s="95" t="n">
        <ns0:v>6834.733893557423</ns0:v>
      </ns0:c>
      <ns0:c r="L437" s="95" t="n">
        <ns0:v>4372.759856630824</ns0:v>
      </ns0:c>
      <ns0:c r="M437" s="94" t="inlineStr">
        <ns0:is>
          <ns0:t>Ativo</ns0:t>
        </ns0:is>
      </ns0:c>
      <ns0:c r="N437" s="94" t="inlineStr">
        <ns0:is>
          <ns0:t>BelaFormosa · Price List September 2026 · p. 4</ns0:t>
        </ns0:is>
      </ns0:c>
      <ns0:c r="O437" s="94"/>
      <ns0:c r="P437" s="94" t="inlineStr">
        <ns0:is>
          <ns0:t>2026-09</ns0:t>
        </ns0:is>
      </ns0:c>
      <ns0:c r="Q437" s="94" t="inlineStr">
        <ns0:is>
          <ns0:t>Premium local</ns0:t>
        </ns0:is>
      </ns0:c>
      <ns0:c r="R437" s="94" t="inlineStr">
        <ns0:is>
          <ns0:t>Nova construção</ns0:t>
        </ns0:is>
      </ns0:c>
      <ns0:c r="S437" s="94"/>
      <ns0:c r="T437" s="94" t="inlineStr">
        <ns0:is>
          <ns0:t>Não incluído no preço; disponibilidade por confirmar</ns0:t>
        </ns0:is>
      </ns0:c>
      <ns0:c r="U437" s="94"/>
      <ns0:c r="V437" s="94"/>
      <ns0:c r="W437" s="97" t="n">
        <ns0:v>0.9</ns0:v>
      </ns0:c>
      <ns0:c r="X437" s="94" t="inlineStr">
        <ns0:is>
          <ns0:t>A · Premium local; vistas estimadas</ns0:t>
        </ns0:is>
      </ns0:c>
      <ns0:c r="Y437" s="94" t="inlineStr">
        <ns0:is>
          <ns0:t>Média</ns0:t>
        </ns0:is>
      </ns0:c>
      <ns0:c r="Z437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437" s="94" t="inlineStr">
        <ns0:is>
          <ns0:t>Confirmar vista, orientação, disponibilidade e condições atuais.</ns0:t>
        </ns0:is>
      </ns0:c>
      <ns0:c r="AB437" s="94" t="inlineStr">
        <ns0:is>
          <ns0:t>Média</ns0:t>
        </ns0:is>
      </ns0:c>
      <ns0:c r="AJ437" s="94" t="inlineStr">
        <ns0:is>
          <ns0:t>RB</ns0:t>
        </ns0:is>
      </ns0:c>
      <ns0:c r="AK437" s="94" t="inlineStr">
        <ns0:is>
          <ns0:t>Convencional</ns0:t>
        </ns0:is>
      </ns0:c>
      <ns0:c r="AL437" s="94" t="n">
        <ns0:v>2</ns0:v>
      </ns0:c>
      <ns0:c r="AM437" s="94" t="n">
        <ns0:v>3</ns0:v>
      </ns0:c>
      <ns0:c r="AN437" s="94" t="inlineStr">
        <ns0:is>
          <ns0:t>Estimada · baixa</ns0:t>
        </ns0:is>
      </ns0:c>
      <ns0:c r="AO437" s="94" t="inlineStr">
        <ns0:is>
          <ns0:t>Estimativa de implantação fornecida pela gestão; piso considerado sem confirmação geométrica.</ns0:t>
        </ns0:is>
      </ns0:c>
      <ns0:c r="AP437" s="94" t="inlineStr">
        <ns0:is>
          <ns0:t>Sim</ns0:t>
        </ns0:is>
      </ns0:c>
      <ns0:c r="AQ437" s="94" t="inlineStr">
        <ns0:is>
          <ns0:t>Olhão</ns0:t>
        </ns0:is>
      </ns0:c>
      <ns0:c r="AR437" s="94" t="inlineStr">
        <ns0:is>
          <ns0:t>BelaFormosa Price List September 2026, p. 1</ns0:t>
        </ns0:is>
      </ns0:c>
    </ns0:row>
    <ns0:row r="438" ht="72" customHeight="1">
      <ns0:c r="A438" s="94" t="inlineStr">
        <ns0:is>
          <ns0:t>BelaFormosa</ns0:t>
        </ns0:is>
      </ns0:c>
      <ns0:c r="B438" s="94" t="inlineStr">
        <ns0:is>
          <ns0:t>RB110</ns0:t>
        </ns0:is>
      </ns0:c>
      <ns0:c r="C438" s="94" t="n">
        <ns0:v>1</ns0:v>
      </ns0:c>
      <ns0:c r="D438" s="94" t="inlineStr">
        <ns0:is>
          <ns0:t>T2</ns0:t>
        </ns0:is>
      </ns0:c>
      <ns0:c r="E438" s="94"/>
      <ns0:c r="F438" s="97" t="n">
        <ns0:v>91.0</ns0:v>
      </ns0:c>
      <ns0:c r="G438" s="97" t="n">
        <ns0:v>110.0</ns0:v>
      </ns0:c>
      <ns0:c r="H438" s="97" t="n">
        <ns0:v>201.0</ns0:v>
      </ns0:c>
      <ns0:c r="I438" s="95" t="n">
        <ns0:v>620000</ns0:v>
      </ns0:c>
      <ns0:c r="J438" s="94" t="n">
        <ns0:v>2026</ns0:v>
      </ns0:c>
      <ns0:c r="K438" s="95" t="n">
        <ns0:v>6813.186813186813</ns0:v>
      </ns0:c>
      <ns0:c r="L438" s="95" t="n">
        <ns0:v>3084.5771144278606</ns0:v>
      </ns0:c>
      <ns0:c r="M438" s="94" t="inlineStr">
        <ns0:is>
          <ns0:t>Ativo</ns0:t>
        </ns0:is>
      </ns0:c>
      <ns0:c r="N438" s="94" t="inlineStr">
        <ns0:is>
          <ns0:t>BelaFormosa · Price List September 2026 · p. 4</ns0:t>
        </ns0:is>
      </ns0:c>
      <ns0:c r="O438" s="94"/>
      <ns0:c r="P438" s="94" t="inlineStr">
        <ns0:is>
          <ns0:t>2026-09</ns0:t>
        </ns0:is>
      </ns0:c>
      <ns0:c r="Q438" s="94" t="inlineStr">
        <ns0:is>
          <ns0:t>Premium local</ns0:t>
        </ns0:is>
      </ns0:c>
      <ns0:c r="R438" s="94" t="inlineStr">
        <ns0:is>
          <ns0:t>Nova construção</ns0:t>
        </ns0:is>
      </ns0:c>
      <ns0:c r="S438" s="94"/>
      <ns0:c r="T438" s="94" t="inlineStr">
        <ns0:is>
          <ns0:t>Não incluído no preço; disponibilidade por confirmar</ns0:t>
        </ns0:is>
      </ns0:c>
      <ns0:c r="U438" s="94"/>
      <ns0:c r="V438" s="94"/>
      <ns0:c r="W438" s="97" t="n">
        <ns0:v>0.9</ns0:v>
      </ns0:c>
      <ns0:c r="X438" s="94" t="inlineStr">
        <ns0:is>
          <ns0:t>A · Premium local; vistas estimadas</ns0:t>
        </ns0:is>
      </ns0:c>
      <ns0:c r="Y438" s="94" t="inlineStr">
        <ns0:is>
          <ns0:t>Média</ns0:t>
        </ns0:is>
      </ns0:c>
      <ns0:c r="Z438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</ns0:t>
        </ns0:is>
      </ns0:c>
      <ns0:c r="AA438" s="94" t="inlineStr">
        <ns0:is>
          <ns0:t>Confirmar vista, orientação, disponibilidade e condições atuais.</ns0:t>
        </ns0:is>
      </ns0:c>
      <ns0:c r="AB438" s="94" t="inlineStr">
        <ns0:is>
          <ns0:t>Média</ns0:t>
        </ns0:is>
      </ns0:c>
      <ns0:c r="AJ438" s="94" t="inlineStr">
        <ns0:is>
          <ns0:t>RB</ns0:t>
        </ns0:is>
      </ns0:c>
      <ns0:c r="AK438" s="94" t="inlineStr">
        <ns0:is>
          <ns0:t>Convencional</ns0:t>
        </ns0:is>
      </ns0:c>
      <ns0:c r="AL438" s="94" t="n">
        <ns0:v>3</ns0:v>
      </ns0:c>
      <ns0:c r="AM438" s="94" t="n">
        <ns0:v>4</ns0:v>
      </ns0:c>
      <ns0:c r="AN438" s="94" t="inlineStr">
        <ns0:is>
          <ns0:t>Estimada · baixa</ns0:t>
        </ns0:is>
      </ns0:c>
      <ns0:c r="AO438" s="94" t="inlineStr">
        <ns0:is>
          <ns0:t>Estimativa de implantação fornecida pela gestão; piso considerado sem confirmação geométrica.</ns0:t>
        </ns0:is>
      </ns0:c>
      <ns0:c r="AP438" s="94" t="inlineStr">
        <ns0:is>
          <ns0:t>Sim</ns0:t>
        </ns0:is>
      </ns0:c>
      <ns0:c r="AQ438" s="94" t="inlineStr">
        <ns0:is>
          <ns0:t>Olhão</ns0:t>
        </ns0:is>
      </ns0:c>
      <ns0:c r="AR438" s="94" t="inlineStr">
        <ns0:is>
          <ns0:t>BelaFormosa Price List September 2026, p. 1</ns0:t>
        </ns0:is>
      </ns0:c>
    </ns0:row>
    <ns0:row r="439" ht="72" customHeight="1">
      <ns0:c r="A439" s="94" t="inlineStr">
        <ns0:is>
          <ns0:t>BelaFormosa</ns0:t>
        </ns0:is>
      </ns0:c>
      <ns0:c r="B439" s="94" t="inlineStr">
        <ns0:is>
          <ns0:t>RB111</ns0:t>
        </ns0:is>
      </ns0:c>
      <ns0:c r="C439" s="94" t="n">
        <ns0:v>1</ns0:v>
      </ns0:c>
      <ns0:c r="D439" s="94" t="inlineStr">
        <ns0:is>
          <ns0:t>T2</ns0:t>
        </ns0:is>
      </ns0:c>
      <ns0:c r="E439" s="94"/>
      <ns0:c r="F439" s="97" t="n">
        <ns0:v>93.75</ns0:v>
      </ns0:c>
      <ns0:c r="G439" s="97" t="n">
        <ns0:v>38.5</ns0:v>
      </ns0:c>
      <ns0:c r="H439" s="97" t="n">
        <ns0:v>132.25</ns0:v>
      </ns0:c>
      <ns0:c r="I439" s="95" t="n">
        <ns0:v>625000</ns0:v>
      </ns0:c>
      <ns0:c r="J439" s="94" t="n">
        <ns0:v>2026</ns0:v>
      </ns0:c>
      <ns0:c r="K439" s="95" t="n">
        <ns0:v>6666.666666666667</ns0:v>
      </ns0:c>
      <ns0:c r="L439" s="95" t="n">
        <ns0:v>4725.897920604915</ns0:v>
      </ns0:c>
      <ns0:c r="M439" s="94" t="inlineStr">
        <ns0:is>
          <ns0:t>Ativo</ns0:t>
        </ns0:is>
      </ns0:c>
      <ns0:c r="N439" s="94" t="inlineStr">
        <ns0:is>
          <ns0:t>BelaFormosa · Price List September 2026 · p. 4</ns0:t>
        </ns0:is>
      </ns0:c>
      <ns0:c r="O439" s="94"/>
      <ns0:c r="P439" s="94" t="inlineStr">
        <ns0:is>
          <ns0:t>2026-09</ns0:t>
        </ns0:is>
      </ns0:c>
      <ns0:c r="Q439" s="94" t="inlineStr">
        <ns0:is>
          <ns0:t>Premium local</ns0:t>
        </ns0:is>
      </ns0:c>
      <ns0:c r="R439" s="94" t="inlineStr">
        <ns0:is>
          <ns0:t>Nova construção</ns0:t>
        </ns0:is>
      </ns0:c>
      <ns0:c r="S439" s="94"/>
      <ns0:c r="T439" s="94" t="inlineStr">
        <ns0:is>
          <ns0:t>Não incluído no preço; disponibilidade por confirmar</ns0:t>
        </ns0:is>
      </ns0:c>
      <ns0:c r="U439" s="94"/>
      <ns0:c r="V439" s="94"/>
      <ns0:c r="W439" s="97" t="n">
        <ns0:v>0.9</ns0:v>
      </ns0:c>
      <ns0:c r="X439" s="94" t="inlineStr">
        <ns0:is>
          <ns0:t>A · Premium local; vistas estimadas</ns0:t>
        </ns0:is>
      </ns0:c>
      <ns0:c r="Y439" s="94" t="inlineStr">
        <ns0:is>
          <ns0:t>Média</ns0:t>
        </ns0:is>
      </ns0:c>
      <ns0:c r="Z439" s="94" t="inlineStr">
        <ns0:is>
          <ns0:t>Preço pedido, não transação. Garagem/arrecadação não incluídas. Desconto de 5% mencionado na fonte não aplicado automaticamente. Tipologia de planta: E. Posição lateral/retaguarda; intervalo preliminar 3–4, sem confirmação por altura.</ns0:t>
        </ns0:is>
      </ns0:c>
      <ns0:c r="AA439" s="94" t="inlineStr">
        <ns0:is>
          <ns0:t>Confirmar vista, orientação, disponibilidade e condições atuais.</ns0:t>
        </ns0:is>
      </ns0:c>
      <ns0:c r="AB439" s="94" t="inlineStr">
        <ns0:is>
          <ns0:t>Média</ns0:t>
        </ns0:is>
      </ns0:c>
      <ns0:c r="AJ439" s="94" t="inlineStr">
        <ns0:is>
          <ns0:t>RB</ns0:t>
        </ns0:is>
      </ns0:c>
      <ns0:c r="AK439" s="94" t="inlineStr">
        <ns0:is>
          <ns0:t>Convencional</ns0:t>
        </ns0:is>
      </ns0:c>
      <ns0:c r="AL439" s="94" t="n">
        <ns0:v>3</ns0:v>
      </ns0:c>
      <ns0:c r="AM439" s="94" t="n">
        <ns0:v>4</ns0:v>
      </ns0:c>
      <ns0:c r="AN439" s="94" t="inlineStr">
        <ns0:is>
          <ns0:t>Estimada · baixa</ns0:t>
        </ns0:is>
      </ns0:c>
      <ns0:c r="AO439" s="94" t="inlineStr">
        <ns0:is>
          <ns0:t>Estimativa de implantação fornecida pela gestão; piso considerado sem confirmação geométrica.</ns0:t>
        </ns0:is>
      </ns0:c>
      <ns0:c r="AP439" s="94" t="inlineStr">
        <ns0:is>
          <ns0:t>Sim</ns0:t>
        </ns0:is>
      </ns0:c>
      <ns0:c r="AQ439" s="94" t="inlineStr">
        <ns0:is>
          <ns0:t>Olhão</ns0:t>
        </ns0:is>
      </ns0:c>
      <ns0:c r="AR439" s="94" t="inlineStr">
        <ns0:is>
          <ns0:t>BelaFormosa Price List September 2026, p. 1</ns0:t>
        </ns0:is>
      </ns0:c>
    </ns0:row>
    <ns0:row r="440" ht="72" customHeight="1">
      <ns0:c r="A440" s="94" t="inlineStr">
        <ns0:is>
          <ns0:t>BelaFormosa</ns0:t>
        </ns0:is>
      </ns0:c>
      <ns0:c r="B440" s="94" t="inlineStr">
        <ns0:is>
          <ns0:t>RB201</ns0:t>
        </ns0:is>
      </ns0:c>
      <ns0:c r="C440" s="94" t="n">
        <ns0:v>2</ns0:v>
      </ns0:c>
      <ns0:c r="D440" s="94" t="inlineStr">
        <ns0:is>
          <ns0:t>T2</ns0:t>
        </ns0:is>
      </ns0:c>
      <ns0:c r="E440" s="94"/>
      <ns0:c r="F440" s="97" t="n">
        <ns0:v>91.0</ns0:v>
      </ns0:c>
      <ns0:c r="G440" s="97" t="n">
        <ns0:v>42.5</ns0:v>
      </ns0:c>
      <ns0:c r="H440" s="97" t="n">
        <ns0:v>133.5</ns0:v>
      </ns0:c>
      <ns0:c r="I440" s="95" t="n">
        <ns0:v>625000</ns0:v>
      </ns0:c>
      <ns0:c r="J440" s="94" t="n">
        <ns0:v>2026</ns0:v>
      </ns0:c>
      <ns0:c r="K440" s="95" t="n">
        <ns0:v>6868.131868131868</ns0:v>
      </ns0:c>
      <ns0:c r="L440" s="95" t="n">
        <ns0:v>4681.647940074907</ns0:v>
      </ns0:c>
      <ns0:c r="M440" s="94" t="inlineStr">
        <ns0:is>
          <ns0:t>Ativo</ns0:t>
        </ns0:is>
      </ns0:c>
      <ns0:c r="N440" s="94" t="inlineStr">
        <ns0:is>
          <ns0:t>BelaFormosa · Price List September 2026 · p. 4</ns0:t>
        </ns0:is>
      </ns0:c>
      <ns0:c r="O440" s="94"/>
      <ns0:c r="P440" s="94" t="inlineStr">
        <ns0:is>
          <ns0:t>2026-09</ns0:t>
        </ns0:is>
      </ns0:c>
      <ns0:c r="Q440" s="94" t="inlineStr">
        <ns0:is>
          <ns0:t>Premium local</ns0:t>
        </ns0:is>
      </ns0:c>
      <ns0:c r="R440" s="94" t="inlineStr">
        <ns0:is>
          <ns0:t>Nova construção</ns0:t>
        </ns0:is>
      </ns0:c>
      <ns0:c r="S440" s="94"/>
      <ns0:c r="T440" s="94" t="inlineStr">
        <ns0:is>
          <ns0:t>Não incluído no preço; disponibilidade por confirmar</ns0:t>
        </ns0:is>
      </ns0:c>
      <ns0:c r="U440" s="94"/>
      <ns0:c r="V440" s="94"/>
      <ns0:c r="W440" s="97" t="n">
        <ns0:v>0.9</ns0:v>
      </ns0:c>
      <ns0:c r="X440" s="94" t="inlineStr">
        <ns0:is>
          <ns0:t>A · Premium local; vistas estimadas</ns0:t>
        </ns0:is>
      </ns0:c>
      <ns0:c r="Y440" s="94" t="inlineStr">
        <ns0:is>
          <ns0:t>Média</ns0:t>
        </ns0:is>
      </ns0:c>
      <ns0:c r="Z440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</ns0:t>
        </ns0:is>
      </ns0:c>
      <ns0:c r="AA440" s="94" t="inlineStr">
        <ns0:is>
          <ns0:t>Confirmar vista, orientação, disponibilidade e condições atuais.</ns0:t>
        </ns0:is>
      </ns0:c>
      <ns0:c r="AB440" s="94" t="inlineStr">
        <ns0:is>
          <ns0:t>Média</ns0:t>
        </ns0:is>
      </ns0:c>
      <ns0:c r="AJ440" s="94" t="inlineStr">
        <ns0:is>
          <ns0:t>RB</ns0:t>
        </ns0:is>
      </ns0:c>
      <ns0:c r="AK440" s="94" t="inlineStr">
        <ns0:is>
          <ns0:t>Convencional</ns0:t>
        </ns0:is>
      </ns0:c>
      <ns0:c r="AL440" s="94" t="n">
        <ns0:v>3</ns0:v>
      </ns0:c>
      <ns0:c r="AM440" s="94" t="n">
        <ns0:v>4</ns0:v>
      </ns0:c>
      <ns0:c r="AN440" s="94" t="inlineStr">
        <ns0:is>
          <ns0:t>Estimada · baixa</ns0:t>
        </ns0:is>
      </ns0:c>
      <ns0:c r="AO440" s="94" t="inlineStr">
        <ns0:is>
          <ns0:t>Estimativa de implantação fornecida pela gestão; piso considerado sem confirmação geométrica.</ns0:t>
        </ns0:is>
      </ns0:c>
      <ns0:c r="AP440" s="94" t="inlineStr">
        <ns0:is>
          <ns0:t>Sim</ns0:t>
        </ns0:is>
      </ns0:c>
      <ns0:c r="AQ440" s="94" t="inlineStr">
        <ns0:is>
          <ns0:t>Olhão</ns0:t>
        </ns0:is>
      </ns0:c>
      <ns0:c r="AR440" s="94" t="inlineStr">
        <ns0:is>
          <ns0:t>BelaFormosa Price List September 2026, p. 1</ns0:t>
        </ns0:is>
      </ns0:c>
    </ns0:row>
    <ns0:row r="441" ht="72" customHeight="1">
      <ns0:c r="A441" s="94" t="inlineStr">
        <ns0:is>
          <ns0:t>BelaFormosa</ns0:t>
        </ns0:is>
      </ns0:c>
      <ns0:c r="B441" s="94" t="inlineStr">
        <ns0:is>
          <ns0:t>RB202</ns0:t>
        </ns0:is>
      </ns0:c>
      <ns0:c r="C441" s="94" t="n">
        <ns0:v>2</ns0:v>
      </ns0:c>
      <ns0:c r="D441" s="94" t="inlineStr">
        <ns0:is>
          <ns0:t>T2</ns0:t>
        </ns0:is>
      </ns0:c>
      <ns0:c r="E441" s="94"/>
      <ns0:c r="F441" s="97" t="n">
        <ns0:v>89.25</ns0:v>
      </ns0:c>
      <ns0:c r="G441" s="97" t="n">
        <ns0:v>18.0</ns0:v>
      </ns0:c>
      <ns0:c r="H441" s="97" t="n">
        <ns0:v>107.25</ns0:v>
      </ns0:c>
      <ns0:c r="I441" s="95" t="n">
        <ns0:v>605000</ns0:v>
      </ns0:c>
      <ns0:c r="J441" s="94" t="n">
        <ns0:v>2026</ns0:v>
      </ns0:c>
      <ns0:c r="K441" s="95" t="n">
        <ns0:v>6778.711484593838</ns0:v>
      </ns0:c>
      <ns0:c r="L441" s="95" t="n">
        <ns0:v>5641.025641025641</ns0:v>
      </ns0:c>
      <ns0:c r="M441" s="94" t="inlineStr">
        <ns0:is>
          <ns0:t>Ativo</ns0:t>
        </ns0:is>
      </ns0:c>
      <ns0:c r="N441" s="94" t="inlineStr">
        <ns0:is>
          <ns0:t>BelaFormosa · Price List September 2026 · p. 4</ns0:t>
        </ns0:is>
      </ns0:c>
      <ns0:c r="O441" s="94"/>
      <ns0:c r="P441" s="94" t="inlineStr">
        <ns0:is>
          <ns0:t>2026-09</ns0:t>
        </ns0:is>
      </ns0:c>
      <ns0:c r="Q441" s="94" t="inlineStr">
        <ns0:is>
          <ns0:t>Premium local</ns0:t>
        </ns0:is>
      </ns0:c>
      <ns0:c r="R441" s="94" t="inlineStr">
        <ns0:is>
          <ns0:t>Nova construção</ns0:t>
        </ns0:is>
      </ns0:c>
      <ns0:c r="S441" s="94"/>
      <ns0:c r="T441" s="94" t="inlineStr">
        <ns0:is>
          <ns0:t>Não incluído no preço; disponibilidade por confirmar</ns0:t>
        </ns0:is>
      </ns0:c>
      <ns0:c r="U441" s="94"/>
      <ns0:c r="V441" s="94"/>
      <ns0:c r="W441" s="97" t="n">
        <ns0:v>0.9</ns0:v>
      </ns0:c>
      <ns0:c r="X441" s="94" t="inlineStr">
        <ns0:is>
          <ns0:t>A · Premium local; vistas estimadas</ns0:t>
        </ns0:is>
      </ns0:c>
      <ns0:c r="Y441" s="94" t="inlineStr">
        <ns0:is>
          <ns0:t>Média</ns0:t>
        </ns0:is>
      </ns0:c>
      <ns0:c r="Z441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41" s="94" t="inlineStr">
        <ns0:is>
          <ns0:t>Confirmar vista, orientação, disponibilidade e condições atuais.</ns0:t>
        </ns0:is>
      </ns0:c>
      <ns0:c r="AB441" s="94" t="inlineStr">
        <ns0:is>
          <ns0:t>Média</ns0:t>
        </ns0:is>
      </ns0:c>
      <ns0:c r="AJ441" s="94" t="inlineStr">
        <ns0:is>
          <ns0:t>RB</ns0:t>
        </ns0:is>
      </ns0:c>
      <ns0:c r="AK441" s="94" t="inlineStr">
        <ns0:is>
          <ns0:t>Convencional</ns0:t>
        </ns0:is>
      </ns0:c>
      <ns0:c r="AL441" s="94" t="n">
        <ns0:v>3</ns0:v>
      </ns0:c>
      <ns0:c r="AM441" s="94" t="n">
        <ns0:v>4</ns0:v>
      </ns0:c>
      <ns0:c r="AN441" s="94" t="inlineStr">
        <ns0:is>
          <ns0:t>Estimada · baixa</ns0:t>
        </ns0:is>
      </ns0:c>
      <ns0:c r="AO441" s="94" t="inlineStr">
        <ns0:is>
          <ns0:t>Estimativa de implantação fornecida pela gestão; piso considerado sem confirmação geométrica.</ns0:t>
        </ns0:is>
      </ns0:c>
      <ns0:c r="AP441" s="94" t="inlineStr">
        <ns0:is>
          <ns0:t>Sim</ns0:t>
        </ns0:is>
      </ns0:c>
      <ns0:c r="AQ441" s="94" t="inlineStr">
        <ns0:is>
          <ns0:t>Olhão</ns0:t>
        </ns0:is>
      </ns0:c>
      <ns0:c r="AR441" s="94" t="inlineStr">
        <ns0:is>
          <ns0:t>BelaFormosa Price List September 2026, p. 1</ns0:t>
        </ns0:is>
      </ns0:c>
    </ns0:row>
    <ns0:row r="442" ht="72" customHeight="1">
      <ns0:c r="A442" s="94" t="inlineStr">
        <ns0:is>
          <ns0:t>BelaFormosa</ns0:t>
        </ns0:is>
      </ns0:c>
      <ns0:c r="B442" s="94" t="inlineStr">
        <ns0:is>
          <ns0:t>RB203</ns0:t>
        </ns0:is>
      </ns0:c>
      <ns0:c r="C442" s="94" t="n">
        <ns0:v>2</ns0:v>
      </ns0:c>
      <ns0:c r="D442" s="94" t="inlineStr">
        <ns0:is>
          <ns0:t>T1</ns0:t>
        </ns0:is>
      </ns0:c>
      <ns0:c r="E442" s="94"/>
      <ns0:c r="F442" s="97" t="n">
        <ns0:v>60.25</ns0:v>
      </ns0:c>
      <ns0:c r="G442" s="97" t="n">
        <ns0:v>12.0</ns0:v>
      </ns0:c>
      <ns0:c r="H442" s="97" t="n">
        <ns0:v>72.25</ns0:v>
      </ns0:c>
      <ns0:c r="I442" s="95" t="n">
        <ns0:v>410000</ns0:v>
      </ns0:c>
      <ns0:c r="J442" s="94" t="n">
        <ns0:v>2026</ns0:v>
      </ns0:c>
      <ns0:c r="K442" s="95" t="n">
        <ns0:v>6804.979253112033</ns0:v>
      </ns0:c>
      <ns0:c r="L442" s="95" t="n">
        <ns0:v>5674.740484429066</ns0:v>
      </ns0:c>
      <ns0:c r="M442" s="94" t="inlineStr">
        <ns0:is>
          <ns0:t>Ativo</ns0:t>
        </ns0:is>
      </ns0:c>
      <ns0:c r="N442" s="94" t="inlineStr">
        <ns0:is>
          <ns0:t>BelaFormosa · Price List September 2026 · p. 4</ns0:t>
        </ns0:is>
      </ns0:c>
      <ns0:c r="O442" s="94"/>
      <ns0:c r="P442" s="94" t="inlineStr">
        <ns0:is>
          <ns0:t>2026-09</ns0:t>
        </ns0:is>
      </ns0:c>
      <ns0:c r="Q442" s="94" t="inlineStr">
        <ns0:is>
          <ns0:t>Premium local</ns0:t>
        </ns0:is>
      </ns0:c>
      <ns0:c r="R442" s="94" t="inlineStr">
        <ns0:is>
          <ns0:t>Nova construção</ns0:t>
        </ns0:is>
      </ns0:c>
      <ns0:c r="S442" s="94"/>
      <ns0:c r="T442" s="94" t="inlineStr">
        <ns0:is>
          <ns0:t>Não incluído no preço; disponibilidade por confirmar</ns0:t>
        </ns0:is>
      </ns0:c>
      <ns0:c r="U442" s="94"/>
      <ns0:c r="V442" s="94"/>
      <ns0:c r="W442" s="97" t="n">
        <ns0:v>0.9</ns0:v>
      </ns0:c>
      <ns0:c r="X442" s="94" t="inlineStr">
        <ns0:is>
          <ns0:t>A · Premium local; vistas estimadas</ns0:t>
        </ns0:is>
      </ns0:c>
      <ns0:c r="Y442" s="94" t="inlineStr">
        <ns0:is>
          <ns0:t>Média</ns0:t>
        </ns0:is>
      </ns0:c>
      <ns0:c r="Z442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442" s="94" t="inlineStr">
        <ns0:is>
          <ns0:t>Confirmar vista, orientação, disponibilidade e condições atuais.</ns0:t>
        </ns0:is>
      </ns0:c>
      <ns0:c r="AB442" s="94" t="inlineStr">
        <ns0:is>
          <ns0:t>Média</ns0:t>
        </ns0:is>
      </ns0:c>
      <ns0:c r="AJ442" s="94" t="inlineStr">
        <ns0:is>
          <ns0:t>RB</ns0:t>
        </ns0:is>
      </ns0:c>
      <ns0:c r="AK442" s="94" t="inlineStr">
        <ns0:is>
          <ns0:t>Convencional</ns0:t>
        </ns0:is>
      </ns0:c>
      <ns0:c r="AL442" s="94" t="n">
        <ns0:v>3</ns0:v>
      </ns0:c>
      <ns0:c r="AM442" s="94" t="n">
        <ns0:v>4</ns0:v>
      </ns0:c>
      <ns0:c r="AN442" s="94" t="inlineStr">
        <ns0:is>
          <ns0:t>Estimada · baixa</ns0:t>
        </ns0:is>
      </ns0:c>
      <ns0:c r="AO442" s="94" t="inlineStr">
        <ns0:is>
          <ns0:t>Estimativa de implantação fornecida pela gestão; piso considerado sem confirmação geométrica.</ns0:t>
        </ns0:is>
      </ns0:c>
      <ns0:c r="AP442" s="94" t="inlineStr">
        <ns0:is>
          <ns0:t>Sim</ns0:t>
        </ns0:is>
      </ns0:c>
      <ns0:c r="AQ442" s="94" t="inlineStr">
        <ns0:is>
          <ns0:t>Olhão</ns0:t>
        </ns0:is>
      </ns0:c>
      <ns0:c r="AR442" s="94" t="inlineStr">
        <ns0:is>
          <ns0:t>BelaFormosa Price List September 2026, p. 1</ns0:t>
        </ns0:is>
      </ns0:c>
    </ns0:row>
    <ns0:row r="443" ht="72" customHeight="1">
      <ns0:c r="A443" s="94" t="inlineStr">
        <ns0:is>
          <ns0:t>BelaFormosa</ns0:t>
        </ns0:is>
      </ns0:c>
      <ns0:c r="B443" s="94" t="inlineStr">
        <ns0:is>
          <ns0:t>RB204</ns0:t>
        </ns0:is>
      </ns0:c>
      <ns0:c r="C443" s="94" t="n">
        <ns0:v>2</ns0:v>
      </ns0:c>
      <ns0:c r="D443" s="94" t="inlineStr">
        <ns0:is>
          <ns0:t>T1</ns0:t>
        </ns0:is>
      </ns0:c>
      <ns0:c r="E443" s="94"/>
      <ns0:c r="F443" s="97" t="n">
        <ns0:v>60.25</ns0:v>
      </ns0:c>
      <ns0:c r="G443" s="97" t="n">
        <ns0:v>12.0</ns0:v>
      </ns0:c>
      <ns0:c r="H443" s="97" t="n">
        <ns0:v>72.25</ns0:v>
      </ns0:c>
      <ns0:c r="I443" s="95" t="n">
        <ns0:v>415000</ns0:v>
      </ns0:c>
      <ns0:c r="J443" s="94" t="n">
        <ns0:v>2026</ns0:v>
      </ns0:c>
      <ns0:c r="K443" s="95" t="n">
        <ns0:v>6887.9668049792535</ns0:v>
      </ns0:c>
      <ns0:c r="L443" s="95" t="n">
        <ns0:v>5743.9446366782</ns0:v>
      </ns0:c>
      <ns0:c r="M443" s="94" t="inlineStr">
        <ns0:is>
          <ns0:t>Reservado</ns0:t>
        </ns0:is>
      </ns0:c>
      <ns0:c r="N443" s="94" t="inlineStr">
        <ns0:is>
          <ns0:t>BelaFormosa · Price List September 2026 · p. 4</ns0:t>
        </ns0:is>
      </ns0:c>
      <ns0:c r="O443" s="94"/>
      <ns0:c r="P443" s="94" t="inlineStr">
        <ns0:is>
          <ns0:t>2026-09</ns0:t>
        </ns0:is>
      </ns0:c>
      <ns0:c r="Q443" s="94" t="inlineStr">
        <ns0:is>
          <ns0:t>Premium local</ns0:t>
        </ns0:is>
      </ns0:c>
      <ns0:c r="R443" s="94" t="inlineStr">
        <ns0:is>
          <ns0:t>Nova construção</ns0:t>
        </ns0:is>
      </ns0:c>
      <ns0:c r="S443" s="94"/>
      <ns0:c r="T443" s="94" t="inlineStr">
        <ns0:is>
          <ns0:t>Não incluído no preço; disponibilidade por confirmar</ns0:t>
        </ns0:is>
      </ns0:c>
      <ns0:c r="U443" s="94"/>
      <ns0:c r="V443" s="94"/>
      <ns0:c r="W443" s="97" t="n">
        <ns0:v>0.9</ns0:v>
      </ns0:c>
      <ns0:c r="X443" s="94" t="inlineStr">
        <ns0:is>
          <ns0:t>A · Premium local; vistas estimadas</ns0:t>
        </ns0:is>
      </ns0:c>
      <ns0:c r="Y443" s="94" t="inlineStr">
        <ns0:is>
          <ns0:t>Média</ns0:t>
        </ns0:is>
      </ns0:c>
      <ns0:c r="Z443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 Reservado, não vendido. Preço extraído mantido por autorização da gestão; não constitui oferta ativa.</ns0:t>
        </ns0:is>
      </ns0:c>
      <ns0:c r="AA443" s="94" t="inlineStr">
        <ns0:is>
          <ns0:t>Confirmar vista, orientação, disponibilidade e condições atuais.</ns0:t>
        </ns0:is>
      </ns0:c>
      <ns0:c r="AB443" s="94" t="inlineStr">
        <ns0:is>
          <ns0:t>Alta</ns0:t>
        </ns0:is>
      </ns0:c>
      <ns0:c r="AJ443" s="94" t="inlineStr">
        <ns0:is>
          <ns0:t>RB</ns0:t>
        </ns0:is>
      </ns0:c>
      <ns0:c r="AK443" s="94" t="inlineStr">
        <ns0:is>
          <ns0:t>Convencional</ns0:t>
        </ns0:is>
      </ns0:c>
      <ns0:c r="AL443" s="94" t="n">
        <ns0:v>3</ns0:v>
      </ns0:c>
      <ns0:c r="AM443" s="94" t="n">
        <ns0:v>4</ns0:v>
      </ns0:c>
      <ns0:c r="AN443" s="94" t="inlineStr">
        <ns0:is>
          <ns0:t>Estimada · baixa</ns0:t>
        </ns0:is>
      </ns0:c>
      <ns0:c r="AO443" s="94" t="inlineStr">
        <ns0:is>
          <ns0:t>Estimativa de implantação fornecida pela gestão; piso considerado sem confirmação geométrica.</ns0:t>
        </ns0:is>
      </ns0:c>
      <ns0:c r="AP443" s="94" t="inlineStr">
        <ns0:is>
          <ns0:t>Não · reservado</ns0:t>
        </ns0:is>
      </ns0:c>
      <ns0:c r="AQ443" s="94" t="inlineStr">
        <ns0:is>
          <ns0:t>Olhão</ns0:t>
        </ns0:is>
      </ns0:c>
      <ns0:c r="AR443" s="94" t="inlineStr">
        <ns0:is>
          <ns0:t>BelaFormosa Price List September 2026, p. 1</ns0:t>
        </ns0:is>
      </ns0:c>
    </ns0:row>
    <ns0:row r="444" ht="72" customHeight="1">
      <ns0:c r="A444" s="94" t="inlineStr">
        <ns0:is>
          <ns0:t>BelaFormosa</ns0:t>
        </ns0:is>
      </ns0:c>
      <ns0:c r="B444" s="94" t="inlineStr">
        <ns0:is>
          <ns0:t>RB205</ns0:t>
        </ns0:is>
      </ns0:c>
      <ns0:c r="C444" s="94" t="n">
        <ns0:v>2</ns0:v>
      </ns0:c>
      <ns0:c r="D444" s="94" t="inlineStr">
        <ns0:is>
          <ns0:t>T2</ns0:t>
        </ns0:is>
      </ns0:c>
      <ns0:c r="E444" s="94"/>
      <ns0:c r="F444" s="97" t="n">
        <ns0:v>89.25</ns0:v>
      </ns0:c>
      <ns0:c r="G444" s="97" t="n">
        <ns0:v>17.5</ns0:v>
      </ns0:c>
      <ns0:c r="H444" s="97" t="n">
        <ns0:v>106.75</ns0:v>
      </ns0:c>
      <ns0:c r="I444" s="95" t="n">
        <ns0:v>605000</ns0:v>
      </ns0:c>
      <ns0:c r="J444" s="94" t="n">
        <ns0:v>2026</ns0:v>
      </ns0:c>
      <ns0:c r="K444" s="95" t="n">
        <ns0:v>6778.711484593838</ns0:v>
      </ns0:c>
      <ns0:c r="L444" s="95" t="n">
        <ns0:v>5667.447306791569</ns0:v>
      </ns0:c>
      <ns0:c r="M444" s="94" t="inlineStr">
        <ns0:is>
          <ns0:t>Ativo</ns0:t>
        </ns0:is>
      </ns0:c>
      <ns0:c r="N444" s="94" t="inlineStr">
        <ns0:is>
          <ns0:t>BelaFormosa · Price List September 2026 · p. 4</ns0:t>
        </ns0:is>
      </ns0:c>
      <ns0:c r="O444" s="94"/>
      <ns0:c r="P444" s="94" t="inlineStr">
        <ns0:is>
          <ns0:t>2026-09</ns0:t>
        </ns0:is>
      </ns0:c>
      <ns0:c r="Q444" s="94" t="inlineStr">
        <ns0:is>
          <ns0:t>Premium local</ns0:t>
        </ns0:is>
      </ns0:c>
      <ns0:c r="R444" s="94" t="inlineStr">
        <ns0:is>
          <ns0:t>Nova construção</ns0:t>
        </ns0:is>
      </ns0:c>
      <ns0:c r="S444" s="94"/>
      <ns0:c r="T444" s="94" t="inlineStr">
        <ns0:is>
          <ns0:t>Não incluído no preço; disponibilidade por confirmar</ns0:t>
        </ns0:is>
      </ns0:c>
      <ns0:c r="U444" s="94"/>
      <ns0:c r="V444" s="94"/>
      <ns0:c r="W444" s="97" t="n">
        <ns0:v>0.9</ns0:v>
      </ns0:c>
      <ns0:c r="X444" s="94" t="inlineStr">
        <ns0:is>
          <ns0:t>A · Premium local; vistas estimadas</ns0:t>
        </ns0:is>
      </ns0:c>
      <ns0:c r="Y444" s="94" t="inlineStr">
        <ns0:is>
          <ns0:t>Média</ns0:t>
        </ns0:is>
      </ns0:c>
      <ns0:c r="Z444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44" s="94" t="inlineStr">
        <ns0:is>
          <ns0:t>Confirmar vista, orientação, disponibilidade e condições atuais.</ns0:t>
        </ns0:is>
      </ns0:c>
      <ns0:c r="AB444" s="94" t="inlineStr">
        <ns0:is>
          <ns0:t>Média</ns0:t>
        </ns0:is>
      </ns0:c>
      <ns0:c r="AJ444" s="94" t="inlineStr">
        <ns0:is>
          <ns0:t>RB</ns0:t>
        </ns0:is>
      </ns0:c>
      <ns0:c r="AK444" s="94" t="inlineStr">
        <ns0:is>
          <ns0:t>Convencional</ns0:t>
        </ns0:is>
      </ns0:c>
      <ns0:c r="AL444" s="94" t="n">
        <ns0:v>3</ns0:v>
      </ns0:c>
      <ns0:c r="AM444" s="94" t="n">
        <ns0:v>4</ns0:v>
      </ns0:c>
      <ns0:c r="AN444" s="94" t="inlineStr">
        <ns0:is>
          <ns0:t>Estimada · baixa</ns0:t>
        </ns0:is>
      </ns0:c>
      <ns0:c r="AO444" s="94" t="inlineStr">
        <ns0:is>
          <ns0:t>Estimativa de implantação fornecida pela gestão; piso considerado sem confirmação geométrica.</ns0:t>
        </ns0:is>
      </ns0:c>
      <ns0:c r="AP444" s="94" t="inlineStr">
        <ns0:is>
          <ns0:t>Sim</ns0:t>
        </ns0:is>
      </ns0:c>
      <ns0:c r="AQ444" s="94" t="inlineStr">
        <ns0:is>
          <ns0:t>Olhão</ns0:t>
        </ns0:is>
      </ns0:c>
      <ns0:c r="AR444" s="94" t="inlineStr">
        <ns0:is>
          <ns0:t>BelaFormosa Price List September 2026, p. 1</ns0:t>
        </ns0:is>
      </ns0:c>
    </ns0:row>
    <ns0:row r="445" ht="72" customHeight="1">
      <ns0:c r="A445" s="94" t="inlineStr">
        <ns0:is>
          <ns0:t>BelaFormosa</ns0:t>
        </ns0:is>
      </ns0:c>
      <ns0:c r="B445" s="94" t="inlineStr">
        <ns0:is>
          <ns0:t>RB206</ns0:t>
        </ns0:is>
      </ns0:c>
      <ns0:c r="C445" s="94" t="n">
        <ns0:v>2</ns0:v>
      </ns0:c>
      <ns0:c r="D445" s="94" t="inlineStr">
        <ns0:is>
          <ns0:t>T2</ns0:t>
        </ns0:is>
      </ns0:c>
      <ns0:c r="E445" s="94"/>
      <ns0:c r="F445" s="97" t="n">
        <ns0:v>89.25</ns0:v>
      </ns0:c>
      <ns0:c r="G445" s="97" t="n">
        <ns0:v>17.5</ns0:v>
      </ns0:c>
      <ns0:c r="H445" s="97" t="n">
        <ns0:v>106.75</ns0:v>
      </ns0:c>
      <ns0:c r="I445" s="95" t="n">
        <ns0:v>695000</ns0:v>
      </ns0:c>
      <ns0:c r="J445" s="94" t="n">
        <ns0:v>2026</ns0:v>
      </ns0:c>
      <ns0:c r="K445" s="95" t="n">
        <ns0:v>7787.114845938376</ns0:v>
      </ns0:c>
      <ns0:c r="L445" s="95" t="n">
        <ns0:v>6510.538641686183</ns0:v>
      </ns0:c>
      <ns0:c r="M445" s="94" t="inlineStr">
        <ns0:is>
          <ns0:t>Ativo</ns0:t>
        </ns0:is>
      </ns0:c>
      <ns0:c r="N445" s="94" t="inlineStr">
        <ns0:is>
          <ns0:t>BelaFormosa · Price List September 2026 · p. 4</ns0:t>
        </ns0:is>
      </ns0:c>
      <ns0:c r="O445" s="94"/>
      <ns0:c r="P445" s="94" t="inlineStr">
        <ns0:is>
          <ns0:t>2026-09</ns0:t>
        </ns0:is>
      </ns0:c>
      <ns0:c r="Q445" s="94" t="inlineStr">
        <ns0:is>
          <ns0:t>Premium local</ns0:t>
        </ns0:is>
      </ns0:c>
      <ns0:c r="R445" s="94" t="inlineStr">
        <ns0:is>
          <ns0:t>Nova construção</ns0:t>
        </ns0:is>
      </ns0:c>
      <ns0:c r="S445" s="94"/>
      <ns0:c r="T445" s="94" t="inlineStr">
        <ns0:is>
          <ns0:t>Não incluído no preço; disponibilidade por confirmar</ns0:t>
        </ns0:is>
      </ns0:c>
      <ns0:c r="U445" s="94"/>
      <ns0:c r="V445" s="94"/>
      <ns0:c r="W445" s="97" t="n">
        <ns0:v>0.9</ns0:v>
      </ns0:c>
      <ns0:c r="X445" s="94" t="inlineStr">
        <ns0:is>
          <ns0:t>A · Premium local; vistas estimadas</ns0:t>
        </ns0:is>
      </ns0:c>
      <ns0:c r="Y445" s="94" t="inlineStr">
        <ns0:is>
          <ns0:t>Média</ns0:t>
        </ns0:is>
      </ns0:c>
      <ns0:c r="Z445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445" s="94" t="inlineStr">
        <ns0:is>
          <ns0:t>Confirmar vista, orientação, disponibilidade e condições atuais.</ns0:t>
        </ns0:is>
      </ns0:c>
      <ns0:c r="AB445" s="94" t="inlineStr">
        <ns0:is>
          <ns0:t>Média</ns0:t>
        </ns0:is>
      </ns0:c>
      <ns0:c r="AJ445" s="94" t="inlineStr">
        <ns0:is>
          <ns0:t>RB</ns0:t>
        </ns0:is>
      </ns0:c>
      <ns0:c r="AK445" s="94" t="inlineStr">
        <ns0:is>
          <ns0:t>Convencional</ns0:t>
        </ns0:is>
      </ns0:c>
      <ns0:c r="AL445" s="94" t="n">
        <ns0:v>2</ns0:v>
      </ns0:c>
      <ns0:c r="AM445" s="94" t="n">
        <ns0:v>3</ns0:v>
      </ns0:c>
      <ns0:c r="AN445" s="94" t="inlineStr">
        <ns0:is>
          <ns0:t>Estimada · baixa</ns0:t>
        </ns0:is>
      </ns0:c>
      <ns0:c r="AO445" s="94" t="inlineStr">
        <ns0:is>
          <ns0:t>Estimativa de implantação fornecida pela gestão; piso considerado sem confirmação geométrica.</ns0:t>
        </ns0:is>
      </ns0:c>
      <ns0:c r="AP445" s="94" t="inlineStr">
        <ns0:is>
          <ns0:t>Sim</ns0:t>
        </ns0:is>
      </ns0:c>
      <ns0:c r="AQ445" s="94" t="inlineStr">
        <ns0:is>
          <ns0:t>Olhão</ns0:t>
        </ns0:is>
      </ns0:c>
      <ns0:c r="AR445" s="94" t="inlineStr">
        <ns0:is>
          <ns0:t>BelaFormosa Price List September 2026, p. 1</ns0:t>
        </ns0:is>
      </ns0:c>
    </ns0:row>
    <ns0:row r="446" ht="72" customHeight="1">
      <ns0:c r="A446" s="94" t="inlineStr">
        <ns0:is>
          <ns0:t>BelaFormosa</ns0:t>
        </ns0:is>
      </ns0:c>
      <ns0:c r="B446" s="94" t="inlineStr">
        <ns0:is>
          <ns0:t>RB207</ns0:t>
        </ns0:is>
      </ns0:c>
      <ns0:c r="C446" s="94" t="n">
        <ns0:v>2</ns0:v>
      </ns0:c>
      <ns0:c r="D446" s="94" t="inlineStr">
        <ns0:is>
          <ns0:t>T1</ns0:t>
        </ns0:is>
      </ns0:c>
      <ns0:c r="E446" s="94"/>
      <ns0:c r="F446" s="97" t="n">
        <ns0:v>60.25</ns0:v>
      </ns0:c>
      <ns0:c r="G446" s="97" t="n">
        <ns0:v>12.0</ns0:v>
      </ns0:c>
      <ns0:c r="H446" s="97" t="n">
        <ns0:v>72.25</ns0:v>
      </ns0:c>
      <ns0:c r="I446" s="95" t="n">
        <ns0:v>460000</ns0:v>
      </ns0:c>
      <ns0:c r="J446" s="94" t="n">
        <ns0:v>2026</ns0:v>
      </ns0:c>
      <ns0:c r="K446" s="95" t="n">
        <ns0:v>7634.854771784232</ns0:v>
      </ns0:c>
      <ns0:c r="L446" s="95" t="n">
        <ns0:v>6366.782006920415</ns0:v>
      </ns0:c>
      <ns0:c r="M446" s="94" t="inlineStr">
        <ns0:is>
          <ns0:t>Reservado</ns0:t>
        </ns0:is>
      </ns0:c>
      <ns0:c r="N446" s="94" t="inlineStr">
        <ns0:is>
          <ns0:t>BelaFormosa · Price List September 2026 · p. 4</ns0:t>
        </ns0:is>
      </ns0:c>
      <ns0:c r="O446" s="94"/>
      <ns0:c r="P446" s="94" t="inlineStr">
        <ns0:is>
          <ns0:t>2026-09</ns0:t>
        </ns0:is>
      </ns0:c>
      <ns0:c r="Q446" s="94" t="inlineStr">
        <ns0:is>
          <ns0:t>Premium local</ns0:t>
        </ns0:is>
      </ns0:c>
      <ns0:c r="R446" s="94" t="inlineStr">
        <ns0:is>
          <ns0:t>Nova construção</ns0:t>
        </ns0:is>
      </ns0:c>
      <ns0:c r="S446" s="94"/>
      <ns0:c r="T446" s="94" t="inlineStr">
        <ns0:is>
          <ns0:t>Não incluído no preço; disponibilidade por confirmar</ns0:t>
        </ns0:is>
      </ns0:c>
      <ns0:c r="U446" s="94"/>
      <ns0:c r="V446" s="94"/>
      <ns0:c r="W446" s="97" t="n">
        <ns0:v>0.9</ns0:v>
      </ns0:c>
      <ns0:c r="X446" s="94" t="inlineStr">
        <ns0:is>
          <ns0:t>A · Premium local; vistas estimadas</ns0:t>
        </ns0:is>
      </ns0:c>
      <ns0:c r="Y446" s="94" t="inlineStr">
        <ns0:is>
          <ns0:t>Média</ns0:t>
        </ns0:is>
      </ns0:c>
      <ns0:c r="Z446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 Reservado, não vendido. Preço extraído mantido por autorização da gestão; não constitui oferta ativa.</ns0:t>
        </ns0:is>
      </ns0:c>
      <ns0:c r="AA446" s="94" t="inlineStr">
        <ns0:is>
          <ns0:t>Confirmar vista, orientação, disponibilidade e condições atuais.</ns0:t>
        </ns0:is>
      </ns0:c>
      <ns0:c r="AB446" s="94" t="inlineStr">
        <ns0:is>
          <ns0:t>Alta</ns0:t>
        </ns0:is>
      </ns0:c>
      <ns0:c r="AJ446" s="94" t="inlineStr">
        <ns0:is>
          <ns0:t>RB</ns0:t>
        </ns0:is>
      </ns0:c>
      <ns0:c r="AK446" s="94" t="inlineStr">
        <ns0:is>
          <ns0:t>Convencional</ns0:t>
        </ns0:is>
      </ns0:c>
      <ns0:c r="AL446" s="94" t="n">
        <ns0:v>2</ns0:v>
      </ns0:c>
      <ns0:c r="AM446" s="94" t="n">
        <ns0:v>3</ns0:v>
      </ns0:c>
      <ns0:c r="AN446" s="94" t="inlineStr">
        <ns0:is>
          <ns0:t>Estimada · baixa</ns0:t>
        </ns0:is>
      </ns0:c>
      <ns0:c r="AO446" s="94" t="inlineStr">
        <ns0:is>
          <ns0:t>Estimativa de implantação fornecida pela gestão; piso considerado sem confirmação geométrica.</ns0:t>
        </ns0:is>
      </ns0:c>
      <ns0:c r="AP446" s="94" t="inlineStr">
        <ns0:is>
          <ns0:t>Não · reservado</ns0:t>
        </ns0:is>
      </ns0:c>
      <ns0:c r="AQ446" s="94" t="inlineStr">
        <ns0:is>
          <ns0:t>Olhão</ns0:t>
        </ns0:is>
      </ns0:c>
      <ns0:c r="AR446" s="94" t="inlineStr">
        <ns0:is>
          <ns0:t>BelaFormosa Price List September 2026, p. 1</ns0:t>
        </ns0:is>
      </ns0:c>
    </ns0:row>
    <ns0:row r="447" ht="72" customHeight="1">
      <ns0:c r="A447" s="94" t="inlineStr">
        <ns0:is>
          <ns0:t>BelaFormosa</ns0:t>
        </ns0:is>
      </ns0:c>
      <ns0:c r="B447" s="94" t="inlineStr">
        <ns0:is>
          <ns0:t>RB208</ns0:t>
        </ns0:is>
      </ns0:c>
      <ns0:c r="C447" s="94" t="n">
        <ns0:v>2</ns0:v>
      </ns0:c>
      <ns0:c r="D447" s="94" t="inlineStr">
        <ns0:is>
          <ns0:t>T1</ns0:t>
        </ns0:is>
      </ns0:c>
      <ns0:c r="E447" s="94"/>
      <ns0:c r="F447" s="97" t="n">
        <ns0:v>60.25</ns0:v>
      </ns0:c>
      <ns0:c r="G447" s="97" t="n">
        <ns0:v>12.0</ns0:v>
      </ns0:c>
      <ns0:c r="H447" s="97" t="n">
        <ns0:v>72.25</ns0:v>
      </ns0:c>
      <ns0:c r="I447" s="95" t="n">
        <ns0:v>460000</ns0:v>
      </ns0:c>
      <ns0:c r="J447" s="94" t="n">
        <ns0:v>2026</ns0:v>
      </ns0:c>
      <ns0:c r="K447" s="95" t="n">
        <ns0:v>7634.854771784232</ns0:v>
      </ns0:c>
      <ns0:c r="L447" s="95" t="n">
        <ns0:v>6366.782006920415</ns0:v>
      </ns0:c>
      <ns0:c r="M447" s="94" t="inlineStr">
        <ns0:is>
          <ns0:t>Reservado</ns0:t>
        </ns0:is>
      </ns0:c>
      <ns0:c r="N447" s="94" t="inlineStr">
        <ns0:is>
          <ns0:t>BelaFormosa · Price List September 2026 · p. 4</ns0:t>
        </ns0:is>
      </ns0:c>
      <ns0:c r="O447" s="94"/>
      <ns0:c r="P447" s="94" t="inlineStr">
        <ns0:is>
          <ns0:t>2026-09</ns0:t>
        </ns0:is>
      </ns0:c>
      <ns0:c r="Q447" s="94" t="inlineStr">
        <ns0:is>
          <ns0:t>Premium local</ns0:t>
        </ns0:is>
      </ns0:c>
      <ns0:c r="R447" s="94" t="inlineStr">
        <ns0:is>
          <ns0:t>Nova construção</ns0:t>
        </ns0:is>
      </ns0:c>
      <ns0:c r="S447" s="94"/>
      <ns0:c r="T447" s="94" t="inlineStr">
        <ns0:is>
          <ns0:t>Não incluído no preço; disponibilidade por confirmar</ns0:t>
        </ns0:is>
      </ns0:c>
      <ns0:c r="U447" s="94"/>
      <ns0:c r="V447" s="94"/>
      <ns0:c r="W447" s="97" t="n">
        <ns0:v>0.9</ns0:v>
      </ns0:c>
      <ns0:c r="X447" s="94" t="inlineStr">
        <ns0:is>
          <ns0:t>A · Premium local; vistas estimadas</ns0:t>
        </ns0:is>
      </ns0:c>
      <ns0:c r="Y447" s="94" t="inlineStr">
        <ns0:is>
          <ns0:t>Média</ns0:t>
        </ns0:is>
      </ns0:c>
      <ns0:c r="Z447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 Reservado, não vendido. Preço extraído mantido por autorização da gestão; não constitui oferta ativa.</ns0:t>
        </ns0:is>
      </ns0:c>
      <ns0:c r="AA447" s="94" t="inlineStr">
        <ns0:is>
          <ns0:t>Confirmar vista, orientação, disponibilidade e condições atuais.</ns0:t>
        </ns0:is>
      </ns0:c>
      <ns0:c r="AB447" s="94" t="inlineStr">
        <ns0:is>
          <ns0:t>Alta</ns0:t>
        </ns0:is>
      </ns0:c>
      <ns0:c r="AJ447" s="94" t="inlineStr">
        <ns0:is>
          <ns0:t>RB</ns0:t>
        </ns0:is>
      </ns0:c>
      <ns0:c r="AK447" s="94" t="inlineStr">
        <ns0:is>
          <ns0:t>Convencional</ns0:t>
        </ns0:is>
      </ns0:c>
      <ns0:c r="AL447" s="94" t="n">
        <ns0:v>2</ns0:v>
      </ns0:c>
      <ns0:c r="AM447" s="94" t="n">
        <ns0:v>3</ns0:v>
      </ns0:c>
      <ns0:c r="AN447" s="94" t="inlineStr">
        <ns0:is>
          <ns0:t>Estimada · baixa</ns0:t>
        </ns0:is>
      </ns0:c>
      <ns0:c r="AO447" s="94" t="inlineStr">
        <ns0:is>
          <ns0:t>Estimativa de implantação fornecida pela gestão; piso considerado sem confirmação geométrica.</ns0:t>
        </ns0:is>
      </ns0:c>
      <ns0:c r="AP447" s="94" t="inlineStr">
        <ns0:is>
          <ns0:t>Não · reservado</ns0:t>
        </ns0:is>
      </ns0:c>
      <ns0:c r="AQ447" s="94" t="inlineStr">
        <ns0:is>
          <ns0:t>Olhão</ns0:t>
        </ns0:is>
      </ns0:c>
      <ns0:c r="AR447" s="94" t="inlineStr">
        <ns0:is>
          <ns0:t>BelaFormosa Price List September 2026, p. 1</ns0:t>
        </ns0:is>
      </ns0:c>
    </ns0:row>
    <ns0:row r="448" ht="72" customHeight="1">
      <ns0:c r="A448" s="94" t="inlineStr">
        <ns0:is>
          <ns0:t>BelaFormosa</ns0:t>
        </ns0:is>
      </ns0:c>
      <ns0:c r="B448" s="94" t="inlineStr">
        <ns0:is>
          <ns0:t>RB209</ns0:t>
        </ns0:is>
      </ns0:c>
      <ns0:c r="C448" s="94" t="n">
        <ns0:v>2</ns0:v>
      </ns0:c>
      <ns0:c r="D448" s="94" t="inlineStr">
        <ns0:is>
          <ns0:t>T2</ns0:t>
        </ns0:is>
      </ns0:c>
      <ns0:c r="E448" s="94"/>
      <ns0:c r="F448" s="97" t="n">
        <ns0:v>89.25</ns0:v>
      </ns0:c>
      <ns0:c r="G448" s="97" t="n">
        <ns0:v>18.0</ns0:v>
      </ns0:c>
      <ns0:c r="H448" s="97" t="n">
        <ns0:v>107.25</ns0:v>
      </ns0:c>
      <ns0:c r="I448" s="95" t="n">
        <ns0:v>675000</ns0:v>
      </ns0:c>
      <ns0:c r="J448" s="94" t="n">
        <ns0:v>2026</ns0:v>
      </ns0:c>
      <ns0:c r="K448" s="95" t="n">
        <ns0:v>7563.0252100840335</ns0:v>
      </ns0:c>
      <ns0:c r="L448" s="95" t="n">
        <ns0:v>6293.706293706294</ns0:v>
      </ns0:c>
      <ns0:c r="M448" s="94" t="inlineStr">
        <ns0:is>
          <ns0:t>Ativo</ns0:t>
        </ns0:is>
      </ns0:c>
      <ns0:c r="N448" s="94" t="inlineStr">
        <ns0:is>
          <ns0:t>BelaFormosa · Price List September 2026 · p. 4</ns0:t>
        </ns0:is>
      </ns0:c>
      <ns0:c r="O448" s="94"/>
      <ns0:c r="P448" s="94" t="inlineStr">
        <ns0:is>
          <ns0:t>2026-09</ns0:t>
        </ns0:is>
      </ns0:c>
      <ns0:c r="Q448" s="94" t="inlineStr">
        <ns0:is>
          <ns0:t>Premium local</ns0:t>
        </ns0:is>
      </ns0:c>
      <ns0:c r="R448" s="94" t="inlineStr">
        <ns0:is>
          <ns0:t>Nova construção</ns0:t>
        </ns0:is>
      </ns0:c>
      <ns0:c r="S448" s="94"/>
      <ns0:c r="T448" s="94" t="inlineStr">
        <ns0:is>
          <ns0:t>Não incluído no preço; disponibilidade por confirmar</ns0:t>
        </ns0:is>
      </ns0:c>
      <ns0:c r="U448" s="94"/>
      <ns0:c r="V448" s="94"/>
      <ns0:c r="W448" s="97" t="n">
        <ns0:v>0.9</ns0:v>
      </ns0:c>
      <ns0:c r="X448" s="94" t="inlineStr">
        <ns0:is>
          <ns0:t>A · Premium local; vistas estimadas</ns0:t>
        </ns0:is>
      </ns0:c>
      <ns0:c r="Y448" s="94" t="inlineStr">
        <ns0:is>
          <ns0:t>Média</ns0:t>
        </ns0:is>
      </ns0:c>
      <ns0:c r="Z448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448" s="94" t="inlineStr">
        <ns0:is>
          <ns0:t>Confirmar vista, orientação, disponibilidade e condições atuais.</ns0:t>
        </ns0:is>
      </ns0:c>
      <ns0:c r="AB448" s="94" t="inlineStr">
        <ns0:is>
          <ns0:t>Média</ns0:t>
        </ns0:is>
      </ns0:c>
      <ns0:c r="AJ448" s="94" t="inlineStr">
        <ns0:is>
          <ns0:t>RB</ns0:t>
        </ns0:is>
      </ns0:c>
      <ns0:c r="AK448" s="94" t="inlineStr">
        <ns0:is>
          <ns0:t>Convencional</ns0:t>
        </ns0:is>
      </ns0:c>
      <ns0:c r="AL448" s="94" t="n">
        <ns0:v>2</ns0:v>
      </ns0:c>
      <ns0:c r="AM448" s="94" t="n">
        <ns0:v>3</ns0:v>
      </ns0:c>
      <ns0:c r="AN448" s="94" t="inlineStr">
        <ns0:is>
          <ns0:t>Estimada · baixa</ns0:t>
        </ns0:is>
      </ns0:c>
      <ns0:c r="AO448" s="94" t="inlineStr">
        <ns0:is>
          <ns0:t>Estimativa de implantação fornecida pela gestão; piso considerado sem confirmação geométrica.</ns0:t>
        </ns0:is>
      </ns0:c>
      <ns0:c r="AP448" s="94" t="inlineStr">
        <ns0:is>
          <ns0:t>Sim</ns0:t>
        </ns0:is>
      </ns0:c>
      <ns0:c r="AQ448" s="94" t="inlineStr">
        <ns0:is>
          <ns0:t>Olhão</ns0:t>
        </ns0:is>
      </ns0:c>
      <ns0:c r="AR448" s="94" t="inlineStr">
        <ns0:is>
          <ns0:t>BelaFormosa Price List September 2026, p. 1</ns0:t>
        </ns0:is>
      </ns0:c>
    </ns0:row>
    <ns0:row r="449" ht="72" customHeight="1">
      <ns0:c r="A449" s="94" t="inlineStr">
        <ns0:is>
          <ns0:t>BelaFormosa</ns0:t>
        </ns0:is>
      </ns0:c>
      <ns0:c r="B449" s="94" t="inlineStr">
        <ns0:is>
          <ns0:t>RB210</ns0:t>
        </ns0:is>
      </ns0:c>
      <ns0:c r="C449" s="94" t="n">
        <ns0:v>2</ns0:v>
      </ns0:c>
      <ns0:c r="D449" s="94" t="inlineStr">
        <ns0:is>
          <ns0:t>T2</ns0:t>
        </ns0:is>
      </ns0:c>
      <ns0:c r="E449" s="94"/>
      <ns0:c r="F449" s="97" t="n">
        <ns0:v>91.0</ns0:v>
      </ns0:c>
      <ns0:c r="G449" s="97" t="n">
        <ns0:v>42.5</ns0:v>
      </ns0:c>
      <ns0:c r="H449" s="97" t="n">
        <ns0:v>133.5</ns0:v>
      </ns0:c>
      <ns0:c r="I449" s="95" t="n">
        <ns0:v>685000</ns0:v>
      </ns0:c>
      <ns0:c r="J449" s="94" t="n">
        <ns0:v>2026</ns0:v>
      </ns0:c>
      <ns0:c r="K449" s="95" t="n">
        <ns0:v>7527.472527472528</ns0:v>
      </ns0:c>
      <ns0:c r="L449" s="95" t="n">
        <ns0:v>5131.086142322098</ns0:v>
      </ns0:c>
      <ns0:c r="M449" s="94" t="inlineStr">
        <ns0:is>
          <ns0:t>Ativo</ns0:t>
        </ns0:is>
      </ns0:c>
      <ns0:c r="N449" s="94" t="inlineStr">
        <ns0:is>
          <ns0:t>BelaFormosa · Price List September 2026 · p. 4</ns0:t>
        </ns0:is>
      </ns0:c>
      <ns0:c r="O449" s="94"/>
      <ns0:c r="P449" s="94" t="inlineStr">
        <ns0:is>
          <ns0:t>2026-09</ns0:t>
        </ns0:is>
      </ns0:c>
      <ns0:c r="Q449" s="94" t="inlineStr">
        <ns0:is>
          <ns0:t>Premium local</ns0:t>
        </ns0:is>
      </ns0:c>
      <ns0:c r="R449" s="94" t="inlineStr">
        <ns0:is>
          <ns0:t>Nova construção</ns0:t>
        </ns0:is>
      </ns0:c>
      <ns0:c r="S449" s="94"/>
      <ns0:c r="T449" s="94" t="inlineStr">
        <ns0:is>
          <ns0:t>Não incluído no preço; disponibilidade por confirmar</ns0:t>
        </ns0:is>
      </ns0:c>
      <ns0:c r="U449" s="94"/>
      <ns0:c r="V449" s="94"/>
      <ns0:c r="W449" s="97" t="n">
        <ns0:v>0.9</ns0:v>
      </ns0:c>
      <ns0:c r="X449" s="94" t="inlineStr">
        <ns0:is>
          <ns0:t>A · Premium local; vistas estimadas</ns0:t>
        </ns0:is>
      </ns0:c>
      <ns0:c r="Y449" s="94" t="inlineStr">
        <ns0:is>
          <ns0:t>Média</ns0:t>
        </ns0:is>
      </ns0:c>
      <ns0:c r="Z449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</ns0:t>
        </ns0:is>
      </ns0:c>
      <ns0:c r="AA449" s="94" t="inlineStr">
        <ns0:is>
          <ns0:t>Confirmar vista, orientação, disponibilidade e condições atuais.</ns0:t>
        </ns0:is>
      </ns0:c>
      <ns0:c r="AB449" s="94" t="inlineStr">
        <ns0:is>
          <ns0:t>Média</ns0:t>
        </ns0:is>
      </ns0:c>
      <ns0:c r="AJ449" s="94" t="inlineStr">
        <ns0:is>
          <ns0:t>RB</ns0:t>
        </ns0:is>
      </ns0:c>
      <ns0:c r="AK449" s="94" t="inlineStr">
        <ns0:is>
          <ns0:t>Convencional</ns0:t>
        </ns0:is>
      </ns0:c>
      <ns0:c r="AL449" s="94" t="n">
        <ns0:v>3</ns0:v>
      </ns0:c>
      <ns0:c r="AM449" s="94" t="n">
        <ns0:v>4</ns0:v>
      </ns0:c>
      <ns0:c r="AN449" s="94" t="inlineStr">
        <ns0:is>
          <ns0:t>Estimada · baixa</ns0:t>
        </ns0:is>
      </ns0:c>
      <ns0:c r="AO449" s="94" t="inlineStr">
        <ns0:is>
          <ns0:t>Estimativa de implantação fornecida pela gestão; piso considerado sem confirmação geométrica.</ns0:t>
        </ns0:is>
      </ns0:c>
      <ns0:c r="AP449" s="94" t="inlineStr">
        <ns0:is>
          <ns0:t>Sim</ns0:t>
        </ns0:is>
      </ns0:c>
      <ns0:c r="AQ449" s="94" t="inlineStr">
        <ns0:is>
          <ns0:t>Olhão</ns0:t>
        </ns0:is>
      </ns0:c>
      <ns0:c r="AR449" s="94" t="inlineStr">
        <ns0:is>
          <ns0:t>BelaFormosa Price List September 2026, p. 1</ns0:t>
        </ns0:is>
      </ns0:c>
    </ns0:row>
    <ns0:row r="450" ht="72" customHeight="1">
      <ns0:c r="A450" s="94" t="inlineStr">
        <ns0:is>
          <ns0:t>BelaFormosa</ns0:t>
        </ns0:is>
      </ns0:c>
      <ns0:c r="B450" s="94" t="inlineStr">
        <ns0:is>
          <ns0:t>RB211</ns0:t>
        </ns0:is>
      </ns0:c>
      <ns0:c r="C450" s="94" t="n">
        <ns0:v>2</ns0:v>
      </ns0:c>
      <ns0:c r="D450" s="94" t="inlineStr">
        <ns0:is>
          <ns0:t>T2</ns0:t>
        </ns0:is>
      </ns0:c>
      <ns0:c r="E450" s="94"/>
      <ns0:c r="F450" s="97" t="n">
        <ns0:v>93.75</ns0:v>
      </ns0:c>
      <ns0:c r="G450" s="97" t="n">
        <ns0:v>19.25</ns0:v>
      </ns0:c>
      <ns0:c r="H450" s="97" t="n">
        <ns0:v>113.0</ns0:v>
      </ns0:c>
      <ns0:c r="I450" s="95" t="n">
        <ns0:v>690000</ns0:v>
      </ns0:c>
      <ns0:c r="J450" s="94" t="n">
        <ns0:v>2026</ns0:v>
      </ns0:c>
      <ns0:c r="K450" s="95" t="n">
        <ns0:v>7360.0</ns0:v>
      </ns0:c>
      <ns0:c r="L450" s="95" t="n">
        <ns0:v>6106.194690265486</ns0:v>
      </ns0:c>
      <ns0:c r="M450" s="94" t="inlineStr">
        <ns0:is>
          <ns0:t>Ativo</ns0:t>
        </ns0:is>
      </ns0:c>
      <ns0:c r="N450" s="94" t="inlineStr">
        <ns0:is>
          <ns0:t>BelaFormosa · Price List September 2026 · p. 4</ns0:t>
        </ns0:is>
      </ns0:c>
      <ns0:c r="O450" s="94"/>
      <ns0:c r="P450" s="94" t="inlineStr">
        <ns0:is>
          <ns0:t>2026-09</ns0:t>
        </ns0:is>
      </ns0:c>
      <ns0:c r="Q450" s="94" t="inlineStr">
        <ns0:is>
          <ns0:t>Premium local</ns0:t>
        </ns0:is>
      </ns0:c>
      <ns0:c r="R450" s="94" t="inlineStr">
        <ns0:is>
          <ns0:t>Nova construção</ns0:t>
        </ns0:is>
      </ns0:c>
      <ns0:c r="S450" s="94"/>
      <ns0:c r="T450" s="94" t="inlineStr">
        <ns0:is>
          <ns0:t>Não incluído no preço; disponibilidade por confirmar</ns0:t>
        </ns0:is>
      </ns0:c>
      <ns0:c r="U450" s="94"/>
      <ns0:c r="V450" s="94"/>
      <ns0:c r="W450" s="97" t="n">
        <ns0:v>0.9</ns0:v>
      </ns0:c>
      <ns0:c r="X450" s="94" t="inlineStr">
        <ns0:is>
          <ns0:t>A · Premium local; vistas estimadas</ns0:t>
        </ns0:is>
      </ns0:c>
      <ns0:c r="Y450" s="94" t="inlineStr">
        <ns0:is>
          <ns0:t>Média</ns0:t>
        </ns0:is>
      </ns0:c>
      <ns0:c r="Z450" s="94" t="inlineStr">
        <ns0:is>
          <ns0:t>Preço pedido, não transação. Garagem/arrecadação não incluídas. Desconto de 5% mencionado na fonte não aplicado automaticamente. Tipologia de planta: E. Posição lateral/retaguarda; intervalo preliminar 3–4, sem confirmação por altura.</ns0:t>
        </ns0:is>
      </ns0:c>
      <ns0:c r="AA450" s="94" t="inlineStr">
        <ns0:is>
          <ns0:t>Confirmar vista, orientação, disponibilidade e condições atuais.</ns0:t>
        </ns0:is>
      </ns0:c>
      <ns0:c r="AB450" s="94" t="inlineStr">
        <ns0:is>
          <ns0:t>Média</ns0:t>
        </ns0:is>
      </ns0:c>
      <ns0:c r="AJ450" s="94" t="inlineStr">
        <ns0:is>
          <ns0:t>RB</ns0:t>
        </ns0:is>
      </ns0:c>
      <ns0:c r="AK450" s="94" t="inlineStr">
        <ns0:is>
          <ns0:t>Convencional</ns0:t>
        </ns0:is>
      </ns0:c>
      <ns0:c r="AL450" s="94" t="n">
        <ns0:v>3</ns0:v>
      </ns0:c>
      <ns0:c r="AM450" s="94" t="n">
        <ns0:v>4</ns0:v>
      </ns0:c>
      <ns0:c r="AN450" s="94" t="inlineStr">
        <ns0:is>
          <ns0:t>Estimada · baixa</ns0:t>
        </ns0:is>
      </ns0:c>
      <ns0:c r="AO450" s="94" t="inlineStr">
        <ns0:is>
          <ns0:t>Estimativa de implantação fornecida pela gestão; piso considerado sem confirmação geométrica.</ns0:t>
        </ns0:is>
      </ns0:c>
      <ns0:c r="AP450" s="94" t="inlineStr">
        <ns0:is>
          <ns0:t>Sim</ns0:t>
        </ns0:is>
      </ns0:c>
      <ns0:c r="AQ450" s="94" t="inlineStr">
        <ns0:is>
          <ns0:t>Olhão</ns0:t>
        </ns0:is>
      </ns0:c>
      <ns0:c r="AR450" s="94" t="inlineStr">
        <ns0:is>
          <ns0:t>BelaFormosa Price List September 2026, p. 1</ns0:t>
        </ns0:is>
      </ns0:c>
    </ns0:row>
    <ns0:row r="451" ht="72" customHeight="1">
      <ns0:c r="A451" s="94" t="inlineStr">
        <ns0:is>
          <ns0:t>BelaFormosa</ns0:t>
        </ns0:is>
      </ns0:c>
      <ns0:c r="B451" s="94" t="inlineStr">
        <ns0:is>
          <ns0:t>RB301</ns0:t>
        </ns0:is>
      </ns0:c>
      <ns0:c r="C451" s="94" t="n">
        <ns0:v>3</ns0:v>
      </ns0:c>
      <ns0:c r="D451" s="94" t="inlineStr">
        <ns0:is>
          <ns0:t>T2</ns0:t>
        </ns0:is>
      </ns0:c>
      <ns0:c r="E451" s="94"/>
      <ns0:c r="F451" s="97" t="n">
        <ns0:v>91.0</ns0:v>
      </ns0:c>
      <ns0:c r="G451" s="97" t="n">
        <ns0:v>42.5</ns0:v>
      </ns0:c>
      <ns0:c r="H451" s="97" t="n">
        <ns0:v>133.5</ns0:v>
      </ns0:c>
      <ns0:c r="I451" s="95" t="n">
        <ns0:v>685000</ns0:v>
      </ns0:c>
      <ns0:c r="J451" s="94" t="n">
        <ns0:v>2026</ns0:v>
      </ns0:c>
      <ns0:c r="K451" s="95" t="n">
        <ns0:v>7527.472527472528</ns0:v>
      </ns0:c>
      <ns0:c r="L451" s="95" t="n">
        <ns0:v>5131.086142322098</ns0:v>
      </ns0:c>
      <ns0:c r="M451" s="94" t="inlineStr">
        <ns0:is>
          <ns0:t>Ativo</ns0:t>
        </ns0:is>
      </ns0:c>
      <ns0:c r="N451" s="94" t="inlineStr">
        <ns0:is>
          <ns0:t>BelaFormosa · Price List September 2026 · p. 4</ns0:t>
        </ns0:is>
      </ns0:c>
      <ns0:c r="O451" s="94"/>
      <ns0:c r="P451" s="94" t="inlineStr">
        <ns0:is>
          <ns0:t>2026-09</ns0:t>
        </ns0:is>
      </ns0:c>
      <ns0:c r="Q451" s="94" t="inlineStr">
        <ns0:is>
          <ns0:t>Premium local</ns0:t>
        </ns0:is>
      </ns0:c>
      <ns0:c r="R451" s="94" t="inlineStr">
        <ns0:is>
          <ns0:t>Nova construção</ns0:t>
        </ns0:is>
      </ns0:c>
      <ns0:c r="S451" s="94"/>
      <ns0:c r="T451" s="94" t="inlineStr">
        <ns0:is>
          <ns0:t>Não incluído no preço; disponibilidade por confirmar</ns0:t>
        </ns0:is>
      </ns0:c>
      <ns0:c r="U451" s="94"/>
      <ns0:c r="V451" s="94"/>
      <ns0:c r="W451" s="97" t="n">
        <ns0:v>0.9</ns0:v>
      </ns0:c>
      <ns0:c r="X451" s="94" t="inlineStr">
        <ns0:is>
          <ns0:t>A · Premium local; vistas estimadas</ns0:t>
        </ns0:is>
      </ns0:c>
      <ns0:c r="Y451" s="94" t="inlineStr">
        <ns0:is>
          <ns0:t>Média</ns0:t>
        </ns0:is>
      </ns0:c>
      <ns0:c r="Z451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</ns0:t>
        </ns0:is>
      </ns0:c>
      <ns0:c r="AA451" s="94" t="inlineStr">
        <ns0:is>
          <ns0:t>Confirmar vista, orientação, disponibilidade e condições atuais.</ns0:t>
        </ns0:is>
      </ns0:c>
      <ns0:c r="AB451" s="94" t="inlineStr">
        <ns0:is>
          <ns0:t>Média</ns0:t>
        </ns0:is>
      </ns0:c>
      <ns0:c r="AJ451" s="94" t="inlineStr">
        <ns0:is>
          <ns0:t>RB</ns0:t>
        </ns0:is>
      </ns0:c>
      <ns0:c r="AK451" s="94" t="inlineStr">
        <ns0:is>
          <ns0:t>Convencional</ns0:t>
        </ns0:is>
      </ns0:c>
      <ns0:c r="AL451" s="94" t="n">
        <ns0:v>3</ns0:v>
      </ns0:c>
      <ns0:c r="AM451" s="94" t="n">
        <ns0:v>4</ns0:v>
      </ns0:c>
      <ns0:c r="AN451" s="94" t="inlineStr">
        <ns0:is>
          <ns0:t>Estimada · baixa</ns0:t>
        </ns0:is>
      </ns0:c>
      <ns0:c r="AO451" s="94" t="inlineStr">
        <ns0:is>
          <ns0:t>Estimativa de implantação fornecida pela gestão; piso considerado sem confirmação geométrica.</ns0:t>
        </ns0:is>
      </ns0:c>
      <ns0:c r="AP451" s="94" t="inlineStr">
        <ns0:is>
          <ns0:t>Sim</ns0:t>
        </ns0:is>
      </ns0:c>
      <ns0:c r="AQ451" s="94" t="inlineStr">
        <ns0:is>
          <ns0:t>Olhão</ns0:t>
        </ns0:is>
      </ns0:c>
      <ns0:c r="AR451" s="94" t="inlineStr">
        <ns0:is>
          <ns0:t>BelaFormosa Price List September 2026, p. 1</ns0:t>
        </ns0:is>
      </ns0:c>
    </ns0:row>
    <ns0:row r="452" ht="72" customHeight="1">
      <ns0:c r="A452" s="94" t="inlineStr">
        <ns0:is>
          <ns0:t>BelaFormosa</ns0:t>
        </ns0:is>
      </ns0:c>
      <ns0:c r="B452" s="94" t="inlineStr">
        <ns0:is>
          <ns0:t>RB302</ns0:t>
        </ns0:is>
      </ns0:c>
      <ns0:c r="C452" s="94" t="n">
        <ns0:v>3</ns0:v>
      </ns0:c>
      <ns0:c r="D452" s="94" t="inlineStr">
        <ns0:is>
          <ns0:t>T2</ns0:t>
        </ns0:is>
      </ns0:c>
      <ns0:c r="E452" s="94"/>
      <ns0:c r="F452" s="97" t="n">
        <ns0:v>89.25</ns0:v>
      </ns0:c>
      <ns0:c r="G452" s="97" t="n">
        <ns0:v>18.0</ns0:v>
      </ns0:c>
      <ns0:c r="H452" s="97" t="n">
        <ns0:v>107.25</ns0:v>
      </ns0:c>
      <ns0:c r="I452" s="95" t="n">
        <ns0:v>670000</ns0:v>
      </ns0:c>
      <ns0:c r="J452" s="94" t="n">
        <ns0:v>2026</ns0:v>
      </ns0:c>
      <ns0:c r="K452" s="95" t="n">
        <ns0:v>7507.002801120449</ns0:v>
      </ns0:c>
      <ns0:c r="L452" s="95" t="n">
        <ns0:v>6247.086247086247</ns0:v>
      </ns0:c>
      <ns0:c r="M452" s="94" t="inlineStr">
        <ns0:is>
          <ns0:t>Ativo</ns0:t>
        </ns0:is>
      </ns0:c>
      <ns0:c r="N452" s="94" t="inlineStr">
        <ns0:is>
          <ns0:t>BelaFormosa · Price List September 2026 · p. 5</ns0:t>
        </ns0:is>
      </ns0:c>
      <ns0:c r="O452" s="94"/>
      <ns0:c r="P452" s="94" t="inlineStr">
        <ns0:is>
          <ns0:t>2026-09</ns0:t>
        </ns0:is>
      </ns0:c>
      <ns0:c r="Q452" s="94" t="inlineStr">
        <ns0:is>
          <ns0:t>Premium local</ns0:t>
        </ns0:is>
      </ns0:c>
      <ns0:c r="R452" s="94" t="inlineStr">
        <ns0:is>
          <ns0:t>Nova construção</ns0:t>
        </ns0:is>
      </ns0:c>
      <ns0:c r="S452" s="94"/>
      <ns0:c r="T452" s="94" t="inlineStr">
        <ns0:is>
          <ns0:t>Não incluído no preço; disponibilidade por confirmar</ns0:t>
        </ns0:is>
      </ns0:c>
      <ns0:c r="U452" s="94"/>
      <ns0:c r="V452" s="94"/>
      <ns0:c r="W452" s="97" t="n">
        <ns0:v>0.9</ns0:v>
      </ns0:c>
      <ns0:c r="X452" s="94" t="inlineStr">
        <ns0:is>
          <ns0:t>A · Premium local; vistas estimadas</ns0:t>
        </ns0:is>
      </ns0:c>
      <ns0:c r="Y452" s="94" t="inlineStr">
        <ns0:is>
          <ns0:t>Média</ns0:t>
        </ns0:is>
      </ns0:c>
      <ns0:c r="Z452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52" s="94" t="inlineStr">
        <ns0:is>
          <ns0:t>Confirmar vista, orientação, disponibilidade e condições atuais.</ns0:t>
        </ns0:is>
      </ns0:c>
      <ns0:c r="AB452" s="94" t="inlineStr">
        <ns0:is>
          <ns0:t>Média</ns0:t>
        </ns0:is>
      </ns0:c>
      <ns0:c r="AJ452" s="94" t="inlineStr">
        <ns0:is>
          <ns0:t>RB</ns0:t>
        </ns0:is>
      </ns0:c>
      <ns0:c r="AK452" s="94" t="inlineStr">
        <ns0:is>
          <ns0:t>Convencional</ns0:t>
        </ns0:is>
      </ns0:c>
      <ns0:c r="AL452" s="94" t="n">
        <ns0:v>3</ns0:v>
      </ns0:c>
      <ns0:c r="AM452" s="94" t="n">
        <ns0:v>4</ns0:v>
      </ns0:c>
      <ns0:c r="AN452" s="94" t="inlineStr">
        <ns0:is>
          <ns0:t>Estimada · baixa</ns0:t>
        </ns0:is>
      </ns0:c>
      <ns0:c r="AO452" s="94" t="inlineStr">
        <ns0:is>
          <ns0:t>Estimativa de implantação fornecida pela gestão; piso considerado sem confirmação geométrica.</ns0:t>
        </ns0:is>
      </ns0:c>
      <ns0:c r="AP452" s="94" t="inlineStr">
        <ns0:is>
          <ns0:t>Sim</ns0:t>
        </ns0:is>
      </ns0:c>
      <ns0:c r="AQ452" s="94" t="inlineStr">
        <ns0:is>
          <ns0:t>Olhão</ns0:t>
        </ns0:is>
      </ns0:c>
      <ns0:c r="AR452" s="94" t="inlineStr">
        <ns0:is>
          <ns0:t>BelaFormosa Price List September 2026, p. 1</ns0:t>
        </ns0:is>
      </ns0:c>
    </ns0:row>
    <ns0:row r="453" ht="72" customHeight="1">
      <ns0:c r="A453" s="94" t="inlineStr">
        <ns0:is>
          <ns0:t>BelaFormosa</ns0:t>
        </ns0:is>
      </ns0:c>
      <ns0:c r="B453" s="94" t="inlineStr">
        <ns0:is>
          <ns0:t>RB303</ns0:t>
        </ns0:is>
      </ns0:c>
      <ns0:c r="C453" s="94" t="n">
        <ns0:v>3</ns0:v>
      </ns0:c>
      <ns0:c r="D453" s="94" t="inlineStr">
        <ns0:is>
          <ns0:t>T1</ns0:t>
        </ns0:is>
      </ns0:c>
      <ns0:c r="E453" s="94"/>
      <ns0:c r="F453" s="97" t="n">
        <ns0:v>60.25</ns0:v>
      </ns0:c>
      <ns0:c r="G453" s="97" t="n">
        <ns0:v>12.0</ns0:v>
      </ns0:c>
      <ns0:c r="H453" s="97" t="n">
        <ns0:v>72.25</ns0:v>
      </ns0:c>
      <ns0:c r="I453" s="95" t="n">
        <ns0:v>450000</ns0:v>
      </ns0:c>
      <ns0:c r="J453" s="94" t="n">
        <ns0:v>2026</ns0:v>
      </ns0:c>
      <ns0:c r="K453" s="95" t="n">
        <ns0:v>7468.879668049793</ns0:v>
      </ns0:c>
      <ns0:c r="L453" s="95" t="n">
        <ns0:v>6228.3737024221455</ns0:v>
      </ns0:c>
      <ns0:c r="M453" s="94" t="inlineStr">
        <ns0:is>
          <ns0:t>Ativo</ns0:t>
        </ns0:is>
      </ns0:c>
      <ns0:c r="N453" s="94" t="inlineStr">
        <ns0:is>
          <ns0:t>BelaFormosa · Price List September 2026 · p. 5</ns0:t>
        </ns0:is>
      </ns0:c>
      <ns0:c r="O453" s="94"/>
      <ns0:c r="P453" s="94" t="inlineStr">
        <ns0:is>
          <ns0:t>2026-09</ns0:t>
        </ns0:is>
      </ns0:c>
      <ns0:c r="Q453" s="94" t="inlineStr">
        <ns0:is>
          <ns0:t>Premium local</ns0:t>
        </ns0:is>
      </ns0:c>
      <ns0:c r="R453" s="94" t="inlineStr">
        <ns0:is>
          <ns0:t>Nova construção</ns0:t>
        </ns0:is>
      </ns0:c>
      <ns0:c r="S453" s="94"/>
      <ns0:c r="T453" s="94" t="inlineStr">
        <ns0:is>
          <ns0:t>Não incluído no preço; disponibilidade por confirmar</ns0:t>
        </ns0:is>
      </ns0:c>
      <ns0:c r="U453" s="94"/>
      <ns0:c r="V453" s="94"/>
      <ns0:c r="W453" s="97" t="n">
        <ns0:v>0.9</ns0:v>
      </ns0:c>
      <ns0:c r="X453" s="94" t="inlineStr">
        <ns0:is>
          <ns0:t>A · Premium local; vistas estimadas</ns0:t>
        </ns0:is>
      </ns0:c>
      <ns0:c r="Y453" s="94" t="inlineStr">
        <ns0:is>
          <ns0:t>Média</ns0:t>
        </ns0:is>
      </ns0:c>
      <ns0:c r="Z453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453" s="94" t="inlineStr">
        <ns0:is>
          <ns0:t>Confirmar vista, orientação, disponibilidade e condições atuais.</ns0:t>
        </ns0:is>
      </ns0:c>
      <ns0:c r="AB453" s="94" t="inlineStr">
        <ns0:is>
          <ns0:t>Média</ns0:t>
        </ns0:is>
      </ns0:c>
      <ns0:c r="AJ453" s="94" t="inlineStr">
        <ns0:is>
          <ns0:t>RB</ns0:t>
        </ns0:is>
      </ns0:c>
      <ns0:c r="AK453" s="94" t="inlineStr">
        <ns0:is>
          <ns0:t>Convencional</ns0:t>
        </ns0:is>
      </ns0:c>
      <ns0:c r="AL453" s="94" t="n">
        <ns0:v>3</ns0:v>
      </ns0:c>
      <ns0:c r="AM453" s="94" t="n">
        <ns0:v>4</ns0:v>
      </ns0:c>
      <ns0:c r="AN453" s="94" t="inlineStr">
        <ns0:is>
          <ns0:t>Estimada · baixa</ns0:t>
        </ns0:is>
      </ns0:c>
      <ns0:c r="AO453" s="94" t="inlineStr">
        <ns0:is>
          <ns0:t>Estimativa de implantação fornecida pela gestão; piso considerado sem confirmação geométrica.</ns0:t>
        </ns0:is>
      </ns0:c>
      <ns0:c r="AP453" s="94" t="inlineStr">
        <ns0:is>
          <ns0:t>Sim</ns0:t>
        </ns0:is>
      </ns0:c>
      <ns0:c r="AQ453" s="94" t="inlineStr">
        <ns0:is>
          <ns0:t>Olhão</ns0:t>
        </ns0:is>
      </ns0:c>
      <ns0:c r="AR453" s="94" t="inlineStr">
        <ns0:is>
          <ns0:t>BelaFormosa Price List September 2026, p. 1</ns0:t>
        </ns0:is>
      </ns0:c>
    </ns0:row>
    <ns0:row r="454" ht="72" customHeight="1">
      <ns0:c r="A454" s="94" t="inlineStr">
        <ns0:is>
          <ns0:t>BelaFormosa</ns0:t>
        </ns0:is>
      </ns0:c>
      <ns0:c r="B454" s="94" t="inlineStr">
        <ns0:is>
          <ns0:t>RB304</ns0:t>
        </ns0:is>
      </ns0:c>
      <ns0:c r="C454" s="94" t="n">
        <ns0:v>3</ns0:v>
      </ns0:c>
      <ns0:c r="D454" s="94" t="inlineStr">
        <ns0:is>
          <ns0:t>T1</ns0:t>
        </ns0:is>
      </ns0:c>
      <ns0:c r="E454" s="94"/>
      <ns0:c r="F454" s="97" t="n">
        <ns0:v>60.25</ns0:v>
      </ns0:c>
      <ns0:c r="G454" s="97" t="n">
        <ns0:v>12.0</ns0:v>
      </ns0:c>
      <ns0:c r="H454" s="97" t="n">
        <ns0:v>72.25</ns0:v>
      </ns0:c>
      <ns0:c r="I454" s="95" t="n">
        <ns0:v>455000</ns0:v>
      </ns0:c>
      <ns0:c r="J454" s="94" t="n">
        <ns0:v>2026</ns0:v>
      </ns0:c>
      <ns0:c r="K454" s="95" t="n">
        <ns0:v>7551.867219917012</ns0:v>
      </ns0:c>
      <ns0:c r="L454" s="95" t="n">
        <ns0:v>6297.57785467128</ns0:v>
      </ns0:c>
      <ns0:c r="M454" s="94" t="inlineStr">
        <ns0:is>
          <ns0:t>Ativo</ns0:t>
        </ns0:is>
      </ns0:c>
      <ns0:c r="N454" s="94" t="inlineStr">
        <ns0:is>
          <ns0:t>BelaFormosa · Price List September 2026 · p. 5</ns0:t>
        </ns0:is>
      </ns0:c>
      <ns0:c r="O454" s="94"/>
      <ns0:c r="P454" s="94" t="inlineStr">
        <ns0:is>
          <ns0:t>2026-09</ns0:t>
        </ns0:is>
      </ns0:c>
      <ns0:c r="Q454" s="94" t="inlineStr">
        <ns0:is>
          <ns0:t>Premium local</ns0:t>
        </ns0:is>
      </ns0:c>
      <ns0:c r="R454" s="94" t="inlineStr">
        <ns0:is>
          <ns0:t>Nova construção</ns0:t>
        </ns0:is>
      </ns0:c>
      <ns0:c r="S454" s="94"/>
      <ns0:c r="T454" s="94" t="inlineStr">
        <ns0:is>
          <ns0:t>Não incluído no preço; disponibilidade por confirmar</ns0:t>
        </ns0:is>
      </ns0:c>
      <ns0:c r="U454" s="94"/>
      <ns0:c r="V454" s="94"/>
      <ns0:c r="W454" s="97" t="n">
        <ns0:v>0.9</ns0:v>
      </ns0:c>
      <ns0:c r="X454" s="94" t="inlineStr">
        <ns0:is>
          <ns0:t>A · Premium local; vistas estimadas</ns0:t>
        </ns0:is>
      </ns0:c>
      <ns0:c r="Y454" s="94" t="inlineStr">
        <ns0:is>
          <ns0:t>Média</ns0:t>
        </ns0:is>
      </ns0:c>
      <ns0:c r="Z454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454" s="94" t="inlineStr">
        <ns0:is>
          <ns0:t>Confirmar vista, orientação, disponibilidade e condições atuais.</ns0:t>
        </ns0:is>
      </ns0:c>
      <ns0:c r="AB454" s="94" t="inlineStr">
        <ns0:is>
          <ns0:t>Média</ns0:t>
        </ns0:is>
      </ns0:c>
      <ns0:c r="AJ454" s="94" t="inlineStr">
        <ns0:is>
          <ns0:t>RB</ns0:t>
        </ns0:is>
      </ns0:c>
      <ns0:c r="AK454" s="94" t="inlineStr">
        <ns0:is>
          <ns0:t>Convencional</ns0:t>
        </ns0:is>
      </ns0:c>
      <ns0:c r="AL454" s="94" t="n">
        <ns0:v>3</ns0:v>
      </ns0:c>
      <ns0:c r="AM454" s="94" t="n">
        <ns0:v>4</ns0:v>
      </ns0:c>
      <ns0:c r="AN454" s="94" t="inlineStr">
        <ns0:is>
          <ns0:t>Estimada · baixa</ns0:t>
        </ns0:is>
      </ns0:c>
      <ns0:c r="AO454" s="94" t="inlineStr">
        <ns0:is>
          <ns0:t>Estimativa de implantação fornecida pela gestão; piso considerado sem confirmação geométrica.</ns0:t>
        </ns0:is>
      </ns0:c>
      <ns0:c r="AP454" s="94" t="inlineStr">
        <ns0:is>
          <ns0:t>Sim</ns0:t>
        </ns0:is>
      </ns0:c>
      <ns0:c r="AQ454" s="94" t="inlineStr">
        <ns0:is>
          <ns0:t>Olhão</ns0:t>
        </ns0:is>
      </ns0:c>
      <ns0:c r="AR454" s="94" t="inlineStr">
        <ns0:is>
          <ns0:t>BelaFormosa Price List September 2026, p. 1</ns0:t>
        </ns0:is>
      </ns0:c>
    </ns0:row>
    <ns0:row r="455" ht="72" customHeight="1">
      <ns0:c r="A455" s="94" t="inlineStr">
        <ns0:is>
          <ns0:t>BelaFormosa</ns0:t>
        </ns0:is>
      </ns0:c>
      <ns0:c r="B455" s="94" t="inlineStr">
        <ns0:is>
          <ns0:t>RB305</ns0:t>
        </ns0:is>
      </ns0:c>
      <ns0:c r="C455" s="94" t="n">
        <ns0:v>3</ns0:v>
      </ns0:c>
      <ns0:c r="D455" s="94" t="inlineStr">
        <ns0:is>
          <ns0:t>T2</ns0:t>
        </ns0:is>
      </ns0:c>
      <ns0:c r="E455" s="94"/>
      <ns0:c r="F455" s="97" t="n">
        <ns0:v>89.25</ns0:v>
      </ns0:c>
      <ns0:c r="G455" s="97" t="n">
        <ns0:v>17.5</ns0:v>
      </ns0:c>
      <ns0:c r="H455" s="97" t="n">
        <ns0:v>106.75</ns0:v>
      </ns0:c>
      <ns0:c r="I455" s="95" t="n">
        <ns0:v>670000</ns0:v>
      </ns0:c>
      <ns0:c r="J455" s="94" t="n">
        <ns0:v>2026</ns0:v>
      </ns0:c>
      <ns0:c r="K455" s="95" t="n">
        <ns0:v>7507.002801120449</ns0:v>
      </ns0:c>
      <ns0:c r="L455" s="95" t="n">
        <ns0:v>6276.346604215457</ns0:v>
      </ns0:c>
      <ns0:c r="M455" s="94" t="inlineStr">
        <ns0:is>
          <ns0:t>Ativo</ns0:t>
        </ns0:is>
      </ns0:c>
      <ns0:c r="N455" s="94" t="inlineStr">
        <ns0:is>
          <ns0:t>BelaFormosa · Price List September 2026 · p. 5</ns0:t>
        </ns0:is>
      </ns0:c>
      <ns0:c r="O455" s="94"/>
      <ns0:c r="P455" s="94" t="inlineStr">
        <ns0:is>
          <ns0:t>2026-09</ns0:t>
        </ns0:is>
      </ns0:c>
      <ns0:c r="Q455" s="94" t="inlineStr">
        <ns0:is>
          <ns0:t>Premium local</ns0:t>
        </ns0:is>
      </ns0:c>
      <ns0:c r="R455" s="94" t="inlineStr">
        <ns0:is>
          <ns0:t>Nova construção</ns0:t>
        </ns0:is>
      </ns0:c>
      <ns0:c r="S455" s="94"/>
      <ns0:c r="T455" s="94" t="inlineStr">
        <ns0:is>
          <ns0:t>Não incluído no preço; disponibilidade por confirmar</ns0:t>
        </ns0:is>
      </ns0:c>
      <ns0:c r="U455" s="94"/>
      <ns0:c r="V455" s="94"/>
      <ns0:c r="W455" s="97" t="n">
        <ns0:v>0.9</ns0:v>
      </ns0:c>
      <ns0:c r="X455" s="94" t="inlineStr">
        <ns0:is>
          <ns0:t>A · Premium local; vistas estimadas</ns0:t>
        </ns0:is>
      </ns0:c>
      <ns0:c r="Y455" s="94" t="inlineStr">
        <ns0:is>
          <ns0:t>Média</ns0:t>
        </ns0:is>
      </ns0:c>
      <ns0:c r="Z455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55" s="94" t="inlineStr">
        <ns0:is>
          <ns0:t>Confirmar vista, orientação, disponibilidade e condições atuais.</ns0:t>
        </ns0:is>
      </ns0:c>
      <ns0:c r="AB455" s="94" t="inlineStr">
        <ns0:is>
          <ns0:t>Média</ns0:t>
        </ns0:is>
      </ns0:c>
      <ns0:c r="AJ455" s="94" t="inlineStr">
        <ns0:is>
          <ns0:t>RB</ns0:t>
        </ns0:is>
      </ns0:c>
      <ns0:c r="AK455" s="94" t="inlineStr">
        <ns0:is>
          <ns0:t>Convencional</ns0:t>
        </ns0:is>
      </ns0:c>
      <ns0:c r="AL455" s="94" t="n">
        <ns0:v>3</ns0:v>
      </ns0:c>
      <ns0:c r="AM455" s="94" t="n">
        <ns0:v>4</ns0:v>
      </ns0:c>
      <ns0:c r="AN455" s="94" t="inlineStr">
        <ns0:is>
          <ns0:t>Estimada · baixa</ns0:t>
        </ns0:is>
      </ns0:c>
      <ns0:c r="AO455" s="94" t="inlineStr">
        <ns0:is>
          <ns0:t>Estimativa de implantação fornecida pela gestão; piso considerado sem confirmação geométrica.</ns0:t>
        </ns0:is>
      </ns0:c>
      <ns0:c r="AP455" s="94" t="inlineStr">
        <ns0:is>
          <ns0:t>Sim</ns0:t>
        </ns0:is>
      </ns0:c>
      <ns0:c r="AQ455" s="94" t="inlineStr">
        <ns0:is>
          <ns0:t>Olhão</ns0:t>
        </ns0:is>
      </ns0:c>
      <ns0:c r="AR455" s="94" t="inlineStr">
        <ns0:is>
          <ns0:t>BelaFormosa Price List September 2026, p. 1</ns0:t>
        </ns0:is>
      </ns0:c>
    </ns0:row>
    <ns0:row r="456" ht="72" customHeight="1">
      <ns0:c r="A456" s="94" t="inlineStr">
        <ns0:is>
          <ns0:t>BelaFormosa</ns0:t>
        </ns0:is>
      </ns0:c>
      <ns0:c r="B456" s="94" t="inlineStr">
        <ns0:is>
          <ns0:t>RB306</ns0:t>
        </ns0:is>
      </ns0:c>
      <ns0:c r="C456" s="94" t="n">
        <ns0:v>3</ns0:v>
      </ns0:c>
      <ns0:c r="D456" s="94" t="inlineStr">
        <ns0:is>
          <ns0:t>T2</ns0:t>
        </ns0:is>
      </ns0:c>
      <ns0:c r="E456" s="94"/>
      <ns0:c r="F456" s="97" t="n">
        <ns0:v>89.25</ns0:v>
      </ns0:c>
      <ns0:c r="G456" s="97" t="n">
        <ns0:v>17.5</ns0:v>
      </ns0:c>
      <ns0:c r="H456" s="97" t="n">
        <ns0:v>106.75</ns0:v>
      </ns0:c>
      <ns0:c r="I456" s="95" t="n">
        <ns0:v>765000</ns0:v>
      </ns0:c>
      <ns0:c r="J456" s="94" t="n">
        <ns0:v>2026</ns0:v>
      </ns0:c>
      <ns0:c r="K456" s="95" t="n">
        <ns0:v>8571.42857142857</ns0:v>
      </ns0:c>
      <ns0:c r="L456" s="95" t="n">
        <ns0:v>7166.276346604215</ns0:v>
      </ns0:c>
      <ns0:c r="M456" s="94" t="inlineStr">
        <ns0:is>
          <ns0:t>Ativo</ns0:t>
        </ns0:is>
      </ns0:c>
      <ns0:c r="N456" s="94" t="inlineStr">
        <ns0:is>
          <ns0:t>BelaFormosa · Price List September 2026 · p. 5</ns0:t>
        </ns0:is>
      </ns0:c>
      <ns0:c r="O456" s="94"/>
      <ns0:c r="P456" s="94" t="inlineStr">
        <ns0:is>
          <ns0:t>2026-09</ns0:t>
        </ns0:is>
      </ns0:c>
      <ns0:c r="Q456" s="94" t="inlineStr">
        <ns0:is>
          <ns0:t>Premium local</ns0:t>
        </ns0:is>
      </ns0:c>
      <ns0:c r="R456" s="94" t="inlineStr">
        <ns0:is>
          <ns0:t>Nova construção</ns0:t>
        </ns0:is>
      </ns0:c>
      <ns0:c r="S456" s="94"/>
      <ns0:c r="T456" s="94" t="inlineStr">
        <ns0:is>
          <ns0:t>Não incluído no preço; disponibilidade por confirmar</ns0:t>
        </ns0:is>
      </ns0:c>
      <ns0:c r="U456" s="94"/>
      <ns0:c r="V456" s="94"/>
      <ns0:c r="W456" s="97" t="n">
        <ns0:v>0.9</ns0:v>
      </ns0:c>
      <ns0:c r="X456" s="94" t="inlineStr">
        <ns0:is>
          <ns0:t>A · Premium local; vistas estimadas</ns0:t>
        </ns0:is>
      </ns0:c>
      <ns0:c r="Y456" s="94" t="inlineStr">
        <ns0:is>
          <ns0:t>Média</ns0:t>
        </ns0:is>
      </ns0:c>
      <ns0:c r="Z456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456" s="94" t="inlineStr">
        <ns0:is>
          <ns0:t>Confirmar vista, orientação, disponibilidade e condições atuais.</ns0:t>
        </ns0:is>
      </ns0:c>
      <ns0:c r="AB456" s="94" t="inlineStr">
        <ns0:is>
          <ns0:t>Média</ns0:t>
        </ns0:is>
      </ns0:c>
      <ns0:c r="AJ456" s="94" t="inlineStr">
        <ns0:is>
          <ns0:t>RB</ns0:t>
        </ns0:is>
      </ns0:c>
      <ns0:c r="AK456" s="94" t="inlineStr">
        <ns0:is>
          <ns0:t>Convencional</ns0:t>
        </ns0:is>
      </ns0:c>
      <ns0:c r="AL456" s="94" t="n">
        <ns0:v>2</ns0:v>
      </ns0:c>
      <ns0:c r="AM456" s="94" t="n">
        <ns0:v>3</ns0:v>
      </ns0:c>
      <ns0:c r="AN456" s="94" t="inlineStr">
        <ns0:is>
          <ns0:t>Estimada · baixa</ns0:t>
        </ns0:is>
      </ns0:c>
      <ns0:c r="AO456" s="94" t="inlineStr">
        <ns0:is>
          <ns0:t>Estimativa de implantação fornecida pela gestão; piso considerado sem confirmação geométrica.</ns0:t>
        </ns0:is>
      </ns0:c>
      <ns0:c r="AP456" s="94" t="inlineStr">
        <ns0:is>
          <ns0:t>Sim</ns0:t>
        </ns0:is>
      </ns0:c>
      <ns0:c r="AQ456" s="94" t="inlineStr">
        <ns0:is>
          <ns0:t>Olhão</ns0:t>
        </ns0:is>
      </ns0:c>
      <ns0:c r="AR456" s="94" t="inlineStr">
        <ns0:is>
          <ns0:t>BelaFormosa Price List September 2026, p. 1</ns0:t>
        </ns0:is>
      </ns0:c>
    </ns0:row>
    <ns0:row r="457" ht="72" customHeight="1">
      <ns0:c r="A457" s="94" t="inlineStr">
        <ns0:is>
          <ns0:t>BelaFormosa</ns0:t>
        </ns0:is>
      </ns0:c>
      <ns0:c r="B457" s="94" t="inlineStr">
        <ns0:is>
          <ns0:t>RB307</ns0:t>
        </ns0:is>
      </ns0:c>
      <ns0:c r="C457" s="94" t="n">
        <ns0:v>3</ns0:v>
      </ns0:c>
      <ns0:c r="D457" s="94" t="inlineStr">
        <ns0:is>
          <ns0:t>T1</ns0:t>
        </ns0:is>
      </ns0:c>
      <ns0:c r="E457" s="94"/>
      <ns0:c r="F457" s="97" t="n">
        <ns0:v>60.25</ns0:v>
      </ns0:c>
      <ns0:c r="G457" s="97" t="n">
        <ns0:v>12.0</ns0:v>
      </ns0:c>
      <ns0:c r="H457" s="97" t="n">
        <ns0:v>72.25</ns0:v>
      </ns0:c>
      <ns0:c r="I457" s="95" t="n">
        <ns0:v>505000</ns0:v>
      </ns0:c>
      <ns0:c r="J457" s="94" t="n">
        <ns0:v>2026</ns0:v>
      </ns0:c>
      <ns0:c r="K457" s="95" t="n">
        <ns0:v>8381.742738589212</ns0:v>
      </ns0:c>
      <ns0:c r="L457" s="95" t="n">
        <ns0:v>6989.6193771626295</ns0:v>
      </ns0:c>
      <ns0:c r="M457" s="94" t="inlineStr">
        <ns0:is>
          <ns0:t>Ativo</ns0:t>
        </ns0:is>
      </ns0:c>
      <ns0:c r="N457" s="94" t="inlineStr">
        <ns0:is>
          <ns0:t>BelaFormosa · Price List September 2026 · p. 5</ns0:t>
        </ns0:is>
      </ns0:c>
      <ns0:c r="O457" s="94"/>
      <ns0:c r="P457" s="94" t="inlineStr">
        <ns0:is>
          <ns0:t>2026-09</ns0:t>
        </ns0:is>
      </ns0:c>
      <ns0:c r="Q457" s="94" t="inlineStr">
        <ns0:is>
          <ns0:t>Premium local</ns0:t>
        </ns0:is>
      </ns0:c>
      <ns0:c r="R457" s="94" t="inlineStr">
        <ns0:is>
          <ns0:t>Nova construção</ns0:t>
        </ns0:is>
      </ns0:c>
      <ns0:c r="S457" s="94"/>
      <ns0:c r="T457" s="94" t="inlineStr">
        <ns0:is>
          <ns0:t>Não incluído no preço; disponibilidade por confirmar</ns0:t>
        </ns0:is>
      </ns0:c>
      <ns0:c r="U457" s="94"/>
      <ns0:c r="V457" s="94"/>
      <ns0:c r="W457" s="97" t="n">
        <ns0:v>0.9</ns0:v>
      </ns0:c>
      <ns0:c r="X457" s="94" t="inlineStr">
        <ns0:is>
          <ns0:t>A · Premium local; vistas estimadas</ns0:t>
        </ns0:is>
      </ns0:c>
      <ns0:c r="Y457" s="94" t="inlineStr">
        <ns0:is>
          <ns0:t>Média</ns0:t>
        </ns0:is>
      </ns0:c>
      <ns0:c r="Z457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</ns0:t>
        </ns0:is>
      </ns0:c>
      <ns0:c r="AA457" s="94" t="inlineStr">
        <ns0:is>
          <ns0:t>Confirmar vista, orientação, disponibilidade e condições atuais.</ns0:t>
        </ns0:is>
      </ns0:c>
      <ns0:c r="AB457" s="94" t="inlineStr">
        <ns0:is>
          <ns0:t>Média</ns0:t>
        </ns0:is>
      </ns0:c>
      <ns0:c r="AJ457" s="94" t="inlineStr">
        <ns0:is>
          <ns0:t>RB</ns0:t>
        </ns0:is>
      </ns0:c>
      <ns0:c r="AK457" s="94" t="inlineStr">
        <ns0:is>
          <ns0:t>Convencional</ns0:t>
        </ns0:is>
      </ns0:c>
      <ns0:c r="AL457" s="94" t="n">
        <ns0:v>2</ns0:v>
      </ns0:c>
      <ns0:c r="AM457" s="94" t="n">
        <ns0:v>3</ns0:v>
      </ns0:c>
      <ns0:c r="AN457" s="94" t="inlineStr">
        <ns0:is>
          <ns0:t>Estimada · baixa</ns0:t>
        </ns0:is>
      </ns0:c>
      <ns0:c r="AO457" s="94" t="inlineStr">
        <ns0:is>
          <ns0:t>Estimativa de implantação fornecida pela gestão; piso considerado sem confirmação geométrica.</ns0:t>
        </ns0:is>
      </ns0:c>
      <ns0:c r="AP457" s="94" t="inlineStr">
        <ns0:is>
          <ns0:t>Sim</ns0:t>
        </ns0:is>
      </ns0:c>
      <ns0:c r="AQ457" s="94" t="inlineStr">
        <ns0:is>
          <ns0:t>Olhão</ns0:t>
        </ns0:is>
      </ns0:c>
      <ns0:c r="AR457" s="94" t="inlineStr">
        <ns0:is>
          <ns0:t>BelaFormosa Price List September 2026, p. 1</ns0:t>
        </ns0:is>
      </ns0:c>
    </ns0:row>
    <ns0:row r="458" ht="72" customHeight="1">
      <ns0:c r="A458" s="94" t="inlineStr">
        <ns0:is>
          <ns0:t>BelaFormosa</ns0:t>
        </ns0:is>
      </ns0:c>
      <ns0:c r="B458" s="94" t="inlineStr">
        <ns0:is>
          <ns0:t>RB308</ns0:t>
        </ns0:is>
      </ns0:c>
      <ns0:c r="C458" s="94" t="n">
        <ns0:v>3</ns0:v>
      </ns0:c>
      <ns0:c r="D458" s="94" t="inlineStr">
        <ns0:is>
          <ns0:t>T1</ns0:t>
        </ns0:is>
      </ns0:c>
      <ns0:c r="E458" s="94"/>
      <ns0:c r="F458" s="97" t="n">
        <ns0:v>60.25</ns0:v>
      </ns0:c>
      <ns0:c r="G458" s="97" t="n">
        <ns0:v>12.0</ns0:v>
      </ns0:c>
      <ns0:c r="H458" s="97" t="n">
        <ns0:v>72.25</ns0:v>
      </ns0:c>
      <ns0:c r="I458" s="95" t="n">
        <ns0:v>505000</ns0:v>
      </ns0:c>
      <ns0:c r="J458" s="94" t="n">
        <ns0:v>2026</ns0:v>
      </ns0:c>
      <ns0:c r="K458" s="95" t="n">
        <ns0:v>8381.742738589212</ns0:v>
      </ns0:c>
      <ns0:c r="L458" s="95" t="n">
        <ns0:v>6989.6193771626295</ns0:v>
      </ns0:c>
      <ns0:c r="M458" s="94" t="inlineStr">
        <ns0:is>
          <ns0:t>Ativo</ns0:t>
        </ns0:is>
      </ns0:c>
      <ns0:c r="N458" s="94" t="inlineStr">
        <ns0:is>
          <ns0:t>BelaFormosa · Price List September 2026 · p. 5</ns0:t>
        </ns0:is>
      </ns0:c>
      <ns0:c r="O458" s="94"/>
      <ns0:c r="P458" s="94" t="inlineStr">
        <ns0:is>
          <ns0:t>2026-09</ns0:t>
        </ns0:is>
      </ns0:c>
      <ns0:c r="Q458" s="94" t="inlineStr">
        <ns0:is>
          <ns0:t>Premium local</ns0:t>
        </ns0:is>
      </ns0:c>
      <ns0:c r="R458" s="94" t="inlineStr">
        <ns0:is>
          <ns0:t>Nova construção</ns0:t>
        </ns0:is>
      </ns0:c>
      <ns0:c r="S458" s="94"/>
      <ns0:c r="T458" s="94" t="inlineStr">
        <ns0:is>
          <ns0:t>Não incluído no preço; disponibilidade por confirmar</ns0:t>
        </ns0:is>
      </ns0:c>
      <ns0:c r="U458" s="94"/>
      <ns0:c r="V458" s="94"/>
      <ns0:c r="W458" s="97" t="n">
        <ns0:v>0.9</ns0:v>
      </ns0:c>
      <ns0:c r="X458" s="94" t="inlineStr">
        <ns0:is>
          <ns0:t>A · Premium local; vistas estimadas</ns0:t>
        </ns0:is>
      </ns0:c>
      <ns0:c r="Y458" s="94" t="inlineStr">
        <ns0:is>
          <ns0:t>Média</ns0:t>
        </ns0:is>
      </ns0:c>
      <ns0:c r="Z458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</ns0:t>
        </ns0:is>
      </ns0:c>
      <ns0:c r="AA458" s="94" t="inlineStr">
        <ns0:is>
          <ns0:t>Confirmar vista, orientação, disponibilidade e condições atuais.</ns0:t>
        </ns0:is>
      </ns0:c>
      <ns0:c r="AB458" s="94" t="inlineStr">
        <ns0:is>
          <ns0:t>Média</ns0:t>
        </ns0:is>
      </ns0:c>
      <ns0:c r="AJ458" s="94" t="inlineStr">
        <ns0:is>
          <ns0:t>RB</ns0:t>
        </ns0:is>
      </ns0:c>
      <ns0:c r="AK458" s="94" t="inlineStr">
        <ns0:is>
          <ns0:t>Convencional</ns0:t>
        </ns0:is>
      </ns0:c>
      <ns0:c r="AL458" s="94" t="n">
        <ns0:v>2</ns0:v>
      </ns0:c>
      <ns0:c r="AM458" s="94" t="n">
        <ns0:v>3</ns0:v>
      </ns0:c>
      <ns0:c r="AN458" s="94" t="inlineStr">
        <ns0:is>
          <ns0:t>Estimada · baixa</ns0:t>
        </ns0:is>
      </ns0:c>
      <ns0:c r="AO458" s="94" t="inlineStr">
        <ns0:is>
          <ns0:t>Estimativa de implantação fornecida pela gestão; piso considerado sem confirmação geométrica.</ns0:t>
        </ns0:is>
      </ns0:c>
      <ns0:c r="AP458" s="94" t="inlineStr">
        <ns0:is>
          <ns0:t>Sim</ns0:t>
        </ns0:is>
      </ns0:c>
      <ns0:c r="AQ458" s="94" t="inlineStr">
        <ns0:is>
          <ns0:t>Olhão</ns0:t>
        </ns0:is>
      </ns0:c>
      <ns0:c r="AR458" s="94" t="inlineStr">
        <ns0:is>
          <ns0:t>BelaFormosa Price List September 2026, p. 1</ns0:t>
        </ns0:is>
      </ns0:c>
    </ns0:row>
    <ns0:row r="459" ht="72" customHeight="1">
      <ns0:c r="A459" s="94" t="inlineStr">
        <ns0:is>
          <ns0:t>BelaFormosa</ns0:t>
        </ns0:is>
      </ns0:c>
      <ns0:c r="B459" s="94" t="inlineStr">
        <ns0:is>
          <ns0:t>RB309</ns0:t>
        </ns0:is>
      </ns0:c>
      <ns0:c r="C459" s="94" t="n">
        <ns0:v>3</ns0:v>
      </ns0:c>
      <ns0:c r="D459" s="94" t="inlineStr">
        <ns0:is>
          <ns0:t>T2</ns0:t>
        </ns0:is>
      </ns0:c>
      <ns0:c r="E459" s="94"/>
      <ns0:c r="F459" s="97" t="n">
        <ns0:v>89.25</ns0:v>
      </ns0:c>
      <ns0:c r="G459" s="97" t="n">
        <ns0:v>18.0</ns0:v>
      </ns0:c>
      <ns0:c r="H459" s="97" t="n">
        <ns0:v>107.25</ns0:v>
      </ns0:c>
      <ns0:c r="I459" s="95" t="n">
        <ns0:v>740000</ns0:v>
      </ns0:c>
      <ns0:c r="J459" s="94" t="n">
        <ns0:v>2026</ns0:v>
      </ns0:c>
      <ns0:c r="K459" s="95" t="n">
        <ns0:v>8291.316526610644</ns0:v>
      </ns0:c>
      <ns0:c r="L459" s="95" t="n">
        <ns0:v>6899.7668997669</ns0:v>
      </ns0:c>
      <ns0:c r="M459" s="94" t="inlineStr">
        <ns0:is>
          <ns0:t>Ativo</ns0:t>
        </ns0:is>
      </ns0:c>
      <ns0:c r="N459" s="94" t="inlineStr">
        <ns0:is>
          <ns0:t>BelaFormosa · Price List September 2026 · p. 5</ns0:t>
        </ns0:is>
      </ns0:c>
      <ns0:c r="O459" s="94"/>
      <ns0:c r="P459" s="94" t="inlineStr">
        <ns0:is>
          <ns0:t>2026-09</ns0:t>
        </ns0:is>
      </ns0:c>
      <ns0:c r="Q459" s="94" t="inlineStr">
        <ns0:is>
          <ns0:t>Premium local</ns0:t>
        </ns0:is>
      </ns0:c>
      <ns0:c r="R459" s="94" t="inlineStr">
        <ns0:is>
          <ns0:t>Nova construção</ns0:t>
        </ns0:is>
      </ns0:c>
      <ns0:c r="S459" s="94"/>
      <ns0:c r="T459" s="94" t="inlineStr">
        <ns0:is>
          <ns0:t>Não incluído no preço; disponibilidade por confirmar</ns0:t>
        </ns0:is>
      </ns0:c>
      <ns0:c r="U459" s="94"/>
      <ns0:c r="V459" s="94"/>
      <ns0:c r="W459" s="97" t="n">
        <ns0:v>0.9</ns0:v>
      </ns0:c>
      <ns0:c r="X459" s="94" t="inlineStr">
        <ns0:is>
          <ns0:t>A · Premium local; vistas estimadas</ns0:t>
        </ns0:is>
      </ns0:c>
      <ns0:c r="Y459" s="94" t="inlineStr">
        <ns0:is>
          <ns0:t>Média</ns0:t>
        </ns0:is>
      </ns0:c>
      <ns0:c r="Z459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459" s="94" t="inlineStr">
        <ns0:is>
          <ns0:t>Confirmar vista, orientação, disponibilidade e condições atuais.</ns0:t>
        </ns0:is>
      </ns0:c>
      <ns0:c r="AB459" s="94" t="inlineStr">
        <ns0:is>
          <ns0:t>Média</ns0:t>
        </ns0:is>
      </ns0:c>
      <ns0:c r="AJ459" s="94" t="inlineStr">
        <ns0:is>
          <ns0:t>RB</ns0:t>
        </ns0:is>
      </ns0:c>
      <ns0:c r="AK459" s="94" t="inlineStr">
        <ns0:is>
          <ns0:t>Convencional</ns0:t>
        </ns0:is>
      </ns0:c>
      <ns0:c r="AL459" s="94" t="n">
        <ns0:v>2</ns0:v>
      </ns0:c>
      <ns0:c r="AM459" s="94" t="n">
        <ns0:v>3</ns0:v>
      </ns0:c>
      <ns0:c r="AN459" s="94" t="inlineStr">
        <ns0:is>
          <ns0:t>Estimada · baixa</ns0:t>
        </ns0:is>
      </ns0:c>
      <ns0:c r="AO459" s="94" t="inlineStr">
        <ns0:is>
          <ns0:t>Estimativa de implantação fornecida pela gestão; piso considerado sem confirmação geométrica.</ns0:t>
        </ns0:is>
      </ns0:c>
      <ns0:c r="AP459" s="94" t="inlineStr">
        <ns0:is>
          <ns0:t>Sim</ns0:t>
        </ns0:is>
      </ns0:c>
      <ns0:c r="AQ459" s="94" t="inlineStr">
        <ns0:is>
          <ns0:t>Olhão</ns0:t>
        </ns0:is>
      </ns0:c>
      <ns0:c r="AR459" s="94" t="inlineStr">
        <ns0:is>
          <ns0:t>BelaFormosa Price List September 2026, p. 1</ns0:t>
        </ns0:is>
      </ns0:c>
    </ns0:row>
    <ns0:row r="460" ht="72" customHeight="1">
      <ns0:c r="A460" s="94" t="inlineStr">
        <ns0:is>
          <ns0:t>BelaFormosa</ns0:t>
        </ns0:is>
      </ns0:c>
      <ns0:c r="B460" s="94" t="inlineStr">
        <ns0:is>
          <ns0:t>RB310</ns0:t>
        </ns0:is>
      </ns0:c>
      <ns0:c r="C460" s="94" t="n">
        <ns0:v>3</ns0:v>
      </ns0:c>
      <ns0:c r="D460" s="94" t="inlineStr">
        <ns0:is>
          <ns0:t>T2</ns0:t>
        </ns0:is>
      </ns0:c>
      <ns0:c r="E460" s="94"/>
      <ns0:c r="F460" s="97" t="n">
        <ns0:v>91.0</ns0:v>
      </ns0:c>
      <ns0:c r="G460" s="97" t="n">
        <ns0:v>42.5</ns0:v>
      </ns0:c>
      <ns0:c r="H460" s="97" t="n">
        <ns0:v>133.5</ns0:v>
      </ns0:c>
      <ns0:c r="I460" s="95" t="n">
        <ns0:v>755000</ns0:v>
      </ns0:c>
      <ns0:c r="J460" s="94" t="n">
        <ns0:v>2026</ns0:v>
      </ns0:c>
      <ns0:c r="K460" s="95" t="n">
        <ns0:v>8296.703296703297</ns0:v>
      </ns0:c>
      <ns0:c r="L460" s="95" t="n">
        <ns0:v>5655.4307116104865</ns0:v>
      </ns0:c>
      <ns0:c r="M460" s="94" t="inlineStr">
        <ns0:is>
          <ns0:t>Ativo</ns0:t>
        </ns0:is>
      </ns0:c>
      <ns0:c r="N460" s="94" t="inlineStr">
        <ns0:is>
          <ns0:t>BelaFormosa · Price List September 2026 · p. 5</ns0:t>
        </ns0:is>
      </ns0:c>
      <ns0:c r="O460" s="94"/>
      <ns0:c r="P460" s="94" t="inlineStr">
        <ns0:is>
          <ns0:t>2026-09</ns0:t>
        </ns0:is>
      </ns0:c>
      <ns0:c r="Q460" s="94" t="inlineStr">
        <ns0:is>
          <ns0:t>Premium local</ns0:t>
        </ns0:is>
      </ns0:c>
      <ns0:c r="R460" s="94" t="inlineStr">
        <ns0:is>
          <ns0:t>Nova construção</ns0:t>
        </ns0:is>
      </ns0:c>
      <ns0:c r="S460" s="94"/>
      <ns0:c r="T460" s="94" t="inlineStr">
        <ns0:is>
          <ns0:t>Não incluído no preço; disponibilidade por confirmar</ns0:t>
        </ns0:is>
      </ns0:c>
      <ns0:c r="U460" s="94"/>
      <ns0:c r="V460" s="94"/>
      <ns0:c r="W460" s="97" t="n">
        <ns0:v>0.9</ns0:v>
      </ns0:c>
      <ns0:c r="X460" s="94" t="inlineStr">
        <ns0:is>
          <ns0:t>A · Premium local; vistas estimadas</ns0:t>
        </ns0:is>
      </ns0:c>
      <ns0:c r="Y460" s="94" t="inlineStr">
        <ns0:is>
          <ns0:t>Média</ns0:t>
        </ns0:is>
      </ns0:c>
      <ns0:c r="Z460" s="94" t="inlineStr">
        <ns0:is>
          <ns0:t>Preço pedido, não transação. Garagem/arrecadação não incluídas. Desconto de 5% mencionado na fonte não aplicado automaticamente. Tipologia de planta: J. Posição lateral/retaguarda; intervalo preliminar 3–4, sem confirmação por altura.</ns0:t>
        </ns0:is>
      </ns0:c>
      <ns0:c r="AA460" s="94" t="inlineStr">
        <ns0:is>
          <ns0:t>Confirmar vista, orientação, disponibilidade e condições atuais.</ns0:t>
        </ns0:is>
      </ns0:c>
      <ns0:c r="AB460" s="94" t="inlineStr">
        <ns0:is>
          <ns0:t>Média</ns0:t>
        </ns0:is>
      </ns0:c>
      <ns0:c r="AJ460" s="94" t="inlineStr">
        <ns0:is>
          <ns0:t>RB</ns0:t>
        </ns0:is>
      </ns0:c>
      <ns0:c r="AK460" s="94" t="inlineStr">
        <ns0:is>
          <ns0:t>Convencional</ns0:t>
        </ns0:is>
      </ns0:c>
      <ns0:c r="AL460" s="94" t="n">
        <ns0:v>3</ns0:v>
      </ns0:c>
      <ns0:c r="AM460" s="94" t="n">
        <ns0:v>4</ns0:v>
      </ns0:c>
      <ns0:c r="AN460" s="94" t="inlineStr">
        <ns0:is>
          <ns0:t>Estimada · baixa</ns0:t>
        </ns0:is>
      </ns0:c>
      <ns0:c r="AO460" s="94" t="inlineStr">
        <ns0:is>
          <ns0:t>Estimativa de implantação fornecida pela gestão; piso considerado sem confirmação geométrica.</ns0:t>
        </ns0:is>
      </ns0:c>
      <ns0:c r="AP460" s="94" t="inlineStr">
        <ns0:is>
          <ns0:t>Sim</ns0:t>
        </ns0:is>
      </ns0:c>
      <ns0:c r="AQ460" s="94" t="inlineStr">
        <ns0:is>
          <ns0:t>Olhão</ns0:t>
        </ns0:is>
      </ns0:c>
      <ns0:c r="AR460" s="94" t="inlineStr">
        <ns0:is>
          <ns0:t>BelaFormosa Price List September 2026, p. 1</ns0:t>
        </ns0:is>
      </ns0:c>
    </ns0:row>
    <ns0:row r="461" ht="72" customHeight="1">
      <ns0:c r="A461" s="94" t="inlineStr">
        <ns0:is>
          <ns0:t>BelaFormosa</ns0:t>
        </ns0:is>
      </ns0:c>
      <ns0:c r="B461" s="94" t="inlineStr">
        <ns0:is>
          <ns0:t>RB311</ns0:t>
        </ns0:is>
      </ns0:c>
      <ns0:c r="C461" s="94" t="n">
        <ns0:v>3</ns0:v>
      </ns0:c>
      <ns0:c r="D461" s="94" t="inlineStr">
        <ns0:is>
          <ns0:t>T2</ns0:t>
        </ns0:is>
      </ns0:c>
      <ns0:c r="E461" s="94"/>
      <ns0:c r="F461" s="97" t="n">
        <ns0:v>93.75</ns0:v>
      </ns0:c>
      <ns0:c r="G461" s="97" t="n">
        <ns0:v>19.25</ns0:v>
      </ns0:c>
      <ns0:c r="H461" s="97" t="n">
        <ns0:v>113.0</ns0:v>
      </ns0:c>
      <ns0:c r="I461" s="95" t="n">
        <ns0:v>760000</ns0:v>
      </ns0:c>
      <ns0:c r="J461" s="94" t="n">
        <ns0:v>2026</ns0:v>
      </ns0:c>
      <ns0:c r="K461" s="95" t="n">
        <ns0:v>8106.666666666667</ns0:v>
      </ns0:c>
      <ns0:c r="L461" s="95" t="n">
        <ns0:v>6725.66371681416</ns0:v>
      </ns0:c>
      <ns0:c r="M461" s="94" t="inlineStr">
        <ns0:is>
          <ns0:t>Ativo</ns0:t>
        </ns0:is>
      </ns0:c>
      <ns0:c r="N461" s="94" t="inlineStr">
        <ns0:is>
          <ns0:t>BelaFormosa · Price List September 2026 · p. 5</ns0:t>
        </ns0:is>
      </ns0:c>
      <ns0:c r="O461" s="94"/>
      <ns0:c r="P461" s="94" t="inlineStr">
        <ns0:is>
          <ns0:t>2026-09</ns0:t>
        </ns0:is>
      </ns0:c>
      <ns0:c r="Q461" s="94" t="inlineStr">
        <ns0:is>
          <ns0:t>Premium local</ns0:t>
        </ns0:is>
      </ns0:c>
      <ns0:c r="R461" s="94" t="inlineStr">
        <ns0:is>
          <ns0:t>Nova construção</ns0:t>
        </ns0:is>
      </ns0:c>
      <ns0:c r="S461" s="94"/>
      <ns0:c r="T461" s="94" t="inlineStr">
        <ns0:is>
          <ns0:t>Não incluído no preço; disponibilidade por confirmar</ns0:t>
        </ns0:is>
      </ns0:c>
      <ns0:c r="U461" s="94"/>
      <ns0:c r="V461" s="94"/>
      <ns0:c r="W461" s="97" t="n">
        <ns0:v>0.9</ns0:v>
      </ns0:c>
      <ns0:c r="X461" s="94" t="inlineStr">
        <ns0:is>
          <ns0:t>A · Premium local; vistas estimadas</ns0:t>
        </ns0:is>
      </ns0:c>
      <ns0:c r="Y461" s="94" t="inlineStr">
        <ns0:is>
          <ns0:t>Média</ns0:t>
        </ns0:is>
      </ns0:c>
      <ns0:c r="Z461" s="94" t="inlineStr">
        <ns0:is>
          <ns0:t>Preço pedido, não transação. Garagem/arrecadação não incluídas. Desconto de 5% mencionado na fonte não aplicado automaticamente. Tipologia de planta: E. Posição lateral/retaguarda; intervalo preliminar 3–4, sem confirmação por altura.</ns0:t>
        </ns0:is>
      </ns0:c>
      <ns0:c r="AA461" s="94" t="inlineStr">
        <ns0:is>
          <ns0:t>Confirmar vista, orientação, disponibilidade e condições atuais.</ns0:t>
        </ns0:is>
      </ns0:c>
      <ns0:c r="AB461" s="94" t="inlineStr">
        <ns0:is>
          <ns0:t>Média</ns0:t>
        </ns0:is>
      </ns0:c>
      <ns0:c r="AJ461" s="94" t="inlineStr">
        <ns0:is>
          <ns0:t>RB</ns0:t>
        </ns0:is>
      </ns0:c>
      <ns0:c r="AK461" s="94" t="inlineStr">
        <ns0:is>
          <ns0:t>Convencional</ns0:t>
        </ns0:is>
      </ns0:c>
      <ns0:c r="AL461" s="94" t="n">
        <ns0:v>3</ns0:v>
      </ns0:c>
      <ns0:c r="AM461" s="94" t="n">
        <ns0:v>4</ns0:v>
      </ns0:c>
      <ns0:c r="AN461" s="94" t="inlineStr">
        <ns0:is>
          <ns0:t>Estimada · baixa</ns0:t>
        </ns0:is>
      </ns0:c>
      <ns0:c r="AO461" s="94" t="inlineStr">
        <ns0:is>
          <ns0:t>Estimativa de implantação fornecida pela gestão; piso considerado sem confirmação geométrica.</ns0:t>
        </ns0:is>
      </ns0:c>
      <ns0:c r="AP461" s="94" t="inlineStr">
        <ns0:is>
          <ns0:t>Sim</ns0:t>
        </ns0:is>
      </ns0:c>
      <ns0:c r="AQ461" s="94" t="inlineStr">
        <ns0:is>
          <ns0:t>Olhão</ns0:t>
        </ns0:is>
      </ns0:c>
      <ns0:c r="AR461" s="94" t="inlineStr">
        <ns0:is>
          <ns0:t>BelaFormosa Price List September 2026, p. 1</ns0:t>
        </ns0:is>
      </ns0:c>
    </ns0:row>
    <ns0:row r="462" ht="72" customHeight="1">
      <ns0:c r="A462" s="94" t="inlineStr">
        <ns0:is>
          <ns0:t>BelaFormosa</ns0:t>
        </ns0:is>
      </ns0:c>
      <ns0:c r="B462" s="94" t="inlineStr">
        <ns0:is>
          <ns0:t>RB401</ns0:t>
        </ns0:is>
      </ns0:c>
      <ns0:c r="C462" s="94" t="n">
        <ns0:v>4</ns0:v>
      </ns0:c>
      <ns0:c r="D462" s="94" t="inlineStr">
        <ns0:is>
          <ns0:t>T1</ns0:t>
        </ns0:is>
      </ns0:c>
      <ns0:c r="E462" s="94"/>
      <ns0:c r="F462" s="97" t="n">
        <ns0:v>60.25</ns0:v>
      </ns0:c>
      <ns0:c r="G462" s="97" t="n">
        <ns0:v>70.5</ns0:v>
      </ns0:c>
      <ns0:c r="H462" s="97" t="n">
        <ns0:v>130.75</ns0:v>
      </ns0:c>
      <ns0:c r="I462" s="95" t="n">
        <ns0:v>505000</ns0:v>
      </ns0:c>
      <ns0:c r="J462" s="94" t="n">
        <ns0:v>2026</ns0:v>
      </ns0:c>
      <ns0:c r="K462" s="95" t="n">
        <ns0:v>8381.742738589212</ns0:v>
      </ns0:c>
      <ns0:c r="L462" s="95" t="n">
        <ns0:v>3862.3326959847036</ns0:v>
      </ns0:c>
      <ns0:c r="M462" s="94" t="inlineStr">
        <ns0:is>
          <ns0:t>Reservado</ns0:t>
        </ns0:is>
      </ns0:c>
      <ns0:c r="N462" s="94" t="inlineStr">
        <ns0:is>
          <ns0:t>BelaFormosa · Price List September 2026 · p. 5</ns0:t>
        </ns0:is>
      </ns0:c>
      <ns0:c r="O462" s="94"/>
      <ns0:c r="P462" s="94" t="inlineStr">
        <ns0:is>
          <ns0:t>2026-09</ns0:t>
        </ns0:is>
      </ns0:c>
      <ns0:c r="Q462" s="94" t="inlineStr">
        <ns0:is>
          <ns0:t>Premium local</ns0:t>
        </ns0:is>
      </ns0:c>
      <ns0:c r="R462" s="94" t="inlineStr">
        <ns0:is>
          <ns0:t>Nova construção</ns0:t>
        </ns0:is>
      </ns0:c>
      <ns0:c r="S462" s="94"/>
      <ns0:c r="T462" s="94" t="inlineStr">
        <ns0:is>
          <ns0:t>Não incluído no preço; disponibilidade por confirmar</ns0:t>
        </ns0:is>
      </ns0:c>
      <ns0:c r="U462" s="94"/>
      <ns0:c r="V462" s="94"/>
      <ns0:c r="W462" s="97" t="n">
        <ns0:v>0.9</ns0:v>
      </ns0:c>
      <ns0:c r="X462" s="94" t="inlineStr">
        <ns0:is>
          <ns0:t>A · Premium local; vistas estimadas</ns0:t>
        </ns0:is>
      </ns0:c>
      <ns0:c r="Y462" s="94" t="inlineStr">
        <ns0:is>
          <ns0:t>Média</ns0:t>
        </ns0:is>
      </ns0:c>
      <ns0:c r="Z462" s="94" t="inlineStr">
        <ns0:is>
          <ns0:t>Preço pedido, não transação. Garagem/arrecadação não incluídas. Desconto de 5% mencionado na fonte não aplicado automaticamente. Tipologia de planta: B. Posição lateral/retaguarda; intervalo preliminar 3–4, sem confirmação por altura. Reservado, não vendido. Preço extraído mantido por autorização da gestão; não constitui oferta ativa.</ns0:t>
        </ns0:is>
      </ns0:c>
      <ns0:c r="AA462" s="94" t="inlineStr">
        <ns0:is>
          <ns0:t>Confirmar vista, orientação, disponibilidade e condições atuais.</ns0:t>
        </ns0:is>
      </ns0:c>
      <ns0:c r="AB462" s="94" t="inlineStr">
        <ns0:is>
          <ns0:t>Alta</ns0:t>
        </ns0:is>
      </ns0:c>
      <ns0:c r="AJ462" s="94" t="inlineStr">
        <ns0:is>
          <ns0:t>RB</ns0:t>
        </ns0:is>
      </ns0:c>
      <ns0:c r="AK462" s="94" t="inlineStr">
        <ns0:is>
          <ns0:t>Convencional</ns0:t>
        </ns0:is>
      </ns0:c>
      <ns0:c r="AL462" s="94" t="n">
        <ns0:v>3</ns0:v>
      </ns0:c>
      <ns0:c r="AM462" s="94" t="n">
        <ns0:v>4</ns0:v>
      </ns0:c>
      <ns0:c r="AN462" s="94" t="inlineStr">
        <ns0:is>
          <ns0:t>Estimada · média</ns0:t>
        </ns0:is>
      </ns0:c>
      <ns0:c r="AO462" s="94" t="inlineStr">
        <ns0:is>
          <ns0:t>Estimativa de implantação fornecida pela gestão; piso considerado sem confirmação geométrica.</ns0:t>
        </ns0:is>
      </ns0:c>
      <ns0:c r="AP462" s="94" t="inlineStr">
        <ns0:is>
          <ns0:t>Não · reservado</ns0:t>
        </ns0:is>
      </ns0:c>
      <ns0:c r="AQ462" s="94" t="inlineStr">
        <ns0:is>
          <ns0:t>Olhão</ns0:t>
        </ns0:is>
      </ns0:c>
      <ns0:c r="AR462" s="94" t="inlineStr">
        <ns0:is>
          <ns0:t>BelaFormosa Price List September 2026, p. 1</ns0:t>
        </ns0:is>
      </ns0:c>
    </ns0:row>
    <ns0:row r="463" ht="72" customHeight="1">
      <ns0:c r="A463" s="94" t="inlineStr">
        <ns0:is>
          <ns0:t>BelaFormosa</ns0:t>
        </ns0:is>
      </ns0:c>
      <ns0:c r="B463" s="94" t="inlineStr">
        <ns0:is>
          <ns0:t>RB402</ns0:t>
        </ns0:is>
      </ns0:c>
      <ns0:c r="C463" s="94" t="n">
        <ns0:v>4</ns0:v>
      </ns0:c>
      <ns0:c r="D463" s="94" t="inlineStr">
        <ns0:is>
          <ns0:t>T2</ns0:t>
        </ns0:is>
      </ns0:c>
      <ns0:c r="E463" s="94"/>
      <ns0:c r="F463" s="97" t="n">
        <ns0:v>89.25</ns0:v>
      </ns0:c>
      <ns0:c r="G463" s="97" t="n">
        <ns0:v>18.0</ns0:v>
      </ns0:c>
      <ns0:c r="H463" s="97" t="n">
        <ns0:v>107.25</ns0:v>
      </ns0:c>
      <ns0:c r="I463" s="95" t="n">
        <ns0:v>775000</ns0:v>
      </ns0:c>
      <ns0:c r="J463" s="94" t="n">
        <ns0:v>2026</ns0:v>
      </ns0:c>
      <ns0:c r="K463" s="95" t="n">
        <ns0:v>8683.473389355742</ns0:v>
      </ns0:c>
      <ns0:c r="L463" s="95" t="n">
        <ns0:v>7226.107226107226</ns0:v>
      </ns0:c>
      <ns0:c r="M463" s="94" t="inlineStr">
        <ns0:is>
          <ns0:t>Ativo</ns0:t>
        </ns0:is>
      </ns0:c>
      <ns0:c r="N463" s="94" t="inlineStr">
        <ns0:is>
          <ns0:t>BelaFormosa · Price List September 2026 · p. 5</ns0:t>
        </ns0:is>
      </ns0:c>
      <ns0:c r="O463" s="94"/>
      <ns0:c r="P463" s="94" t="inlineStr">
        <ns0:is>
          <ns0:t>2026-09</ns0:t>
        </ns0:is>
      </ns0:c>
      <ns0:c r="Q463" s="94" t="inlineStr">
        <ns0:is>
          <ns0:t>Premium local</ns0:t>
        </ns0:is>
      </ns0:c>
      <ns0:c r="R463" s="94" t="inlineStr">
        <ns0:is>
          <ns0:t>Nova construção</ns0:t>
        </ns0:is>
      </ns0:c>
      <ns0:c r="S463" s="94"/>
      <ns0:c r="T463" s="94" t="inlineStr">
        <ns0:is>
          <ns0:t>Não incluído no preço; disponibilidade por confirmar</ns0:t>
        </ns0:is>
      </ns0:c>
      <ns0:c r="U463" s="94"/>
      <ns0:c r="V463" s="94"/>
      <ns0:c r="W463" s="97" t="n">
        <ns0:v>0.9</ns0:v>
      </ns0:c>
      <ns0:c r="X463" s="94" t="inlineStr">
        <ns0:is>
          <ns0:t>A · Premium local; vistas estimadas</ns0:t>
        </ns0:is>
      </ns0:c>
      <ns0:c r="Y463" s="94" t="inlineStr">
        <ns0:is>
          <ns0:t>Média</ns0:t>
        </ns0:is>
      </ns0:c>
      <ns0:c r="Z463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63" s="94" t="inlineStr">
        <ns0:is>
          <ns0:t>Confirmar vista, orientação, disponibilidade e condições atuais.</ns0:t>
        </ns0:is>
      </ns0:c>
      <ns0:c r="AB463" s="94" t="inlineStr">
        <ns0:is>
          <ns0:t>Média</ns0:t>
        </ns0:is>
      </ns0:c>
      <ns0:c r="AJ463" s="94" t="inlineStr">
        <ns0:is>
          <ns0:t>RB</ns0:t>
        </ns0:is>
      </ns0:c>
      <ns0:c r="AK463" s="94" t="inlineStr">
        <ns0:is>
          <ns0:t>Convencional</ns0:t>
        </ns0:is>
      </ns0:c>
      <ns0:c r="AL463" s="94" t="n">
        <ns0:v>3</ns0:v>
      </ns0:c>
      <ns0:c r="AM463" s="94" t="n">
        <ns0:v>4</ns0:v>
      </ns0:c>
      <ns0:c r="AN463" s="94" t="inlineStr">
        <ns0:is>
          <ns0:t>Estimada · média</ns0:t>
        </ns0:is>
      </ns0:c>
      <ns0:c r="AO463" s="94" t="inlineStr">
        <ns0:is>
          <ns0:t>Estimativa de implantação fornecida pela gestão; piso considerado sem confirmação geométrica.</ns0:t>
        </ns0:is>
      </ns0:c>
      <ns0:c r="AP463" s="94" t="inlineStr">
        <ns0:is>
          <ns0:t>Sim</ns0:t>
        </ns0:is>
      </ns0:c>
      <ns0:c r="AQ463" s="94" t="inlineStr">
        <ns0:is>
          <ns0:t>Olhão</ns0:t>
        </ns0:is>
      </ns0:c>
      <ns0:c r="AR463" s="94" t="inlineStr">
        <ns0:is>
          <ns0:t>BelaFormosa Price List September 2026, p. 1</ns0:t>
        </ns0:is>
      </ns0:c>
    </ns0:row>
    <ns0:row r="464" ht="72" customHeight="1">
      <ns0:c r="A464" s="94" t="inlineStr">
        <ns0:is>
          <ns0:t>BelaFormosa</ns0:t>
        </ns0:is>
      </ns0:c>
      <ns0:c r="B464" s="94" t="inlineStr">
        <ns0:is>
          <ns0:t>RB403</ns0:t>
        </ns0:is>
      </ns0:c>
      <ns0:c r="C464" s="94" t="n">
        <ns0:v>4</ns0:v>
      </ns0:c>
      <ns0:c r="D464" s="94" t="inlineStr">
        <ns0:is>
          <ns0:t>T1</ns0:t>
        </ns0:is>
      </ns0:c>
      <ns0:c r="E464" s="94"/>
      <ns0:c r="F464" s="97" t="n">
        <ns0:v>60.25</ns0:v>
      </ns0:c>
      <ns0:c r="G464" s="97" t="n">
        <ns0:v>12.0</ns0:v>
      </ns0:c>
      <ns0:c r="H464" s="97" t="n">
        <ns0:v>72.25</ns0:v>
      </ns0:c>
      <ns0:c r="I464" s="95" t="n">
        <ns0:v>505000</ns0:v>
      </ns0:c>
      <ns0:c r="J464" s="94" t="n">
        <ns0:v>2026</ns0:v>
      </ns0:c>
      <ns0:c r="K464" s="95" t="n">
        <ns0:v>8381.742738589212</ns0:v>
      </ns0:c>
      <ns0:c r="L464" s="95" t="n">
        <ns0:v>6989.6193771626295</ns0:v>
      </ns0:c>
      <ns0:c r="M464" s="94" t="inlineStr">
        <ns0:is>
          <ns0:t>Ativo</ns0:t>
        </ns0:is>
      </ns0:c>
      <ns0:c r="N464" s="94" t="inlineStr">
        <ns0:is>
          <ns0:t>BelaFormosa · Price List September 2026 · p. 5</ns0:t>
        </ns0:is>
      </ns0:c>
      <ns0:c r="O464" s="94"/>
      <ns0:c r="P464" s="94" t="inlineStr">
        <ns0:is>
          <ns0:t>2026-09</ns0:t>
        </ns0:is>
      </ns0:c>
      <ns0:c r="Q464" s="94" t="inlineStr">
        <ns0:is>
          <ns0:t>Premium local</ns0:t>
        </ns0:is>
      </ns0:c>
      <ns0:c r="R464" s="94" t="inlineStr">
        <ns0:is>
          <ns0:t>Nova construção</ns0:t>
        </ns0:is>
      </ns0:c>
      <ns0:c r="S464" s="94"/>
      <ns0:c r="T464" s="94" t="inlineStr">
        <ns0:is>
          <ns0:t>Não incluído no preço; disponibilidade por confirmar</ns0:t>
        </ns0:is>
      </ns0:c>
      <ns0:c r="U464" s="94"/>
      <ns0:c r="V464" s="94"/>
      <ns0:c r="W464" s="97" t="n">
        <ns0:v>0.9</ns0:v>
      </ns0:c>
      <ns0:c r="X464" s="94" t="inlineStr">
        <ns0:is>
          <ns0:t>A · Premium local; vistas estimadas</ns0:t>
        </ns0:is>
      </ns0:c>
      <ns0:c r="Y464" s="94" t="inlineStr">
        <ns0:is>
          <ns0:t>Média</ns0:t>
        </ns0:is>
      </ns0:c>
      <ns0:c r="Z464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464" s="94" t="inlineStr">
        <ns0:is>
          <ns0:t>Confirmar vista, orientação, disponibilidade e condições atuais.</ns0:t>
        </ns0:is>
      </ns0:c>
      <ns0:c r="AB464" s="94" t="inlineStr">
        <ns0:is>
          <ns0:t>Média</ns0:t>
        </ns0:is>
      </ns0:c>
      <ns0:c r="AJ464" s="94" t="inlineStr">
        <ns0:is>
          <ns0:t>RB</ns0:t>
        </ns0:is>
      </ns0:c>
      <ns0:c r="AK464" s="94" t="inlineStr">
        <ns0:is>
          <ns0:t>Convencional</ns0:t>
        </ns0:is>
      </ns0:c>
      <ns0:c r="AL464" s="94" t="n">
        <ns0:v>3</ns0:v>
      </ns0:c>
      <ns0:c r="AM464" s="94" t="n">
        <ns0:v>4</ns0:v>
      </ns0:c>
      <ns0:c r="AN464" s="94" t="inlineStr">
        <ns0:is>
          <ns0:t>Estimada · média</ns0:t>
        </ns0:is>
      </ns0:c>
      <ns0:c r="AO464" s="94" t="inlineStr">
        <ns0:is>
          <ns0:t>Estimativa de implantação fornecida pela gestão; piso considerado sem confirmação geométrica.</ns0:t>
        </ns0:is>
      </ns0:c>
      <ns0:c r="AP464" s="94" t="inlineStr">
        <ns0:is>
          <ns0:t>Sim</ns0:t>
        </ns0:is>
      </ns0:c>
      <ns0:c r="AQ464" s="94" t="inlineStr">
        <ns0:is>
          <ns0:t>Olhão</ns0:t>
        </ns0:is>
      </ns0:c>
      <ns0:c r="AR464" s="94" t="inlineStr">
        <ns0:is>
          <ns0:t>BelaFormosa Price List September 2026, p. 1</ns0:t>
        </ns0:is>
      </ns0:c>
    </ns0:row>
    <ns0:row r="465" ht="72" customHeight="1">
      <ns0:c r="A465" s="94" t="inlineStr">
        <ns0:is>
          <ns0:t>BelaFormosa</ns0:t>
        </ns0:is>
      </ns0:c>
      <ns0:c r="B465" s="94" t="inlineStr">
        <ns0:is>
          <ns0:t>RB404</ns0:t>
        </ns0:is>
      </ns0:c>
      <ns0:c r="C465" s="94" t="n">
        <ns0:v>4</ns0:v>
      </ns0:c>
      <ns0:c r="D465" s="94" t="inlineStr">
        <ns0:is>
          <ns0:t>T1</ns0:t>
        </ns0:is>
      </ns0:c>
      <ns0:c r="E465" s="94"/>
      <ns0:c r="F465" s="97" t="n">
        <ns0:v>60.25</ns0:v>
      </ns0:c>
      <ns0:c r="G465" s="97" t="n">
        <ns0:v>12.0</ns0:v>
      </ns0:c>
      <ns0:c r="H465" s="97" t="n">
        <ns0:v>72.25</ns0:v>
      </ns0:c>
      <ns0:c r="I465" s="95" t="n">
        <ns0:v>510000</ns0:v>
      </ns0:c>
      <ns0:c r="J465" s="94" t="n">
        <ns0:v>2026</ns0:v>
      </ns0:c>
      <ns0:c r="K465" s="95" t="n">
        <ns0:v>8464.730290456431</ns0:v>
      </ns0:c>
      <ns0:c r="L465" s="95" t="n">
        <ns0:v>7058.823529411765</ns0:v>
      </ns0:c>
      <ns0:c r="M465" s="94" t="inlineStr">
        <ns0:is>
          <ns0:t>Ativo</ns0:t>
        </ns0:is>
      </ns0:c>
      <ns0:c r="N465" s="94" t="inlineStr">
        <ns0:is>
          <ns0:t>BelaFormosa · Price List September 2026 · p. 5</ns0:t>
        </ns0:is>
      </ns0:c>
      <ns0:c r="O465" s="94"/>
      <ns0:c r="P465" s="94" t="inlineStr">
        <ns0:is>
          <ns0:t>2026-09</ns0:t>
        </ns0:is>
      </ns0:c>
      <ns0:c r="Q465" s="94" t="inlineStr">
        <ns0:is>
          <ns0:t>Premium local</ns0:t>
        </ns0:is>
      </ns0:c>
      <ns0:c r="R465" s="94" t="inlineStr">
        <ns0:is>
          <ns0:t>Nova construção</ns0:t>
        </ns0:is>
      </ns0:c>
      <ns0:c r="S465" s="94"/>
      <ns0:c r="T465" s="94" t="inlineStr">
        <ns0:is>
          <ns0:t>Não incluído no preço; disponibilidade por confirmar</ns0:t>
        </ns0:is>
      </ns0:c>
      <ns0:c r="U465" s="94"/>
      <ns0:c r="V465" s="94"/>
      <ns0:c r="W465" s="97" t="n">
        <ns0:v>0.9</ns0:v>
      </ns0:c>
      <ns0:c r="X465" s="94" t="inlineStr">
        <ns0:is>
          <ns0:t>A · Premium local; vistas estimadas</ns0:t>
        </ns0:is>
      </ns0:c>
      <ns0:c r="Y465" s="94" t="inlineStr">
        <ns0:is>
          <ns0:t>Média</ns0:t>
        </ns0:is>
      </ns0:c>
      <ns0:c r="Z465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465" s="94" t="inlineStr">
        <ns0:is>
          <ns0:t>Confirmar vista, orientação, disponibilidade e condições atuais.</ns0:t>
        </ns0:is>
      </ns0:c>
      <ns0:c r="AB465" s="94" t="inlineStr">
        <ns0:is>
          <ns0:t>Média</ns0:t>
        </ns0:is>
      </ns0:c>
      <ns0:c r="AJ465" s="94" t="inlineStr">
        <ns0:is>
          <ns0:t>RB</ns0:t>
        </ns0:is>
      </ns0:c>
      <ns0:c r="AK465" s="94" t="inlineStr">
        <ns0:is>
          <ns0:t>Convencional</ns0:t>
        </ns0:is>
      </ns0:c>
      <ns0:c r="AL465" s="94" t="n">
        <ns0:v>3</ns0:v>
      </ns0:c>
      <ns0:c r="AM465" s="94" t="n">
        <ns0:v>4</ns0:v>
      </ns0:c>
      <ns0:c r="AN465" s="94" t="inlineStr">
        <ns0:is>
          <ns0:t>Estimada · média</ns0:t>
        </ns0:is>
      </ns0:c>
      <ns0:c r="AO465" s="94" t="inlineStr">
        <ns0:is>
          <ns0:t>Estimativa de implantação fornecida pela gestão; piso considerado sem confirmação geométrica.</ns0:t>
        </ns0:is>
      </ns0:c>
      <ns0:c r="AP465" s="94" t="inlineStr">
        <ns0:is>
          <ns0:t>Sim</ns0:t>
        </ns0:is>
      </ns0:c>
      <ns0:c r="AQ465" s="94" t="inlineStr">
        <ns0:is>
          <ns0:t>Olhão</ns0:t>
        </ns0:is>
      </ns0:c>
      <ns0:c r="AR465" s="94" t="inlineStr">
        <ns0:is>
          <ns0:t>BelaFormosa Price List September 2026, p. 1</ns0:t>
        </ns0:is>
      </ns0:c>
    </ns0:row>
    <ns0:row r="466" ht="72" customHeight="1">
      <ns0:c r="A466" s="94" t="inlineStr">
        <ns0:is>
          <ns0:t>BelaFormosa</ns0:t>
        </ns0:is>
      </ns0:c>
      <ns0:c r="B466" s="94" t="inlineStr">
        <ns0:is>
          <ns0:t>RB405</ns0:t>
        </ns0:is>
      </ns0:c>
      <ns0:c r="C466" s="94" t="n">
        <ns0:v>4</ns0:v>
      </ns0:c>
      <ns0:c r="D466" s="94" t="inlineStr">
        <ns0:is>
          <ns0:t>T2</ns0:t>
        </ns0:is>
      </ns0:c>
      <ns0:c r="E466" s="94"/>
      <ns0:c r="F466" s="97" t="n">
        <ns0:v>89.25</ns0:v>
      </ns0:c>
      <ns0:c r="G466" s="97" t="n">
        <ns0:v>17.5</ns0:v>
      </ns0:c>
      <ns0:c r="H466" s="97" t="n">
        <ns0:v>106.75</ns0:v>
      </ns0:c>
      <ns0:c r="I466" s="95" t="n">
        <ns0:v>800000</ns0:v>
      </ns0:c>
      <ns0:c r="J466" s="94" t="n">
        <ns0:v>2026</ns0:v>
      </ns0:c>
      <ns0:c r="K466" s="95" t="n">
        <ns0:v>8963.58543417367</ns0:v>
      </ns0:c>
      <ns0:c r="L466" s="95" t="n">
        <ns0:v>7494.145199063232</ns0:v>
      </ns0:c>
      <ns0:c r="M466" s="94" t="inlineStr">
        <ns0:is>
          <ns0:t>Ativo</ns0:t>
        </ns0:is>
      </ns0:c>
      <ns0:c r="N466" s="94" t="inlineStr">
        <ns0:is>
          <ns0:t>BelaFormosa · Price List September 2026 · p. 5</ns0:t>
        </ns0:is>
      </ns0:c>
      <ns0:c r="O466" s="94"/>
      <ns0:c r="P466" s="94" t="inlineStr">
        <ns0:is>
          <ns0:t>2026-09</ns0:t>
        </ns0:is>
      </ns0:c>
      <ns0:c r="Q466" s="94" t="inlineStr">
        <ns0:is>
          <ns0:t>Premium local</ns0:t>
        </ns0:is>
      </ns0:c>
      <ns0:c r="R466" s="94" t="inlineStr">
        <ns0:is>
          <ns0:t>Nova construção</ns0:t>
        </ns0:is>
      </ns0:c>
      <ns0:c r="S466" s="94"/>
      <ns0:c r="T466" s="94" t="inlineStr">
        <ns0:is>
          <ns0:t>Não incluído no preço; disponibilidade por confirmar</ns0:t>
        </ns0:is>
      </ns0:c>
      <ns0:c r="U466" s="94"/>
      <ns0:c r="V466" s="94"/>
      <ns0:c r="W466" s="97" t="n">
        <ns0:v>0.9</ns0:v>
      </ns0:c>
      <ns0:c r="X466" s="94" t="inlineStr">
        <ns0:is>
          <ns0:t>A · Premium local; vistas estimadas</ns0:t>
        </ns0:is>
      </ns0:c>
      <ns0:c r="Y466" s="94" t="inlineStr">
        <ns0:is>
          <ns0:t>Média</ns0:t>
        </ns0:is>
      </ns0:c>
      <ns0:c r="Z466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66" s="94" t="inlineStr">
        <ns0:is>
          <ns0:t>Confirmar vista, orientação, disponibilidade e condições atuais.</ns0:t>
        </ns0:is>
      </ns0:c>
      <ns0:c r="AB466" s="94" t="inlineStr">
        <ns0:is>
          <ns0:t>Média</ns0:t>
        </ns0:is>
      </ns0:c>
      <ns0:c r="AJ466" s="94" t="inlineStr">
        <ns0:is>
          <ns0:t>RB</ns0:t>
        </ns0:is>
      </ns0:c>
      <ns0:c r="AK466" s="94" t="inlineStr">
        <ns0:is>
          <ns0:t>Convencional</ns0:t>
        </ns0:is>
      </ns0:c>
      <ns0:c r="AL466" s="94" t="n">
        <ns0:v>3</ns0:v>
      </ns0:c>
      <ns0:c r="AM466" s="94" t="n">
        <ns0:v>4</ns0:v>
      </ns0:c>
      <ns0:c r="AN466" s="94" t="inlineStr">
        <ns0:is>
          <ns0:t>Estimada · média</ns0:t>
        </ns0:is>
      </ns0:c>
      <ns0:c r="AO466" s="94" t="inlineStr">
        <ns0:is>
          <ns0:t>Estimativa de implantação fornecida pela gestão; piso considerado sem confirmação geométrica.</ns0:t>
        </ns0:is>
      </ns0:c>
      <ns0:c r="AP466" s="94" t="inlineStr">
        <ns0:is>
          <ns0:t>Sim</ns0:t>
        </ns0:is>
      </ns0:c>
      <ns0:c r="AQ466" s="94" t="inlineStr">
        <ns0:is>
          <ns0:t>Olhão</ns0:t>
        </ns0:is>
      </ns0:c>
      <ns0:c r="AR466" s="94" t="inlineStr">
        <ns0:is>
          <ns0:t>BelaFormosa Price List September 2026, p. 1</ns0:t>
        </ns0:is>
      </ns0:c>
    </ns0:row>
    <ns0:row r="467" ht="72" customHeight="1">
      <ns0:c r="A467" s="94" t="inlineStr">
        <ns0:is>
          <ns0:t>BelaFormosa</ns0:t>
        </ns0:is>
      </ns0:c>
      <ns0:c r="B467" s="94" t="inlineStr">
        <ns0:is>
          <ns0:t>RB406</ns0:t>
        </ns0:is>
      </ns0:c>
      <ns0:c r="C467" s="94" t="n">
        <ns0:v>4</ns0:v>
      </ns0:c>
      <ns0:c r="D467" s="94" t="inlineStr">
        <ns0:is>
          <ns0:t>T2</ns0:t>
        </ns0:is>
      </ns0:c>
      <ns0:c r="E467" s="94"/>
      <ns0:c r="F467" s="97" t="n">
        <ns0:v>89.25</ns0:v>
      </ns0:c>
      <ns0:c r="G467" s="97" t="n">
        <ns0:v>17.5</ns0:v>
      </ns0:c>
      <ns0:c r="H467" s="97" t="n">
        <ns0:v>106.75</ns0:v>
      </ns0:c>
      <ns0:c r="I467" s="95" t="n">
        <ns0:v>880000</ns0:v>
      </ns0:c>
      <ns0:c r="J467" s="94" t="n">
        <ns0:v>2026</ns0:v>
      </ns0:c>
      <ns0:c r="K467" s="95" t="n">
        <ns0:v>9859.943977591036</ns0:v>
      </ns0:c>
      <ns0:c r="L467" s="95" t="n">
        <ns0:v>8243.559718969555</ns0:v>
      </ns0:c>
      <ns0:c r="M467" s="94" t="inlineStr">
        <ns0:is>
          <ns0:t>Ativo</ns0:t>
        </ns0:is>
      </ns0:c>
      <ns0:c r="N467" s="94" t="inlineStr">
        <ns0:is>
          <ns0:t>BelaFormosa · Price List September 2026 · p. 5</ns0:t>
        </ns0:is>
      </ns0:c>
      <ns0:c r="O467" s="94"/>
      <ns0:c r="P467" s="94" t="inlineStr">
        <ns0:is>
          <ns0:t>2026-09</ns0:t>
        </ns0:is>
      </ns0:c>
      <ns0:c r="Q467" s="94" t="inlineStr">
        <ns0:is>
          <ns0:t>Premium local</ns0:t>
        </ns0:is>
      </ns0:c>
      <ns0:c r="R467" s="94" t="inlineStr">
        <ns0:is>
          <ns0:t>Nova construção</ns0:t>
        </ns0:is>
      </ns0:c>
      <ns0:c r="S467" s="94"/>
      <ns0:c r="T467" s="94" t="inlineStr">
        <ns0:is>
          <ns0:t>Não incluído no preço; disponibilidade por confirmar</ns0:t>
        </ns0:is>
      </ns0:c>
      <ns0:c r="U467" s="94"/>
      <ns0:c r="V467" s="94"/>
      <ns0:c r="W467" s="97" t="n">
        <ns0:v>0.9</ns0:v>
      </ns0:c>
      <ns0:c r="X467" s="94" t="inlineStr">
        <ns0:is>
          <ns0:t>A · Premium local; vistas estimadas</ns0:t>
        </ns0:is>
      </ns0:c>
      <ns0:c r="Y467" s="94" t="inlineStr">
        <ns0:is>
          <ns0:t>Média</ns0:t>
        </ns0:is>
      </ns0:c>
      <ns0:c r="Z467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467" s="94" t="inlineStr">
        <ns0:is>
          <ns0:t>Confirmar vista, orientação, disponibilidade e condições atuais.</ns0:t>
        </ns0:is>
      </ns0:c>
      <ns0:c r="AB467" s="94" t="inlineStr">
        <ns0:is>
          <ns0:t>Média</ns0:t>
        </ns0:is>
      </ns0:c>
      <ns0:c r="AJ467" s="94" t="inlineStr">
        <ns0:is>
          <ns0:t>RB</ns0:t>
        </ns0:is>
      </ns0:c>
      <ns0:c r="AK467" s="94" t="inlineStr">
        <ns0:is>
          <ns0:t>Convencional</ns0:t>
        </ns0:is>
      </ns0:c>
      <ns0:c r="AL467" s="94" t="n">
        <ns0:v>2</ns0:v>
      </ns0:c>
      <ns0:c r="AM467" s="94" t="n">
        <ns0:v>3</ns0:v>
      </ns0:c>
      <ns0:c r="AN467" s="94" t="inlineStr">
        <ns0:is>
          <ns0:t>Estimada · média</ns0:t>
        </ns0:is>
      </ns0:c>
      <ns0:c r="AO467" s="94" t="inlineStr">
        <ns0:is>
          <ns0:t>Estimativa de implantação fornecida pela gestão; piso considerado sem confirmação geométrica.</ns0:t>
        </ns0:is>
      </ns0:c>
      <ns0:c r="AP467" s="94" t="inlineStr">
        <ns0:is>
          <ns0:t>Sim</ns0:t>
        </ns0:is>
      </ns0:c>
      <ns0:c r="AQ467" s="94" t="inlineStr">
        <ns0:is>
          <ns0:t>Olhão</ns0:t>
        </ns0:is>
      </ns0:c>
      <ns0:c r="AR467" s="94" t="inlineStr">
        <ns0:is>
          <ns0:t>BelaFormosa Price List September 2026, p. 1</ns0:t>
        </ns0:is>
      </ns0:c>
    </ns0:row>
    <ns0:row r="468" ht="72" customHeight="1">
      <ns0:c r="A468" s="94" t="inlineStr">
        <ns0:is>
          <ns0:t>BelaFormosa</ns0:t>
        </ns0:is>
      </ns0:c>
      <ns0:c r="B468" s="94" t="inlineStr">
        <ns0:is>
          <ns0:t>RB407</ns0:t>
        </ns0:is>
      </ns0:c>
      <ns0:c r="C468" s="94" t="n">
        <ns0:v>4</ns0:v>
      </ns0:c>
      <ns0:c r="D468" s="94" t="inlineStr">
        <ns0:is>
          <ns0:t>T1</ns0:t>
        </ns0:is>
      </ns0:c>
      <ns0:c r="E468" s="94"/>
      <ns0:c r="F468" s="97" t="n">
        <ns0:v>60.25</ns0:v>
      </ns0:c>
      <ns0:c r="G468" s="97" t="n">
        <ns0:v>12.0</ns0:v>
      </ns0:c>
      <ns0:c r="H468" s="97" t="n">
        <ns0:v>72.25</ns0:v>
      </ns0:c>
      <ns0:c r="I468" s="95" t="n">
        <ns0:v>555000</ns0:v>
      </ns0:c>
      <ns0:c r="J468" s="94" t="n">
        <ns0:v>2026</ns0:v>
      </ns0:c>
      <ns0:c r="K468" s="95" t="n">
        <ns0:v>9211.61825726141</ns0:v>
      </ns0:c>
      <ns0:c r="L468" s="95" t="n">
        <ns0:v>7681.660899653979</ns0:v>
      </ns0:c>
      <ns0:c r="M468" s="94" t="inlineStr">
        <ns0:is>
          <ns0:t>Ativo</ns0:t>
        </ns0:is>
      </ns0:c>
      <ns0:c r="N468" s="94" t="inlineStr">
        <ns0:is>
          <ns0:t>BelaFormosa · Price List September 2026 · p. 5</ns0:t>
        </ns0:is>
      </ns0:c>
      <ns0:c r="O468" s="94"/>
      <ns0:c r="P468" s="94" t="inlineStr">
        <ns0:is>
          <ns0:t>2026-09</ns0:t>
        </ns0:is>
      </ns0:c>
      <ns0:c r="Q468" s="94" t="inlineStr">
        <ns0:is>
          <ns0:t>Premium local</ns0:t>
        </ns0:is>
      </ns0:c>
      <ns0:c r="R468" s="94" t="inlineStr">
        <ns0:is>
          <ns0:t>Nova construção</ns0:t>
        </ns0:is>
      </ns0:c>
      <ns0:c r="S468" s="94"/>
      <ns0:c r="T468" s="94" t="inlineStr">
        <ns0:is>
          <ns0:t>Não incluído no preço; disponibilidade por confirmar</ns0:t>
        </ns0:is>
      </ns0:c>
      <ns0:c r="U468" s="94"/>
      <ns0:c r="V468" s="94"/>
      <ns0:c r="W468" s="97" t="n">
        <ns0:v>0.9</ns0:v>
      </ns0:c>
      <ns0:c r="X468" s="94" t="inlineStr">
        <ns0:is>
          <ns0:t>A · Premium local; vistas estimadas</ns0:t>
        </ns0:is>
      </ns0:c>
      <ns0:c r="Y468" s="94" t="inlineStr">
        <ns0:is>
          <ns0:t>Média</ns0:t>
        </ns0:is>
      </ns0:c>
      <ns0:c r="Z468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</ns0:t>
        </ns0:is>
      </ns0:c>
      <ns0:c r="AA468" s="94" t="inlineStr">
        <ns0:is>
          <ns0:t>Confirmar vista, orientação, disponibilidade e condições atuais.</ns0:t>
        </ns0:is>
      </ns0:c>
      <ns0:c r="AB468" s="94" t="inlineStr">
        <ns0:is>
          <ns0:t>Média</ns0:t>
        </ns0:is>
      </ns0:c>
      <ns0:c r="AJ468" s="94" t="inlineStr">
        <ns0:is>
          <ns0:t>RB</ns0:t>
        </ns0:is>
      </ns0:c>
      <ns0:c r="AK468" s="94" t="inlineStr">
        <ns0:is>
          <ns0:t>Convencional</ns0:t>
        </ns0:is>
      </ns0:c>
      <ns0:c r="AL468" s="94" t="n">
        <ns0:v>2</ns0:v>
      </ns0:c>
      <ns0:c r="AM468" s="94" t="n">
        <ns0:v>3</ns0:v>
      </ns0:c>
      <ns0:c r="AN468" s="94" t="inlineStr">
        <ns0:is>
          <ns0:t>Estimada · média</ns0:t>
        </ns0:is>
      </ns0:c>
      <ns0:c r="AO468" s="94" t="inlineStr">
        <ns0:is>
          <ns0:t>Estimativa de implantação fornecida pela gestão; piso considerado sem confirmação geométrica.</ns0:t>
        </ns0:is>
      </ns0:c>
      <ns0:c r="AP468" s="94" t="inlineStr">
        <ns0:is>
          <ns0:t>Sim</ns0:t>
        </ns0:is>
      </ns0:c>
      <ns0:c r="AQ468" s="94" t="inlineStr">
        <ns0:is>
          <ns0:t>Olhão</ns0:t>
        </ns0:is>
      </ns0:c>
      <ns0:c r="AR468" s="94" t="inlineStr">
        <ns0:is>
          <ns0:t>BelaFormosa Price List September 2026, p. 1</ns0:t>
        </ns0:is>
      </ns0:c>
    </ns0:row>
    <ns0:row r="469" ht="72" customHeight="1">
      <ns0:c r="A469" s="94" t="inlineStr">
        <ns0:is>
          <ns0:t>BelaFormosa</ns0:t>
        </ns0:is>
      </ns0:c>
      <ns0:c r="B469" s="94" t="inlineStr">
        <ns0:is>
          <ns0:t>RB408</ns0:t>
        </ns0:is>
      </ns0:c>
      <ns0:c r="C469" s="94" t="n">
        <ns0:v>4</ns0:v>
      </ns0:c>
      <ns0:c r="D469" s="94" t="inlineStr">
        <ns0:is>
          <ns0:t>T1</ns0:t>
        </ns0:is>
      </ns0:c>
      <ns0:c r="E469" s="94"/>
      <ns0:c r="F469" s="97" t="n">
        <ns0:v>60.25</ns0:v>
      </ns0:c>
      <ns0:c r="G469" s="97" t="n">
        <ns0:v>12.0</ns0:v>
      </ns0:c>
      <ns0:c r="H469" s="97" t="n">
        <ns0:v>72.25</ns0:v>
      </ns0:c>
      <ns0:c r="I469" s="95" t="n">
        <ns0:v>555000</ns0:v>
      </ns0:c>
      <ns0:c r="J469" s="94" t="n">
        <ns0:v>2026</ns0:v>
      </ns0:c>
      <ns0:c r="K469" s="95" t="n">
        <ns0:v>9211.61825726141</ns0:v>
      </ns0:c>
      <ns0:c r="L469" s="95" t="n">
        <ns0:v>7681.660899653979</ns0:v>
      </ns0:c>
      <ns0:c r="M469" s="94" t="inlineStr">
        <ns0:is>
          <ns0:t>Ativo</ns0:t>
        </ns0:is>
      </ns0:c>
      <ns0:c r="N469" s="94" t="inlineStr">
        <ns0:is>
          <ns0:t>BelaFormosa · Price List September 2026 · p. 5</ns0:t>
        </ns0:is>
      </ns0:c>
      <ns0:c r="O469" s="94"/>
      <ns0:c r="P469" s="94" t="inlineStr">
        <ns0:is>
          <ns0:t>2026-09</ns0:t>
        </ns0:is>
      </ns0:c>
      <ns0:c r="Q469" s="94" t="inlineStr">
        <ns0:is>
          <ns0:t>Premium local</ns0:t>
        </ns0:is>
      </ns0:c>
      <ns0:c r="R469" s="94" t="inlineStr">
        <ns0:is>
          <ns0:t>Nova construção</ns0:t>
        </ns0:is>
      </ns0:c>
      <ns0:c r="S469" s="94"/>
      <ns0:c r="T469" s="94" t="inlineStr">
        <ns0:is>
          <ns0:t>Não incluído no preço; disponibilidade por confirmar</ns0:t>
        </ns0:is>
      </ns0:c>
      <ns0:c r="U469" s="94"/>
      <ns0:c r="V469" s="94"/>
      <ns0:c r="W469" s="97" t="n">
        <ns0:v>0.9</ns0:v>
      </ns0:c>
      <ns0:c r="X469" s="94" t="inlineStr">
        <ns0:is>
          <ns0:t>A · Premium local; vistas estimadas</ns0:t>
        </ns0:is>
      </ns0:c>
      <ns0:c r="Y469" s="94" t="inlineStr">
        <ns0:is>
          <ns0:t>Média</ns0:t>
        </ns0:is>
      </ns0:c>
      <ns0:c r="Z469" s="94" t="inlineStr">
        <ns0:is>
          <ns0:t>Preço pedido, não transação. Garagem/arrecadação não incluídas. Desconto de 5% mencionado na fonte não aplicado automaticamente. Tipologia de planta: B. Posição posterior 6–9; intervalo preliminar 2–3, sem confirmação por altura.</ns0:t>
        </ns0:is>
      </ns0:c>
      <ns0:c r="AA469" s="94" t="inlineStr">
        <ns0:is>
          <ns0:t>Confirmar vista, orientação, disponibilidade e condições atuais.</ns0:t>
        </ns0:is>
      </ns0:c>
      <ns0:c r="AB469" s="94" t="inlineStr">
        <ns0:is>
          <ns0:t>Média</ns0:t>
        </ns0:is>
      </ns0:c>
      <ns0:c r="AJ469" s="94" t="inlineStr">
        <ns0:is>
          <ns0:t>RB</ns0:t>
        </ns0:is>
      </ns0:c>
      <ns0:c r="AK469" s="94" t="inlineStr">
        <ns0:is>
          <ns0:t>Convencional</ns0:t>
        </ns0:is>
      </ns0:c>
      <ns0:c r="AL469" s="94" t="n">
        <ns0:v>2</ns0:v>
      </ns0:c>
      <ns0:c r="AM469" s="94" t="n">
        <ns0:v>3</ns0:v>
      </ns0:c>
      <ns0:c r="AN469" s="94" t="inlineStr">
        <ns0:is>
          <ns0:t>Estimada · média</ns0:t>
        </ns0:is>
      </ns0:c>
      <ns0:c r="AO469" s="94" t="inlineStr">
        <ns0:is>
          <ns0:t>Estimativa de implantação fornecida pela gestão; piso considerado sem confirmação geométrica.</ns0:t>
        </ns0:is>
      </ns0:c>
      <ns0:c r="AP469" s="94" t="inlineStr">
        <ns0:is>
          <ns0:t>Sim</ns0:t>
        </ns0:is>
      </ns0:c>
      <ns0:c r="AQ469" s="94" t="inlineStr">
        <ns0:is>
          <ns0:t>Olhão</ns0:t>
        </ns0:is>
      </ns0:c>
      <ns0:c r="AR469" s="94" t="inlineStr">
        <ns0:is>
          <ns0:t>BelaFormosa Price List September 2026, p. 1</ns0:t>
        </ns0:is>
      </ns0:c>
    </ns0:row>
    <ns0:row r="470" ht="72" customHeight="1">
      <ns0:c r="A470" s="94" t="inlineStr">
        <ns0:is>
          <ns0:t>BelaFormosa</ns0:t>
        </ns0:is>
      </ns0:c>
      <ns0:c r="B470" s="94" t="inlineStr">
        <ns0:is>
          <ns0:t>RB409</ns0:t>
        </ns0:is>
      </ns0:c>
      <ns0:c r="C470" s="94" t="n">
        <ns0:v>4</ns0:v>
      </ns0:c>
      <ns0:c r="D470" s="94" t="inlineStr">
        <ns0:is>
          <ns0:t>T2</ns0:t>
        </ns0:is>
      </ns0:c>
      <ns0:c r="E470" s="94"/>
      <ns0:c r="F470" s="97" t="n">
        <ns0:v>89.25</ns0:v>
      </ns0:c>
      <ns0:c r="G470" s="97" t="n">
        <ns0:v>18.0</ns0:v>
      </ns0:c>
      <ns0:c r="H470" s="97" t="n">
        <ns0:v>107.25</ns0:v>
      </ns0:c>
      <ns0:c r="I470" s="95" t="n">
        <ns0:v>840000</ns0:v>
      </ns0:c>
      <ns0:c r="J470" s="94" t="n">
        <ns0:v>2026</ns0:v>
      </ns0:c>
      <ns0:c r="K470" s="95" t="n">
        <ns0:v>9411.764705882353</ns0:v>
      </ns0:c>
      <ns0:c r="L470" s="95" t="n">
        <ns0:v>7832.167832167832</ns0:v>
      </ns0:c>
      <ns0:c r="M470" s="94" t="inlineStr">
        <ns0:is>
          <ns0:t>Ativo</ns0:t>
        </ns0:is>
      </ns0:c>
      <ns0:c r="N470" s="94" t="inlineStr">
        <ns0:is>
          <ns0:t>BelaFormosa · Price List September 2026 · p. 5</ns0:t>
        </ns0:is>
      </ns0:c>
      <ns0:c r="O470" s="94"/>
      <ns0:c r="P470" s="94" t="inlineStr">
        <ns0:is>
          <ns0:t>2026-09</ns0:t>
        </ns0:is>
      </ns0:c>
      <ns0:c r="Q470" s="94" t="inlineStr">
        <ns0:is>
          <ns0:t>Premium local</ns0:t>
        </ns0:is>
      </ns0:c>
      <ns0:c r="R470" s="94" t="inlineStr">
        <ns0:is>
          <ns0:t>Nova construção</ns0:t>
        </ns0:is>
      </ns0:c>
      <ns0:c r="S470" s="94"/>
      <ns0:c r="T470" s="94" t="inlineStr">
        <ns0:is>
          <ns0:t>Não incluído no preço; disponibilidade por confirmar</ns0:t>
        </ns0:is>
      </ns0:c>
      <ns0:c r="U470" s="94"/>
      <ns0:c r="V470" s="94"/>
      <ns0:c r="W470" s="97" t="n">
        <ns0:v>0.9</ns0:v>
      </ns0:c>
      <ns0:c r="X470" s="94" t="inlineStr">
        <ns0:is>
          <ns0:t>A · Premium local; vistas estimadas</ns0:t>
        </ns0:is>
      </ns0:c>
      <ns0:c r="Y470" s="94" t="inlineStr">
        <ns0:is>
          <ns0:t>Média</ns0:t>
        </ns0:is>
      </ns0:c>
      <ns0:c r="Z470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470" s="94" t="inlineStr">
        <ns0:is>
          <ns0:t>Confirmar vista, orientação, disponibilidade e condições atuais.</ns0:t>
        </ns0:is>
      </ns0:c>
      <ns0:c r="AB470" s="94" t="inlineStr">
        <ns0:is>
          <ns0:t>Média</ns0:t>
        </ns0:is>
      </ns0:c>
      <ns0:c r="AJ470" s="94" t="inlineStr">
        <ns0:is>
          <ns0:t>RB</ns0:t>
        </ns0:is>
      </ns0:c>
      <ns0:c r="AK470" s="94" t="inlineStr">
        <ns0:is>
          <ns0:t>Convencional</ns0:t>
        </ns0:is>
      </ns0:c>
      <ns0:c r="AL470" s="94" t="n">
        <ns0:v>2</ns0:v>
      </ns0:c>
      <ns0:c r="AM470" s="94" t="n">
        <ns0:v>3</ns0:v>
      </ns0:c>
      <ns0:c r="AN470" s="94" t="inlineStr">
        <ns0:is>
          <ns0:t>Estimada · média</ns0:t>
        </ns0:is>
      </ns0:c>
      <ns0:c r="AO470" s="94" t="inlineStr">
        <ns0:is>
          <ns0:t>Estimativa de implantação fornecida pela gestão; piso considerado sem confirmação geométrica.</ns0:t>
        </ns0:is>
      </ns0:c>
      <ns0:c r="AP470" s="94" t="inlineStr">
        <ns0:is>
          <ns0:t>Sim</ns0:t>
        </ns0:is>
      </ns0:c>
      <ns0:c r="AQ470" s="94" t="inlineStr">
        <ns0:is>
          <ns0:t>Olhão</ns0:t>
        </ns0:is>
      </ns0:c>
      <ns0:c r="AR470" s="94" t="inlineStr">
        <ns0:is>
          <ns0:t>BelaFormosa Price List September 2026, p. 1</ns0:t>
        </ns0:is>
      </ns0:c>
    </ns0:row>
    <ns0:row r="471" ht="72" customHeight="1">
      <ns0:c r="A471" s="94" t="inlineStr">
        <ns0:is>
          <ns0:t>BelaFormosa</ns0:t>
        </ns0:is>
      </ns0:c>
      <ns0:c r="B471" s="94" t="inlineStr">
        <ns0:is>
          <ns0:t>RB410</ns0:t>
        </ns0:is>
      </ns0:c>
      <ns0:c r="C471" s="94" t="n">
        <ns0:v>4</ns0:v>
      </ns0:c>
      <ns0:c r="D471" s="94" t="inlineStr">
        <ns0:is>
          <ns0:t>T1</ns0:t>
        </ns0:is>
      </ns0:c>
      <ns0:c r="E471" s="94"/>
      <ns0:c r="F471" s="97" t="n">
        <ns0:v>60.25</ns0:v>
      </ns0:c>
      <ns0:c r="G471" s="97" t="n">
        <ns0:v>70.5</ns0:v>
      </ns0:c>
      <ns0:c r="H471" s="97" t="n">
        <ns0:v>130.75</ns0:v>
      </ns0:c>
      <ns0:c r="I471" s="95" t="n">
        <ns0:v>565000</ns0:v>
      </ns0:c>
      <ns0:c r="J471" s="94" t="n">
        <ns0:v>2026</ns0:v>
      </ns0:c>
      <ns0:c r="K471" s="95" t="n">
        <ns0:v>9377.59336099585</ns0:v>
      </ns0:c>
      <ns0:c r="L471" s="95" t="n">
        <ns0:v>4321.223709369025</ns0:v>
      </ns0:c>
      <ns0:c r="M471" s="94" t="inlineStr">
        <ns0:is>
          <ns0:t>Ativo</ns0:t>
        </ns0:is>
      </ns0:c>
      <ns0:c r="N471" s="94" t="inlineStr">
        <ns0:is>
          <ns0:t>BelaFormosa · Price List September 2026 · p. 5</ns0:t>
        </ns0:is>
      </ns0:c>
      <ns0:c r="O471" s="94"/>
      <ns0:c r="P471" s="94" t="inlineStr">
        <ns0:is>
          <ns0:t>2026-09</ns0:t>
        </ns0:is>
      </ns0:c>
      <ns0:c r="Q471" s="94" t="inlineStr">
        <ns0:is>
          <ns0:t>Premium local</ns0:t>
        </ns0:is>
      </ns0:c>
      <ns0:c r="R471" s="94" t="inlineStr">
        <ns0:is>
          <ns0:t>Nova construção</ns0:t>
        </ns0:is>
      </ns0:c>
      <ns0:c r="S471" s="94"/>
      <ns0:c r="T471" s="94" t="inlineStr">
        <ns0:is>
          <ns0:t>Não incluído no preço; disponibilidade por confirmar</ns0:t>
        </ns0:is>
      </ns0:c>
      <ns0:c r="U471" s="94"/>
      <ns0:c r="V471" s="94"/>
      <ns0:c r="W471" s="97" t="n">
        <ns0:v>0.9</ns0:v>
      </ns0:c>
      <ns0:c r="X471" s="94" t="inlineStr">
        <ns0:is>
          <ns0:t>A · Premium local; vistas estimadas</ns0:t>
        </ns0:is>
      </ns0:c>
      <ns0:c r="Y471" s="94" t="inlineStr">
        <ns0:is>
          <ns0:t>Média</ns0:t>
        </ns0:is>
      </ns0:c>
      <ns0:c r="Z471" s="94" t="inlineStr">
        <ns0:is>
          <ns0:t>Preço pedido, não transação. Garagem/arrecadação não incluídas. Desconto de 5% mencionado na fonte não aplicado automaticamente. Tipologia de planta: B. Posição lateral/retaguarda; intervalo preliminar 3–4, sem confirmação por altura.</ns0:t>
        </ns0:is>
      </ns0:c>
      <ns0:c r="AA471" s="94" t="inlineStr">
        <ns0:is>
          <ns0:t>Confirmar vista, orientação, disponibilidade e condições atuais.</ns0:t>
        </ns0:is>
      </ns0:c>
      <ns0:c r="AB471" s="94" t="inlineStr">
        <ns0:is>
          <ns0:t>Média</ns0:t>
        </ns0:is>
      </ns0:c>
      <ns0:c r="AJ471" s="94" t="inlineStr">
        <ns0:is>
          <ns0:t>RB</ns0:t>
        </ns0:is>
      </ns0:c>
      <ns0:c r="AK471" s="94" t="inlineStr">
        <ns0:is>
          <ns0:t>Convencional</ns0:t>
        </ns0:is>
      </ns0:c>
      <ns0:c r="AL471" s="94" t="n">
        <ns0:v>3</ns0:v>
      </ns0:c>
      <ns0:c r="AM471" s="94" t="n">
        <ns0:v>4</ns0:v>
      </ns0:c>
      <ns0:c r="AN471" s="94" t="inlineStr">
        <ns0:is>
          <ns0:t>Estimada · média</ns0:t>
        </ns0:is>
      </ns0:c>
      <ns0:c r="AO471" s="94" t="inlineStr">
        <ns0:is>
          <ns0:t>Estimativa de implantação fornecida pela gestão; piso considerado sem confirmação geométrica.</ns0:t>
        </ns0:is>
      </ns0:c>
      <ns0:c r="AP471" s="94" t="inlineStr">
        <ns0:is>
          <ns0:t>Sim</ns0:t>
        </ns0:is>
      </ns0:c>
      <ns0:c r="AQ471" s="94" t="inlineStr">
        <ns0:is>
          <ns0:t>Olhão</ns0:t>
        </ns0:is>
      </ns0:c>
      <ns0:c r="AR471" s="94" t="inlineStr">
        <ns0:is>
          <ns0:t>BelaFormosa Price List September 2026, p. 1</ns0:t>
        </ns0:is>
      </ns0:c>
    </ns0:row>
    <ns0:row r="472" ht="72" customHeight="1">
      <ns0:c r="A472" s="94" t="inlineStr">
        <ns0:is>
          <ns0:t>BelaFormosa</ns0:t>
        </ns0:is>
      </ns0:c>
      <ns0:c r="B472" s="94" t="inlineStr">
        <ns0:is>
          <ns0:t>RB411</ns0:t>
        </ns0:is>
      </ns0:c>
      <ns0:c r="C472" s="94" t="n">
        <ns0:v>4</ns0:v>
      </ns0:c>
      <ns0:c r="D472" s="94" t="inlineStr">
        <ns0:is>
          <ns0:t>T2 Rooftop</ns0:t>
        </ns0:is>
      </ns0:c>
      <ns0:c r="E472" s="94"/>
      <ns0:c r="F472" s="97" t="n">
        <ns0:v>93.75</ns0:v>
      </ns0:c>
      <ns0:c r="G472" s="97" t="n">
        <ns0:v>107.75</ns0:v>
      </ns0:c>
      <ns0:c r="H472" s="97" t="n">
        <ns0:v>201.5</ns0:v>
      </ns0:c>
      <ns0:c r="I472" s="95" t="n">
        <ns0:v>1120000</ns0:v>
      </ns0:c>
      <ns0:c r="J472" s="94" t="n">
        <ns0:v>2026</ns0:v>
      </ns0:c>
      <ns0:c r="K472" s="95" t="n">
        <ns0:v>11946.666666666666</ns0:v>
      </ns0:c>
      <ns0:c r="L472" s="95" t="n">
        <ns0:v>5558.312655086848</ns0:v>
      </ns0:c>
      <ns0:c r="M472" s="94" t="inlineStr">
        <ns0:is>
          <ns0:t>Ativo</ns0:t>
        </ns0:is>
      </ns0:c>
      <ns0:c r="N472" s="94" t="inlineStr">
        <ns0:is>
          <ns0:t>BelaFormosa · Price List September 2026 · p. 5</ns0:t>
        </ns0:is>
      </ns0:c>
      <ns0:c r="O472" s="94"/>
      <ns0:c r="P472" s="94" t="inlineStr">
        <ns0:is>
          <ns0:t>2026-09</ns0:t>
        </ns0:is>
      </ns0:c>
      <ns0:c r="Q472" s="94" t="inlineStr">
        <ns0:is>
          <ns0:t>Premium local</ns0:t>
        </ns0:is>
      </ns0:c>
      <ns0:c r="R472" s="94" t="inlineStr">
        <ns0:is>
          <ns0:t>Nova construção</ns0:t>
        </ns0:is>
      </ns0:c>
      <ns0:c r="S472" s="94"/>
      <ns0:c r="T472" s="94" t="inlineStr">
        <ns0:is>
          <ns0:t>Não incluído no preço; disponibilidade por confirmar</ns0:t>
        </ns0:is>
      </ns0:c>
      <ns0:c r="U472" s="94"/>
      <ns0:c r="V472" s="94"/>
      <ns0:c r="W472" s="97" t="n">
        <ns0:v>0.9</ns0:v>
      </ns0:c>
      <ns0:c r="X472" s="94" t="inlineStr">
        <ns0:is>
          <ns0:t>A · Premium local; vistas estimadas</ns0:t>
        </ns0:is>
      </ns0:c>
      <ns0:c r="Y472" s="94" t="inlineStr">
        <ns0:is>
          <ns0:t>Média</ns0:t>
        </ns0:is>
      </ns0:c>
      <ns0:c r="Z472" s="94" t="inlineStr">
        <ns0:is>
          <ns0:t>Preço pedido, não transação. Garagem/arrecadação não incluídas. Desconto de 5% mencionado na fonte não aplicado automaticamente. Tipologia de planta: E. Posição lateral/retaguarda; intervalo preliminar 3–4, sem confirmação por altura.</ns0:t>
        </ns0:is>
      </ns0:c>
      <ns0:c r="AA472" s="94" t="inlineStr">
        <ns0:is>
          <ns0:t>Confirmar vista, orientação, disponibilidade e condições atuais.</ns0:t>
        </ns0:is>
      </ns0:c>
      <ns0:c r="AB472" s="94" t="inlineStr">
        <ns0:is>
          <ns0:t>Média</ns0:t>
        </ns0:is>
      </ns0:c>
      <ns0:c r="AJ472" s="94" t="inlineStr">
        <ns0:is>
          <ns0:t>RB</ns0:t>
        </ns0:is>
      </ns0:c>
      <ns0:c r="AK472" s="94" t="inlineStr">
        <ns0:is>
          <ns0:t>Rooftop</ns0:t>
        </ns0:is>
      </ns0:c>
      <ns0:c r="AL472" s="94" t="n">
        <ns0:v>3</ns0:v>
      </ns0:c>
      <ns0:c r="AM472" s="94" t="n">
        <ns0:v>4</ns0:v>
      </ns0:c>
      <ns0:c r="AN472" s="94" t="inlineStr">
        <ns0:is>
          <ns0:t>Estimada · média</ns0:t>
        </ns0:is>
      </ns0:c>
      <ns0:c r="AO472" s="94" t="inlineStr">
        <ns0:is>
          <ns0:t>Estimativa de implantação fornecida pela gestão; piso considerado sem confirmação geométrica.</ns0:t>
        </ns0:is>
      </ns0:c>
      <ns0:c r="AP472" s="94" t="inlineStr">
        <ns0:is>
          <ns0:t>Sim</ns0:t>
        </ns0:is>
      </ns0:c>
      <ns0:c r="AQ472" s="94" t="inlineStr">
        <ns0:is>
          <ns0:t>Olhão</ns0:t>
        </ns0:is>
      </ns0:c>
      <ns0:c r="AR472" s="94" t="inlineStr">
        <ns0:is>
          <ns0:t>BelaFormosa Price List September 2026, p. 1</ns0:t>
        </ns0:is>
      </ns0:c>
    </ns0:row>
    <ns0:row r="473" ht="72" customHeight="1">
      <ns0:c r="A473" s="94" t="inlineStr">
        <ns0:is>
          <ns0:t>BelaFormosa</ns0:t>
        </ns0:is>
      </ns0:c>
      <ns0:c r="B473" s="94" t="inlineStr">
        <ns0:is>
          <ns0:t>RB501</ns0:t>
        </ns0:is>
      </ns0:c>
      <ns0:c r="C473" s="94" t="n">
        <ns0:v>5</ns0:v>
      </ns0:c>
      <ns0:c r="D473" s="94" t="inlineStr">
        <ns0:is>
          <ns0:t>T2 Duplex</ns0:t>
        </ns0:is>
      </ns0:c>
      <ns0:c r="E473" s="94"/>
      <ns0:c r="F473" s="97" t="n">
        <ns0:v>120.0</ns0:v>
      </ns0:c>
      <ns0:c r="G473" s="97" t="n">
        <ns0:v>170.75</ns0:v>
      </ns0:c>
      <ns0:c r="H473" s="97" t="n">
        <ns0:v>290.75</ns0:v>
      </ns0:c>
      <ns0:c r="I473" s="95" t="n">
        <ns0:v>1550000</ns0:v>
      </ns0:c>
      <ns0:c r="J473" s="94" t="n">
        <ns0:v>2026</ns0:v>
      </ns0:c>
      <ns0:c r="K473" s="95" t="n">
        <ns0:v>12916.666666666666</ns0:v>
      </ns0:c>
      <ns0:c r="L473" s="95" t="n">
        <ns0:v>5331.04041272571</ns0:v>
      </ns0:c>
      <ns0:c r="M473" s="94" t="inlineStr">
        <ns0:is>
          <ns0:t>Ativo</ns0:t>
        </ns0:is>
      </ns0:c>
      <ns0:c r="N473" s="94" t="inlineStr">
        <ns0:is>
          <ns0:t>BelaFormosa · Price List September 2026 · p. 5</ns0:t>
        </ns0:is>
      </ns0:c>
      <ns0:c r="O473" s="94"/>
      <ns0:c r="P473" s="94" t="inlineStr">
        <ns0:is>
          <ns0:t>2026-09</ns0:t>
        </ns0:is>
      </ns0:c>
      <ns0:c r="Q473" s="94" t="inlineStr">
        <ns0:is>
          <ns0:t>Premium local</ns0:t>
        </ns0:is>
      </ns0:c>
      <ns0:c r="R473" s="94" t="inlineStr">
        <ns0:is>
          <ns0:t>Nova construção</ns0:t>
        </ns0:is>
      </ns0:c>
      <ns0:c r="S473" s="94"/>
      <ns0:c r="T473" s="94" t="inlineStr">
        <ns0:is>
          <ns0:t>Não incluído no preço; disponibilidade por confirmar</ns0:t>
        </ns0:is>
      </ns0:c>
      <ns0:c r="U473" s="94"/>
      <ns0:c r="V473" s="94"/>
      <ns0:c r="W473" s="97" t="n">
        <ns0:v>0.9</ns0:v>
      </ns0:c>
      <ns0:c r="X473" s="94" t="inlineStr">
        <ns0:is>
          <ns0:t>A · Premium local; vistas estimadas</ns0:t>
        </ns0:is>
      </ns0:c>
      <ns0:c r="Y473" s="94" t="inlineStr">
        <ns0:is>
          <ns0:t>Média</ns0:t>
        </ns0:is>
      </ns0:c>
      <ns0:c r="Z473" s="94" t="inlineStr">
        <ns0:is>
          <ns0:t>Preço pedido, não transação. Garagem/arrecadação não incluídas. Desconto de 5% mencionado na fonte não aplicado automaticamente. Tipologia de planta: A. Posição lateral/retaguarda; intervalo preliminar 3–4, sem confirmação por altura.</ns0:t>
        </ns0:is>
      </ns0:c>
      <ns0:c r="AA473" s="94" t="inlineStr">
        <ns0:is>
          <ns0:t>Confirmar vista, orientação, disponibilidade e condições atuais.</ns0:t>
        </ns0:is>
      </ns0:c>
      <ns0:c r="AB473" s="94" t="inlineStr">
        <ns0:is>
          <ns0:t>Média</ns0:t>
        </ns0:is>
      </ns0:c>
      <ns0:c r="AJ473" s="94" t="inlineStr">
        <ns0:is>
          <ns0:t>RB</ns0:t>
        </ns0:is>
      </ns0:c>
      <ns0:c r="AK473" s="94" t="inlineStr">
        <ns0:is>
          <ns0:t>Duplex</ns0:t>
        </ns0:is>
      </ns0:c>
      <ns0:c r="AL473" s="94" t="n">
        <ns0:v>3</ns0:v>
      </ns0:c>
      <ns0:c r="AM473" s="94" t="n">
        <ns0:v>4</ns0:v>
      </ns0:c>
      <ns0:c r="AN473" s="94" t="inlineStr">
        <ns0:is>
          <ns0:t>Estimada · média</ns0:t>
        </ns0:is>
      </ns0:c>
      <ns0:c r="AO473" s="94" t="inlineStr">
        <ns0:is>
          <ns0:t>Estimativa de implantação fornecida pela gestão; piso considerado sem confirmação geométrica.</ns0:t>
        </ns0:is>
      </ns0:c>
      <ns0:c r="AP473" s="94" t="inlineStr">
        <ns0:is>
          <ns0:t>Sim</ns0:t>
        </ns0:is>
      </ns0:c>
      <ns0:c r="AQ473" s="94" t="inlineStr">
        <ns0:is>
          <ns0:t>Olhão</ns0:t>
        </ns0:is>
      </ns0:c>
      <ns0:c r="AR473" s="94" t="inlineStr">
        <ns0:is>
          <ns0:t>BelaFormosa Price List September 2026, p. 1</ns0:t>
        </ns0:is>
      </ns0:c>
    </ns0:row>
    <ns0:row r="474" ht="72" customHeight="1">
      <ns0:c r="A474" s="94" t="inlineStr">
        <ns0:is>
          <ns0:t>BelaFormosa</ns0:t>
        </ns0:is>
      </ns0:c>
      <ns0:c r="B474" s="94" t="inlineStr">
        <ns0:is>
          <ns0:t>RB502</ns0:t>
        </ns0:is>
      </ns0:c>
      <ns0:c r="C474" s="94" t="n">
        <ns0:v>5</ns0:v>
      </ns0:c>
      <ns0:c r="D474" s="94" t="inlineStr">
        <ns0:is>
          <ns0:t>T2</ns0:t>
        </ns0:is>
      </ns0:c>
      <ns0:c r="E474" s="94"/>
      <ns0:c r="F474" s="97" t="n">
        <ns0:v>89.25</ns0:v>
      </ns0:c>
      <ns0:c r="G474" s="97" t="n">
        <ns0:v>18.0</ns0:v>
      </ns0:c>
      <ns0:c r="H474" s="97" t="n">
        <ns0:v>107.25</ns0:v>
      </ns0:c>
      <ns0:c r="I474" s="95" t="n">
        <ns0:v>895000</ns0:v>
      </ns0:c>
      <ns0:c r="J474" s="94" t="n">
        <ns0:v>2026</ns0:v>
      </ns0:c>
      <ns0:c r="K474" s="95" t="n">
        <ns0:v>10028.011204481792</ns0:v>
      </ns0:c>
      <ns0:c r="L474" s="95" t="n">
        <ns0:v>8344.988344988345</ns0:v>
      </ns0:c>
      <ns0:c r="M474" s="94" t="inlineStr">
        <ns0:is>
          <ns0:t>Ativo</ns0:t>
        </ns0:is>
      </ns0:c>
      <ns0:c r="N474" s="94" t="inlineStr">
        <ns0:is>
          <ns0:t>BelaFormosa · Price List September 2026 · p. 5</ns0:t>
        </ns0:is>
      </ns0:c>
      <ns0:c r="O474" s="94"/>
      <ns0:c r="P474" s="94" t="inlineStr">
        <ns0:is>
          <ns0:t>2026-09</ns0:t>
        </ns0:is>
      </ns0:c>
      <ns0:c r="Q474" s="94" t="inlineStr">
        <ns0:is>
          <ns0:t>Premium local</ns0:t>
        </ns0:is>
      </ns0:c>
      <ns0:c r="R474" s="94" t="inlineStr">
        <ns0:is>
          <ns0:t>Nova construção</ns0:t>
        </ns0:is>
      </ns0:c>
      <ns0:c r="S474" s="94"/>
      <ns0:c r="T474" s="94" t="inlineStr">
        <ns0:is>
          <ns0:t>Não incluído no preço; disponibilidade por confirmar</ns0:t>
        </ns0:is>
      </ns0:c>
      <ns0:c r="U474" s="94"/>
      <ns0:c r="V474" s="94"/>
      <ns0:c r="W474" s="97" t="n">
        <ns0:v>0.9</ns0:v>
      </ns0:c>
      <ns0:c r="X474" s="94" t="inlineStr">
        <ns0:is>
          <ns0:t>A · Premium local; vistas estimadas</ns0:t>
        </ns0:is>
      </ns0:c>
      <ns0:c r="Y474" s="94" t="inlineStr">
        <ns0:is>
          <ns0:t>Média</ns0:t>
        </ns0:is>
      </ns0:c>
      <ns0:c r="Z474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74" s="94" t="inlineStr">
        <ns0:is>
          <ns0:t>Confirmar vista, orientação, disponibilidade e condições atuais.</ns0:t>
        </ns0:is>
      </ns0:c>
      <ns0:c r="AB474" s="94" t="inlineStr">
        <ns0:is>
          <ns0:t>Média</ns0:t>
        </ns0:is>
      </ns0:c>
      <ns0:c r="AJ474" s="94" t="inlineStr">
        <ns0:is>
          <ns0:t>RB</ns0:t>
        </ns0:is>
      </ns0:c>
      <ns0:c r="AK474" s="94" t="inlineStr">
        <ns0:is>
          <ns0:t>Convencional</ns0:t>
        </ns0:is>
      </ns0:c>
      <ns0:c r="AL474" s="94" t="n">
        <ns0:v>3</ns0:v>
      </ns0:c>
      <ns0:c r="AM474" s="94" t="n">
        <ns0:v>4</ns0:v>
      </ns0:c>
      <ns0:c r="AN474" s="94" t="inlineStr">
        <ns0:is>
          <ns0:t>Estimada · média</ns0:t>
        </ns0:is>
      </ns0:c>
      <ns0:c r="AO474" s="94" t="inlineStr">
        <ns0:is>
          <ns0:t>Estimativa de implantação fornecida pela gestão; piso considerado sem confirmação geométrica.</ns0:t>
        </ns0:is>
      </ns0:c>
      <ns0:c r="AP474" s="94" t="inlineStr">
        <ns0:is>
          <ns0:t>Sim</ns0:t>
        </ns0:is>
      </ns0:c>
      <ns0:c r="AQ474" s="94" t="inlineStr">
        <ns0:is>
          <ns0:t>Olhão</ns0:t>
        </ns0:is>
      </ns0:c>
      <ns0:c r="AR474" s="94" t="inlineStr">
        <ns0:is>
          <ns0:t>BelaFormosa Price List September 2026, p. 1</ns0:t>
        </ns0:is>
      </ns0:c>
    </ns0:row>
    <ns0:row r="475" ht="72" customHeight="1">
      <ns0:c r="A475" s="94" t="inlineStr">
        <ns0:is>
          <ns0:t>BelaFormosa</ns0:t>
        </ns0:is>
      </ns0:c>
      <ns0:c r="B475" s="94" t="inlineStr">
        <ns0:is>
          <ns0:t>RB503</ns0:t>
        </ns0:is>
      </ns0:c>
      <ns0:c r="C475" s="94" t="n">
        <ns0:v>5</ns0:v>
      </ns0:c>
      <ns0:c r="D475" s="94" t="inlineStr">
        <ns0:is>
          <ns0:t>T1</ns0:t>
        </ns0:is>
      </ns0:c>
      <ns0:c r="E475" s="94"/>
      <ns0:c r="F475" s="97" t="n">
        <ns0:v>60.25</ns0:v>
      </ns0:c>
      <ns0:c r="G475" s="97" t="n">
        <ns0:v>12.0</ns0:v>
      </ns0:c>
      <ns0:c r="H475" s="97" t="n">
        <ns0:v>72.25</ns0:v>
      </ns0:c>
      <ns0:c r="I475" s="95" t="n">
        <ns0:v>585000</ns0:v>
      </ns0:c>
      <ns0:c r="J475" s="94" t="n">
        <ns0:v>2026</ns0:v>
      </ns0:c>
      <ns0:c r="K475" s="95" t="n">
        <ns0:v>9709.543568464731</ns0:v>
      </ns0:c>
      <ns0:c r="L475" s="95" t="n">
        <ns0:v>8096.885813148789</ns0:v>
      </ns0:c>
      <ns0:c r="M475" s="94" t="inlineStr">
        <ns0:is>
          <ns0:t>Ativo</ns0:t>
        </ns0:is>
      </ns0:c>
      <ns0:c r="N475" s="94" t="inlineStr">
        <ns0:is>
          <ns0:t>BelaFormosa · Price List September 2026 · p. 5</ns0:t>
        </ns0:is>
      </ns0:c>
      <ns0:c r="O475" s="94"/>
      <ns0:c r="P475" s="94" t="inlineStr">
        <ns0:is>
          <ns0:t>2026-09</ns0:t>
        </ns0:is>
      </ns0:c>
      <ns0:c r="Q475" s="94" t="inlineStr">
        <ns0:is>
          <ns0:t>Premium local</ns0:t>
        </ns0:is>
      </ns0:c>
      <ns0:c r="R475" s="94" t="inlineStr">
        <ns0:is>
          <ns0:t>Nova construção</ns0:t>
        </ns0:is>
      </ns0:c>
      <ns0:c r="S475" s="94"/>
      <ns0:c r="T475" s="94" t="inlineStr">
        <ns0:is>
          <ns0:t>Não incluído no preço; disponibilidade por confirmar</ns0:t>
        </ns0:is>
      </ns0:c>
      <ns0:c r="U475" s="94"/>
      <ns0:c r="V475" s="94"/>
      <ns0:c r="W475" s="97" t="n">
        <ns0:v>0.9</ns0:v>
      </ns0:c>
      <ns0:c r="X475" s="94" t="inlineStr">
        <ns0:is>
          <ns0:t>A · Premium local; vistas estimadas</ns0:t>
        </ns0:is>
      </ns0:c>
      <ns0:c r="Y475" s="94" t="inlineStr">
        <ns0:is>
          <ns0:t>Média</ns0:t>
        </ns0:is>
      </ns0:c>
      <ns0:c r="Z475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475" s="94" t="inlineStr">
        <ns0:is>
          <ns0:t>Confirmar vista, orientação, disponibilidade e condições atuais.</ns0:t>
        </ns0:is>
      </ns0:c>
      <ns0:c r="AB475" s="94" t="inlineStr">
        <ns0:is>
          <ns0:t>Média</ns0:t>
        </ns0:is>
      </ns0:c>
      <ns0:c r="AJ475" s="94" t="inlineStr">
        <ns0:is>
          <ns0:t>RB</ns0:t>
        </ns0:is>
      </ns0:c>
      <ns0:c r="AK475" s="94" t="inlineStr">
        <ns0:is>
          <ns0:t>Convencional</ns0:t>
        </ns0:is>
      </ns0:c>
      <ns0:c r="AL475" s="94" t="n">
        <ns0:v>3</ns0:v>
      </ns0:c>
      <ns0:c r="AM475" s="94" t="n">
        <ns0:v>4</ns0:v>
      </ns0:c>
      <ns0:c r="AN475" s="94" t="inlineStr">
        <ns0:is>
          <ns0:t>Estimada · média</ns0:t>
        </ns0:is>
      </ns0:c>
      <ns0:c r="AO475" s="94" t="inlineStr">
        <ns0:is>
          <ns0:t>Estimativa de implantação fornecida pela gestão; piso considerado sem confirmação geométrica.</ns0:t>
        </ns0:is>
      </ns0:c>
      <ns0:c r="AP475" s="94" t="inlineStr">
        <ns0:is>
          <ns0:t>Sim</ns0:t>
        </ns0:is>
      </ns0:c>
      <ns0:c r="AQ475" s="94" t="inlineStr">
        <ns0:is>
          <ns0:t>Olhão</ns0:t>
        </ns0:is>
      </ns0:c>
      <ns0:c r="AR475" s="94" t="inlineStr">
        <ns0:is>
          <ns0:t>BelaFormosa Price List September 2026, p. 1</ns0:t>
        </ns0:is>
      </ns0:c>
    </ns0:row>
    <ns0:row r="476" ht="72" customHeight="1">
      <ns0:c r="A476" s="94" t="inlineStr">
        <ns0:is>
          <ns0:t>BelaFormosa</ns0:t>
        </ns0:is>
      </ns0:c>
      <ns0:c r="B476" s="94" t="inlineStr">
        <ns0:is>
          <ns0:t>RB504</ns0:t>
        </ns0:is>
      </ns0:c>
      <ns0:c r="C476" s="94" t="n">
        <ns0:v>5</ns0:v>
      </ns0:c>
      <ns0:c r="D476" s="94" t="inlineStr">
        <ns0:is>
          <ns0:t>T1</ns0:t>
        </ns0:is>
      </ns0:c>
      <ns0:c r="E476" s="94"/>
      <ns0:c r="F476" s="97" t="n">
        <ns0:v>60.25</ns0:v>
      </ns0:c>
      <ns0:c r="G476" s="97" t="n">
        <ns0:v>12.0</ns0:v>
      </ns0:c>
      <ns0:c r="H476" s="97" t="n">
        <ns0:v>72.25</ns0:v>
      </ns0:c>
      <ns0:c r="I476" s="95" t="n">
        <ns0:v>575000</ns0:v>
      </ns0:c>
      <ns0:c r="J476" s="94" t="n">
        <ns0:v>2026</ns0:v>
      </ns0:c>
      <ns0:c r="K476" s="95" t="n">
        <ns0:v>9543.56846473029</ns0:v>
      </ns0:c>
      <ns0:c r="L476" s="95" t="n">
        <ns0:v>7958.477508650519</ns0:v>
      </ns0:c>
      <ns0:c r="M476" s="94" t="inlineStr">
        <ns0:is>
          <ns0:t>Ativo</ns0:t>
        </ns0:is>
      </ns0:c>
      <ns0:c r="N476" s="94" t="inlineStr">
        <ns0:is>
          <ns0:t>BelaFormosa · Price List September 2026 · p. 5</ns0:t>
        </ns0:is>
      </ns0:c>
      <ns0:c r="O476" s="94"/>
      <ns0:c r="P476" s="94" t="inlineStr">
        <ns0:is>
          <ns0:t>2026-09</ns0:t>
        </ns0:is>
      </ns0:c>
      <ns0:c r="Q476" s="94" t="inlineStr">
        <ns0:is>
          <ns0:t>Premium local</ns0:t>
        </ns0:is>
      </ns0:c>
      <ns0:c r="R476" s="94" t="inlineStr">
        <ns0:is>
          <ns0:t>Nova construção</ns0:t>
        </ns0:is>
      </ns0:c>
      <ns0:c r="S476" s="94"/>
      <ns0:c r="T476" s="94" t="inlineStr">
        <ns0:is>
          <ns0:t>Não incluído no preço; disponibilidade por confirmar</ns0:t>
        </ns0:is>
      </ns0:c>
      <ns0:c r="U476" s="94"/>
      <ns0:c r="V476" s="94"/>
      <ns0:c r="W476" s="97" t="n">
        <ns0:v>0.9</ns0:v>
      </ns0:c>
      <ns0:c r="X476" s="94" t="inlineStr">
        <ns0:is>
          <ns0:t>A · Premium local; vistas estimadas</ns0:t>
        </ns0:is>
      </ns0:c>
      <ns0:c r="Y476" s="94" t="inlineStr">
        <ns0:is>
          <ns0:t>Média</ns0:t>
        </ns0:is>
      </ns0:c>
      <ns0:c r="Z476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476" s="94" t="inlineStr">
        <ns0:is>
          <ns0:t>Confirmar vista, orientação, disponibilidade e condições atuais.</ns0:t>
        </ns0:is>
      </ns0:c>
      <ns0:c r="AB476" s="94" t="inlineStr">
        <ns0:is>
          <ns0:t>Média</ns0:t>
        </ns0:is>
      </ns0:c>
      <ns0:c r="AJ476" s="94" t="inlineStr">
        <ns0:is>
          <ns0:t>RB</ns0:t>
        </ns0:is>
      </ns0:c>
      <ns0:c r="AK476" s="94" t="inlineStr">
        <ns0:is>
          <ns0:t>Convencional</ns0:t>
        </ns0:is>
      </ns0:c>
      <ns0:c r="AL476" s="94" t="n">
        <ns0:v>3</ns0:v>
      </ns0:c>
      <ns0:c r="AM476" s="94" t="n">
        <ns0:v>4</ns0:v>
      </ns0:c>
      <ns0:c r="AN476" s="94" t="inlineStr">
        <ns0:is>
          <ns0:t>Estimada · média</ns0:t>
        </ns0:is>
      </ns0:c>
      <ns0:c r="AO476" s="94" t="inlineStr">
        <ns0:is>
          <ns0:t>Estimativa de implantação fornecida pela gestão; piso considerado sem confirmação geométrica.</ns0:t>
        </ns0:is>
      </ns0:c>
      <ns0:c r="AP476" s="94" t="inlineStr">
        <ns0:is>
          <ns0:t>Sim</ns0:t>
        </ns0:is>
      </ns0:c>
      <ns0:c r="AQ476" s="94" t="inlineStr">
        <ns0:is>
          <ns0:t>Olhão</ns0:t>
        </ns0:is>
      </ns0:c>
      <ns0:c r="AR476" s="94" t="inlineStr">
        <ns0:is>
          <ns0:t>BelaFormosa Price List September 2026, p. 1</ns0:t>
        </ns0:is>
      </ns0:c>
    </ns0:row>
    <ns0:row r="477" ht="72" customHeight="1">
      <ns0:c r="A477" s="94" t="inlineStr">
        <ns0:is>
          <ns0:t>BelaFormosa</ns0:t>
        </ns0:is>
      </ns0:c>
      <ns0:c r="B477" s="94" t="inlineStr">
        <ns0:is>
          <ns0:t>RB505</ns0:t>
        </ns0:is>
      </ns0:c>
      <ns0:c r="C477" s="94" t="n">
        <ns0:v>5</ns0:v>
      </ns0:c>
      <ns0:c r="D477" s="94" t="inlineStr">
        <ns0:is>
          <ns0:t>T2</ns0:t>
        </ns0:is>
      </ns0:c>
      <ns0:c r="E477" s="94"/>
      <ns0:c r="F477" s="97" t="n">
        <ns0:v>89.25</ns0:v>
      </ns0:c>
      <ns0:c r="G477" s="97" t="n">
        <ns0:v>17.5</ns0:v>
      </ns0:c>
      <ns0:c r="H477" s="97" t="n">
        <ns0:v>106.75</ns0:v>
      </ns0:c>
      <ns0:c r="I477" s="95" t="n">
        <ns0:v>905000</ns0:v>
      </ns0:c>
      <ns0:c r="J477" s="94" t="n">
        <ns0:v>2026</ns0:v>
      </ns0:c>
      <ns0:c r="K477" s="95" t="n">
        <ns0:v>10140.056022408964</ns0:v>
      </ns0:c>
      <ns0:c r="L477" s="95" t="n">
        <ns0:v>8477.75175644028</ns0:v>
      </ns0:c>
      <ns0:c r="M477" s="94" t="inlineStr">
        <ns0:is>
          <ns0:t>Ativo</ns0:t>
        </ns0:is>
      </ns0:c>
      <ns0:c r="N477" s="94" t="inlineStr">
        <ns0:is>
          <ns0:t>BelaFormosa · Price List September 2026 · p. 5</ns0:t>
        </ns0:is>
      </ns0:c>
      <ns0:c r="O477" s="94"/>
      <ns0:c r="P477" s="94" t="inlineStr">
        <ns0:is>
          <ns0:t>2026-09</ns0:t>
        </ns0:is>
      </ns0:c>
      <ns0:c r="Q477" s="94" t="inlineStr">
        <ns0:is>
          <ns0:t>Premium local</ns0:t>
        </ns0:is>
      </ns0:c>
      <ns0:c r="R477" s="94" t="inlineStr">
        <ns0:is>
          <ns0:t>Nova construção</ns0:t>
        </ns0:is>
      </ns0:c>
      <ns0:c r="S477" s="94"/>
      <ns0:c r="T477" s="94" t="inlineStr">
        <ns0:is>
          <ns0:t>Não incluído no preço; disponibilidade por confirmar</ns0:t>
        </ns0:is>
      </ns0:c>
      <ns0:c r="U477" s="94"/>
      <ns0:c r="V477" s="94"/>
      <ns0:c r="W477" s="97" t="n">
        <ns0:v>0.9</ns0:v>
      </ns0:c>
      <ns0:c r="X477" s="94" t="inlineStr">
        <ns0:is>
          <ns0:t>A · Premium local; vistas estimadas</ns0:t>
        </ns0:is>
      </ns0:c>
      <ns0:c r="Y477" s="94" t="inlineStr">
        <ns0:is>
          <ns0:t>Média</ns0:t>
        </ns0:is>
      </ns0:c>
      <ns0:c r="Z477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77" s="94" t="inlineStr">
        <ns0:is>
          <ns0:t>Confirmar vista, orientação, disponibilidade e condições atuais.</ns0:t>
        </ns0:is>
      </ns0:c>
      <ns0:c r="AB477" s="94" t="inlineStr">
        <ns0:is>
          <ns0:t>Média</ns0:t>
        </ns0:is>
      </ns0:c>
      <ns0:c r="AJ477" s="94" t="inlineStr">
        <ns0:is>
          <ns0:t>RB</ns0:t>
        </ns0:is>
      </ns0:c>
      <ns0:c r="AK477" s="94" t="inlineStr">
        <ns0:is>
          <ns0:t>Convencional</ns0:t>
        </ns0:is>
      </ns0:c>
      <ns0:c r="AL477" s="94" t="n">
        <ns0:v>3</ns0:v>
      </ns0:c>
      <ns0:c r="AM477" s="94" t="n">
        <ns0:v>4</ns0:v>
      </ns0:c>
      <ns0:c r="AN477" s="94" t="inlineStr">
        <ns0:is>
          <ns0:t>Estimada · média</ns0:t>
        </ns0:is>
      </ns0:c>
      <ns0:c r="AO477" s="94" t="inlineStr">
        <ns0:is>
          <ns0:t>Estimativa de implantação fornecida pela gestão; piso considerado sem confirmação geométrica.</ns0:t>
        </ns0:is>
      </ns0:c>
      <ns0:c r="AP477" s="94" t="inlineStr">
        <ns0:is>
          <ns0:t>Sim</ns0:t>
        </ns0:is>
      </ns0:c>
      <ns0:c r="AQ477" s="94" t="inlineStr">
        <ns0:is>
          <ns0:t>Olhão</ns0:t>
        </ns0:is>
      </ns0:c>
      <ns0:c r="AR477" s="94" t="inlineStr">
        <ns0:is>
          <ns0:t>BelaFormosa Price List September 2026, p. 1</ns0:t>
        </ns0:is>
      </ns0:c>
    </ns0:row>
    <ns0:row r="478" ht="72" customHeight="1">
      <ns0:c r="A478" s="94" t="inlineStr">
        <ns0:is>
          <ns0:t>BelaFormosa</ns0:t>
        </ns0:is>
      </ns0:c>
      <ns0:c r="B478" s="94" t="inlineStr">
        <ns0:is>
          <ns0:t>RB506</ns0:t>
        </ns0:is>
      </ns0:c>
      <ns0:c r="C478" s="94" t="n">
        <ns0:v>5</ns0:v>
      </ns0:c>
      <ns0:c r="D478" s="94" t="inlineStr">
        <ns0:is>
          <ns0:t>T2</ns0:t>
        </ns0:is>
      </ns0:c>
      <ns0:c r="E478" s="94"/>
      <ns0:c r="F478" s="97" t="n">
        <ns0:v>89.25</ns0:v>
      </ns0:c>
      <ns0:c r="G478" s="97" t="n">
        <ns0:v>17.5</ns0:v>
      </ns0:c>
      <ns0:c r="H478" s="97" t="n">
        <ns0:v>106.75</ns0:v>
      </ns0:c>
      <ns0:c r="I478" s="95" t="n">
        <ns0:v>1050000</ns0:v>
      </ns0:c>
      <ns0:c r="J478" s="94" t="n">
        <ns0:v>2026</ns0:v>
      </ns0:c>
      <ns0:c r="K478" s="95" t="n">
        <ns0:v>11764.70588235294</ns0:v>
      </ns0:c>
      <ns0:c r="L478" s="95" t="n">
        <ns0:v>9836.065573770491</ns0:v>
      </ns0:c>
      <ns0:c r="M478" s="94" t="inlineStr">
        <ns0:is>
          <ns0:t>Ativo</ns0:t>
        </ns0:is>
      </ns0:c>
      <ns0:c r="N478" s="94" t="inlineStr">
        <ns0:is>
          <ns0:t>BelaFormosa · Price List September 2026 · p. 5</ns0:t>
        </ns0:is>
      </ns0:c>
      <ns0:c r="O478" s="94"/>
      <ns0:c r="P478" s="94" t="inlineStr">
        <ns0:is>
          <ns0:t>2026-09</ns0:t>
        </ns0:is>
      </ns0:c>
      <ns0:c r="Q478" s="94" t="inlineStr">
        <ns0:is>
          <ns0:t>Premium local</ns0:t>
        </ns0:is>
      </ns0:c>
      <ns0:c r="R478" s="94" t="inlineStr">
        <ns0:is>
          <ns0:t>Nova construção</ns0:t>
        </ns0:is>
      </ns0:c>
      <ns0:c r="S478" s="94"/>
      <ns0:c r="T478" s="94" t="inlineStr">
        <ns0:is>
          <ns0:t>Não incluído no preço; disponibilidade por confirmar</ns0:t>
        </ns0:is>
      </ns0:c>
      <ns0:c r="U478" s="94"/>
      <ns0:c r="V478" s="94"/>
      <ns0:c r="W478" s="97" t="n">
        <ns0:v>0.9</ns0:v>
      </ns0:c>
      <ns0:c r="X478" s="94" t="inlineStr">
        <ns0:is>
          <ns0:t>A · Premium local; vistas estimadas</ns0:t>
        </ns0:is>
      </ns0:c>
      <ns0:c r="Y478" s="94" t="inlineStr">
        <ns0:is>
          <ns0:t>Média</ns0:t>
        </ns0:is>
      </ns0:c>
      <ns0:c r="Z478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478" s="94" t="inlineStr">
        <ns0:is>
          <ns0:t>Confirmar vista, orientação, disponibilidade e condições atuais.</ns0:t>
        </ns0:is>
      </ns0:c>
      <ns0:c r="AB478" s="94" t="inlineStr">
        <ns0:is>
          <ns0:t>Média</ns0:t>
        </ns0:is>
      </ns0:c>
      <ns0:c r="AJ478" s="94" t="inlineStr">
        <ns0:is>
          <ns0:t>RB</ns0:t>
        </ns0:is>
      </ns0:c>
      <ns0:c r="AK478" s="94" t="inlineStr">
        <ns0:is>
          <ns0:t>Convencional</ns0:t>
        </ns0:is>
      </ns0:c>
      <ns0:c r="AL478" s="94" t="n">
        <ns0:v>2</ns0:v>
      </ns0:c>
      <ns0:c r="AM478" s="94" t="n">
        <ns0:v>3</ns0:v>
      </ns0:c>
      <ns0:c r="AN478" s="94" t="inlineStr">
        <ns0:is>
          <ns0:t>Estimada · média</ns0:t>
        </ns0:is>
      </ns0:c>
      <ns0:c r="AO478" s="94" t="inlineStr">
        <ns0:is>
          <ns0:t>Estimativa de implantação fornecida pela gestão; piso considerado sem confirmação geométrica.</ns0:t>
        </ns0:is>
      </ns0:c>
      <ns0:c r="AP478" s="94" t="inlineStr">
        <ns0:is>
          <ns0:t>Sim</ns0:t>
        </ns0:is>
      </ns0:c>
      <ns0:c r="AQ478" s="94" t="inlineStr">
        <ns0:is>
          <ns0:t>Olhão</ns0:t>
        </ns0:is>
      </ns0:c>
      <ns0:c r="AR478" s="94" t="inlineStr">
        <ns0:is>
          <ns0:t>BelaFormosa Price List September 2026, p. 1</ns0:t>
        </ns0:is>
      </ns0:c>
    </ns0:row>
    <ns0:row r="479" ht="72" customHeight="1">
      <ns0:c r="A479" s="94" t="inlineStr">
        <ns0:is>
          <ns0:t>BelaFormosa</ns0:t>
        </ns0:is>
      </ns0:c>
      <ns0:c r="B479" s="94" t="inlineStr">
        <ns0:is>
          <ns0:t>RB507</ns0:t>
        </ns0:is>
      </ns0:c>
      <ns0:c r="C479" s="94" t="n">
        <ns0:v>5</ns0:v>
      </ns0:c>
      <ns0:c r="D479" s="94" t="inlineStr">
        <ns0:is>
          <ns0:t>T3</ns0:t>
        </ns0:is>
      </ns0:c>
      <ns0:c r="E479" s="94"/>
      <ns0:c r="F479" s="97" t="n">
        <ns0:v>120.5</ns0:v>
      </ns0:c>
      <ns0:c r="G479" s="97" t="n">
        <ns0:v>22.75</ns0:v>
      </ns0:c>
      <ns0:c r="H479" s="97" t="n">
        <ns0:v>143.25</ns0:v>
      </ns0:c>
      <ns0:c r="I479" s="95" t="n">
        <ns0:v>1300000</ns0:v>
      </ns0:c>
      <ns0:c r="J479" s="94" t="n">
        <ns0:v>2026</ns0:v>
      </ns0:c>
      <ns0:c r="K479" s="95" t="n">
        <ns0:v>10788.38174273859</ns0:v>
      </ns0:c>
      <ns0:c r="L479" s="95" t="n">
        <ns0:v>9075.043630017452</ns0:v>
      </ns0:c>
      <ns0:c r="M479" s="94" t="inlineStr">
        <ns0:is>
          <ns0:t>Ativo</ns0:t>
        </ns0:is>
      </ns0:c>
      <ns0:c r="N479" s="94" t="inlineStr">
        <ns0:is>
          <ns0:t>BelaFormosa · Price List September 2026 · p. 5</ns0:t>
        </ns0:is>
      </ns0:c>
      <ns0:c r="O479" s="94"/>
      <ns0:c r="P479" s="94" t="inlineStr">
        <ns0:is>
          <ns0:t>2026-09</ns0:t>
        </ns0:is>
      </ns0:c>
      <ns0:c r="Q479" s="94" t="inlineStr">
        <ns0:is>
          <ns0:t>Premium local</ns0:t>
        </ns0:is>
      </ns0:c>
      <ns0:c r="R479" s="94" t="inlineStr">
        <ns0:is>
          <ns0:t>Nova construção</ns0:t>
        </ns0:is>
      </ns0:c>
      <ns0:c r="S479" s="94"/>
      <ns0:c r="T479" s="94" t="inlineStr">
        <ns0:is>
          <ns0:t>Não incluído no preço; disponibilidade por confirmar</ns0:t>
        </ns0:is>
      </ns0:c>
      <ns0:c r="U479" s="94"/>
      <ns0:c r="V479" s="94"/>
      <ns0:c r="W479" s="97" t="n">
        <ns0:v>0.9</ns0:v>
      </ns0:c>
      <ns0:c r="X479" s="94" t="inlineStr">
        <ns0:is>
          <ns0:t>A · Premium local; vistas estimadas</ns0:t>
        </ns0:is>
      </ns0:c>
      <ns0:c r="Y479" s="94" t="inlineStr">
        <ns0:is>
          <ns0:t>Média</ns0:t>
        </ns0:is>
      </ns0:c>
      <ns0:c r="Z479" s="94" t="inlineStr">
        <ns0:is>
          <ns0:t>Preço pedido, não transação. Garagem/arrecadação não incluídas. Desconto de 5% mencionado na fonte não aplicado automaticamente. Tipologia de planta: G. Posição posterior 6–9; intervalo preliminar 2–3, sem confirmação por altura.</ns0:t>
        </ns0:is>
      </ns0:c>
      <ns0:c r="AA479" s="94" t="inlineStr">
        <ns0:is>
          <ns0:t>Confirmar vista, orientação, disponibilidade e condições atuais.</ns0:t>
        </ns0:is>
      </ns0:c>
      <ns0:c r="AB479" s="94" t="inlineStr">
        <ns0:is>
          <ns0:t>Média</ns0:t>
        </ns0:is>
      </ns0:c>
      <ns0:c r="AJ479" s="94" t="inlineStr">
        <ns0:is>
          <ns0:t>RB</ns0:t>
        </ns0:is>
      </ns0:c>
      <ns0:c r="AK479" s="94" t="inlineStr">
        <ns0:is>
          <ns0:t>Convencional</ns0:t>
        </ns0:is>
      </ns0:c>
      <ns0:c r="AL479" s="94" t="n">
        <ns0:v>2</ns0:v>
      </ns0:c>
      <ns0:c r="AM479" s="94" t="n">
        <ns0:v>3</ns0:v>
      </ns0:c>
      <ns0:c r="AN479" s="94" t="inlineStr">
        <ns0:is>
          <ns0:t>Estimada · média</ns0:t>
        </ns0:is>
      </ns0:c>
      <ns0:c r="AO479" s="94" t="inlineStr">
        <ns0:is>
          <ns0:t>Estimativa de implantação fornecida pela gestão; piso considerado sem confirmação geométrica.</ns0:t>
        </ns0:is>
      </ns0:c>
      <ns0:c r="AP479" s="94" t="inlineStr">
        <ns0:is>
          <ns0:t>Sim</ns0:t>
        </ns0:is>
      </ns0:c>
      <ns0:c r="AQ479" s="94" t="inlineStr">
        <ns0:is>
          <ns0:t>Olhão</ns0:t>
        </ns0:is>
      </ns0:c>
      <ns0:c r="AR479" s="94" t="inlineStr">
        <ns0:is>
          <ns0:t>BelaFormosa Price List September 2026, p. 1</ns0:t>
        </ns0:is>
      </ns0:c>
    </ns0:row>
    <ns0:row r="480" ht="72" customHeight="1">
      <ns0:c r="A480" s="94" t="inlineStr">
        <ns0:is>
          <ns0:t>BelaFormosa</ns0:t>
        </ns0:is>
      </ns0:c>
      <ns0:c r="B480" s="94" t="inlineStr">
        <ns0:is>
          <ns0:t>RB508</ns0:t>
        </ns0:is>
      </ns0:c>
      <ns0:c r="C480" s="94" t="n">
        <ns0:v>5</ns0:v>
      </ns0:c>
      <ns0:c r="D480" s="94" t="inlineStr">
        <ns0:is>
          <ns0:t>T2</ns0:t>
        </ns0:is>
      </ns0:c>
      <ns0:c r="E480" s="94"/>
      <ns0:c r="F480" s="97" t="n">
        <ns0:v>89.25</ns0:v>
      </ns0:c>
      <ns0:c r="G480" s="97" t="n">
        <ns0:v>18.0</ns0:v>
      </ns0:c>
      <ns0:c r="H480" s="97" t="n">
        <ns0:v>107.25</ns0:v>
      </ns0:c>
      <ns0:c r="I480" s="95" t="n">
        <ns0:v>970000</ns0:v>
      </ns0:c>
      <ns0:c r="J480" s="94" t="n">
        <ns0:v>2026</ns0:v>
      </ns0:c>
      <ns0:c r="K480" s="95" t="n">
        <ns0:v>10868.347338935575</ns0:v>
      </ns0:c>
      <ns0:c r="L480" s="95" t="n">
        <ns0:v>9044.289044289044</ns0:v>
      </ns0:c>
      <ns0:c r="M480" s="94" t="inlineStr">
        <ns0:is>
          <ns0:t>Ativo</ns0:t>
        </ns0:is>
      </ns0:c>
      <ns0:c r="N480" s="94" t="inlineStr">
        <ns0:is>
          <ns0:t>BelaFormosa · Price List September 2026 · p. 5</ns0:t>
        </ns0:is>
      </ns0:c>
      <ns0:c r="O480" s="94"/>
      <ns0:c r="P480" s="94" t="inlineStr">
        <ns0:is>
          <ns0:t>2026-09</ns0:t>
        </ns0:is>
      </ns0:c>
      <ns0:c r="Q480" s="94" t="inlineStr">
        <ns0:is>
          <ns0:t>Premium local</ns0:t>
        </ns0:is>
      </ns0:c>
      <ns0:c r="R480" s="94" t="inlineStr">
        <ns0:is>
          <ns0:t>Nova construção</ns0:t>
        </ns0:is>
      </ns0:c>
      <ns0:c r="S480" s="94"/>
      <ns0:c r="T480" s="94" t="inlineStr">
        <ns0:is>
          <ns0:t>Não incluído no preço; disponibilidade por confirmar</ns0:t>
        </ns0:is>
      </ns0:c>
      <ns0:c r="U480" s="94"/>
      <ns0:c r="V480" s="94"/>
      <ns0:c r="W480" s="97" t="n">
        <ns0:v>0.9</ns0:v>
      </ns0:c>
      <ns0:c r="X480" s="94" t="inlineStr">
        <ns0:is>
          <ns0:t>A · Premium local; vistas estimadas</ns0:t>
        </ns0:is>
      </ns0:c>
      <ns0:c r="Y480" s="94" t="inlineStr">
        <ns0:is>
          <ns0:t>Média</ns0:t>
        </ns0:is>
      </ns0:c>
      <ns0:c r="Z480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480" s="94" t="inlineStr">
        <ns0:is>
          <ns0:t>Confirmar vista, orientação, disponibilidade e condições atuais.</ns0:t>
        </ns0:is>
      </ns0:c>
      <ns0:c r="AB480" s="94" t="inlineStr">
        <ns0:is>
          <ns0:t>Média</ns0:t>
        </ns0:is>
      </ns0:c>
      <ns0:c r="AJ480" s="94" t="inlineStr">
        <ns0:is>
          <ns0:t>RB</ns0:t>
        </ns0:is>
      </ns0:c>
      <ns0:c r="AK480" s="94" t="inlineStr">
        <ns0:is>
          <ns0:t>Convencional</ns0:t>
        </ns0:is>
      </ns0:c>
      <ns0:c r="AL480" s="94" t="n">
        <ns0:v>2</ns0:v>
      </ns0:c>
      <ns0:c r="AM480" s="94" t="n">
        <ns0:v>3</ns0:v>
      </ns0:c>
      <ns0:c r="AN480" s="94" t="inlineStr">
        <ns0:is>
          <ns0:t>Estimada · média</ns0:t>
        </ns0:is>
      </ns0:c>
      <ns0:c r="AO480" s="94" t="inlineStr">
        <ns0:is>
          <ns0:t>Estimativa de implantação fornecida pela gestão; piso considerado sem confirmação geométrica.</ns0:t>
        </ns0:is>
      </ns0:c>
      <ns0:c r="AP480" s="94" t="inlineStr">
        <ns0:is>
          <ns0:t>Sim</ns0:t>
        </ns0:is>
      </ns0:c>
      <ns0:c r="AQ480" s="94" t="inlineStr">
        <ns0:is>
          <ns0:t>Olhão</ns0:t>
        </ns0:is>
      </ns0:c>
      <ns0:c r="AR480" s="94" t="inlineStr">
        <ns0:is>
          <ns0:t>BelaFormosa Price List September 2026, p. 1</ns0:t>
        </ns0:is>
      </ns0:c>
    </ns0:row>
    <ns0:row r="481" ht="72" customHeight="1">
      <ns0:c r="A481" s="94" t="inlineStr">
        <ns0:is>
          <ns0:t>BelaFormosa</ns0:t>
        </ns0:is>
      </ns0:c>
      <ns0:c r="B481" s="94" t="inlineStr">
        <ns0:is>
          <ns0:t>RB509</ns0:t>
        </ns0:is>
      </ns0:c>
      <ns0:c r="C481" s="94" t="n">
        <ns0:v>5</ns0:v>
      </ns0:c>
      <ns0:c r="D481" s="94" t="inlineStr">
        <ns0:is>
          <ns0:t>T2 Duplex</ns0:t>
        </ns0:is>
      </ns0:c>
      <ns0:c r="E481" s="94"/>
      <ns0:c r="F481" s="97" t="n">
        <ns0:v>120.0</ns0:v>
      </ns0:c>
      <ns0:c r="G481" s="97" t="n">
        <ns0:v>171.25</ns0:v>
      </ns0:c>
      <ns0:c r="H481" s="97" t="n">
        <ns0:v>291.25</ns0:v>
      </ns0:c>
      <ns0:c r="I481" s="95" t="n">
        <ns0:v>1550000</ns0:v>
      </ns0:c>
      <ns0:c r="J481" s="94" t="n">
        <ns0:v>2026</ns0:v>
      </ns0:c>
      <ns0:c r="K481" s="95" t="n">
        <ns0:v>12916.666666666666</ns0:v>
      </ns0:c>
      <ns0:c r="L481" s="95" t="n">
        <ns0:v>5321.888412017167</ns0:v>
      </ns0:c>
      <ns0:c r="M481" s="94" t="inlineStr">
        <ns0:is>
          <ns0:t>Ativo</ns0:t>
        </ns0:is>
      </ns0:c>
      <ns0:c r="N481" s="94" t="inlineStr">
        <ns0:is>
          <ns0:t>BelaFormosa · Price List September 2026 · p. 5</ns0:t>
        </ns0:is>
      </ns0:c>
      <ns0:c r="O481" s="94"/>
      <ns0:c r="P481" s="94" t="inlineStr">
        <ns0:is>
          <ns0:t>2026-09</ns0:t>
        </ns0:is>
      </ns0:c>
      <ns0:c r="Q481" s="94" t="inlineStr">
        <ns0:is>
          <ns0:t>Premium local</ns0:t>
        </ns0:is>
      </ns0:c>
      <ns0:c r="R481" s="94" t="inlineStr">
        <ns0:is>
          <ns0:t>Nova construção</ns0:t>
        </ns0:is>
      </ns0:c>
      <ns0:c r="S481" s="94"/>
      <ns0:c r="T481" s="94" t="inlineStr">
        <ns0:is>
          <ns0:t>Não incluído no preço; disponibilidade por confirmar</ns0:t>
        </ns0:is>
      </ns0:c>
      <ns0:c r="U481" s="94"/>
      <ns0:c r="V481" s="94"/>
      <ns0:c r="W481" s="97" t="n">
        <ns0:v>0.9</ns0:v>
      </ns0:c>
      <ns0:c r="X481" s="94" t="inlineStr">
        <ns0:is>
          <ns0:t>A · Premium local; vistas estimadas</ns0:t>
        </ns0:is>
      </ns0:c>
      <ns0:c r="Y481" s="94" t="inlineStr">
        <ns0:is>
          <ns0:t>Média</ns0:t>
        </ns0:is>
      </ns0:c>
      <ns0:c r="Z481" s="94" t="inlineStr">
        <ns0:is>
          <ns0:t>Preço pedido, não transação. Garagem/arrecadação não incluídas. Desconto de 5% mencionado na fonte não aplicado automaticamente. Tipologia de planta: A. Posição posterior 6–9; intervalo preliminar 2–3, sem confirmação por altura.</ns0:t>
        </ns0:is>
      </ns0:c>
      <ns0:c r="AA481" s="94" t="inlineStr">
        <ns0:is>
          <ns0:t>Confirmar vista, orientação, disponibilidade e condições atuais.</ns0:t>
        </ns0:is>
      </ns0:c>
      <ns0:c r="AB481" s="94" t="inlineStr">
        <ns0:is>
          <ns0:t>Média</ns0:t>
        </ns0:is>
      </ns0:c>
      <ns0:c r="AJ481" s="94" t="inlineStr">
        <ns0:is>
          <ns0:t>RB</ns0:t>
        </ns0:is>
      </ns0:c>
      <ns0:c r="AK481" s="94" t="inlineStr">
        <ns0:is>
          <ns0:t>Duplex</ns0:t>
        </ns0:is>
      </ns0:c>
      <ns0:c r="AL481" s="94" t="n">
        <ns0:v>2</ns0:v>
      </ns0:c>
      <ns0:c r="AM481" s="94" t="n">
        <ns0:v>3</ns0:v>
      </ns0:c>
      <ns0:c r="AN481" s="94" t="inlineStr">
        <ns0:is>
          <ns0:t>Estimada · média</ns0:t>
        </ns0:is>
      </ns0:c>
      <ns0:c r="AO481" s="94" t="inlineStr">
        <ns0:is>
          <ns0:t>Estimativa de implantação fornecida pela gestão; piso considerado sem confirmação geométrica.</ns0:t>
        </ns0:is>
      </ns0:c>
      <ns0:c r="AP481" s="94" t="inlineStr">
        <ns0:is>
          <ns0:t>Sim</ns0:t>
        </ns0:is>
      </ns0:c>
      <ns0:c r="AQ481" s="94" t="inlineStr">
        <ns0:is>
          <ns0:t>Olhão</ns0:t>
        </ns0:is>
      </ns0:c>
      <ns0:c r="AR481" s="94" t="inlineStr">
        <ns0:is>
          <ns0:t>BelaFormosa Price List September 2026, p. 1</ns0:t>
        </ns0:is>
      </ns0:c>
    </ns0:row>
    <ns0:row r="482" ht="72" customHeight="1">
      <ns0:c r="A482" s="94" t="inlineStr">
        <ns0:is>
          <ns0:t>BelaFormosa</ns0:t>
        </ns0:is>
      </ns0:c>
      <ns0:c r="B482" s="94" t="inlineStr">
        <ns0:is>
          <ns0:t>RB601</ns0:t>
        </ns0:is>
      </ns0:c>
      <ns0:c r="C482" s="94" t="n">
        <ns0:v>6</ns0:v>
      </ns0:c>
      <ns0:c r="D482" s="94" t="inlineStr">
        <ns0:is>
          <ns0:t>T2 Rooftop</ns0:t>
        </ns0:is>
      </ns0:c>
      <ns0:c r="E482" s="94"/>
      <ns0:c r="F482" s="97" t="n">
        <ns0:v>89.25</ns0:v>
      </ns0:c>
      <ns0:c r="G482" s="97" t="n">
        <ns0:v>96.0</ns0:v>
      </ns0:c>
      <ns0:c r="H482" s="97" t="n">
        <ns0:v>185.25</ns0:v>
      </ns0:c>
      <ns0:c r="I482" s="95" t="n">
        <ns0:v>1600000</ns0:v>
      </ns0:c>
      <ns0:c r="J482" s="94" t="n">
        <ns0:v>2026</ns0:v>
      </ns0:c>
      <ns0:c r="K482" s="95" t="n">
        <ns0:v>17927.17086834734</ns0:v>
      </ns0:c>
      <ns0:c r="L482" s="95" t="n">
        <ns0:v>8636.97705802969</ns0:v>
      </ns0:c>
      <ns0:c r="M482" s="94" t="inlineStr">
        <ns0:is>
          <ns0:t>Ativo</ns0:t>
        </ns0:is>
      </ns0:c>
      <ns0:c r="N482" s="94" t="inlineStr">
        <ns0:is>
          <ns0:t>BelaFormosa · Price List September 2026 · p. 5</ns0:t>
        </ns0:is>
      </ns0:c>
      <ns0:c r="O482" s="94"/>
      <ns0:c r="P482" s="94" t="inlineStr">
        <ns0:is>
          <ns0:t>2026-09</ns0:t>
        </ns0:is>
      </ns0:c>
      <ns0:c r="Q482" s="94" t="inlineStr">
        <ns0:is>
          <ns0:t>Premium local</ns0:t>
        </ns0:is>
      </ns0:c>
      <ns0:c r="R482" s="94" t="inlineStr">
        <ns0:is>
          <ns0:t>Nova construção</ns0:t>
        </ns0:is>
      </ns0:c>
      <ns0:c r="S482" s="94"/>
      <ns0:c r="T482" s="94" t="inlineStr">
        <ns0:is>
          <ns0:t>Não incluído no preço; disponibilidade por confirmar</ns0:t>
        </ns0:is>
      </ns0:c>
      <ns0:c r="U482" s="94"/>
      <ns0:c r="V482" s="94"/>
      <ns0:c r="W482" s="97" t="n">
        <ns0:v>0.9</ns0:v>
      </ns0:c>
      <ns0:c r="X482" s="94" t="inlineStr">
        <ns0:is>
          <ns0:t>A · Premium local; vistas estimadas</ns0:t>
        </ns0:is>
      </ns0:c>
      <ns0:c r="Y482" s="94" t="inlineStr">
        <ns0:is>
          <ns0:t>Média</ns0:t>
        </ns0:is>
      </ns0:c>
      <ns0:c r="Z482" s="94" t="inlineStr">
        <ns0:is>
          <ns0:t>Preço pedido, não transação. Garagem/arrecadação não incluídas. Desconto de 5% mencionado na fonte não aplicado automaticamente. Tipologia de planta: C. Posição lateral/retaguarda; intervalo preliminar 3–4, sem confirmação por altura.</ns0:t>
        </ns0:is>
      </ns0:c>
      <ns0:c r="AA482" s="94" t="inlineStr">
        <ns0:is>
          <ns0:t>Confirmar vista, orientação, disponibilidade e condições atuais.</ns0:t>
        </ns0:is>
      </ns0:c>
      <ns0:c r="AB482" s="94" t="inlineStr">
        <ns0:is>
          <ns0:t>Média</ns0:t>
        </ns0:is>
      </ns0:c>
      <ns0:c r="AJ482" s="94" t="inlineStr">
        <ns0:is>
          <ns0:t>RB</ns0:t>
        </ns0:is>
      </ns0:c>
      <ns0:c r="AK482" s="94" t="inlineStr">
        <ns0:is>
          <ns0:t>Rooftop</ns0:t>
        </ns0:is>
      </ns0:c>
      <ns0:c r="AL482" s="94" t="n">
        <ns0:v>3</ns0:v>
      </ns0:c>
      <ns0:c r="AM482" s="94" t="n">
        <ns0:v>4</ns0:v>
      </ns0:c>
      <ns0:c r="AN482" s="94" t="inlineStr">
        <ns0:is>
          <ns0:t>Estimada · média</ns0:t>
        </ns0:is>
      </ns0:c>
      <ns0:c r="AO482" s="94" t="inlineStr">
        <ns0:is>
          <ns0:t>Estimativa de implantação fornecida pela gestão; piso considerado sem confirmação geométrica.</ns0:t>
        </ns0:is>
      </ns0:c>
      <ns0:c r="AP482" s="94" t="inlineStr">
        <ns0:is>
          <ns0:t>Sim</ns0:t>
        </ns0:is>
      </ns0:c>
      <ns0:c r="AQ482" s="94" t="inlineStr">
        <ns0:is>
          <ns0:t>Olhão</ns0:t>
        </ns0:is>
      </ns0:c>
      <ns0:c r="AR482" s="94" t="inlineStr">
        <ns0:is>
          <ns0:t>BelaFormosa Price List September 2026, p. 1</ns0:t>
        </ns0:is>
      </ns0:c>
    </ns0:row>
    <ns0:row r="483" ht="72" customHeight="1">
      <ns0:c r="A483" s="94" t="inlineStr">
        <ns0:is>
          <ns0:t>BelaFormosa</ns0:t>
        </ns0:is>
      </ns0:c>
      <ns0:c r="B483" s="94" t="inlineStr">
        <ns0:is>
          <ns0:t>RB602</ns0:t>
        </ns0:is>
      </ns0:c>
      <ns0:c r="C483" s="94" t="n">
        <ns0:v>6</ns0:v>
      </ns0:c>
      <ns0:c r="D483" s="94" t="inlineStr">
        <ns0:is>
          <ns0:t>T1 Rooftop</ns0:t>
        </ns0:is>
      </ns0:c>
      <ns0:c r="E483" s="94"/>
      <ns0:c r="F483" s="97" t="n">
        <ns0:v>60.25</ns0:v>
      </ns0:c>
      <ns0:c r="G483" s="97" t="n">
        <ns0:v>60.0</ns0:v>
      </ns0:c>
      <ns0:c r="H483" s="97" t="n">
        <ns0:v>120.25</ns0:v>
      </ns0:c>
      <ns0:c r="I483" s="95" t="n">
        <ns0:v>1100000</ns0:v>
      </ns0:c>
      <ns0:c r="J483" s="94" t="n">
        <ns0:v>2026</ns0:v>
      </ns0:c>
      <ns0:c r="K483" s="95" t="n">
        <ns0:v>18257.261410788382</ns0:v>
      </ns0:c>
      <ns0:c r="L483" s="95" t="n">
        <ns0:v>9147.609147609148</ns0:v>
      </ns0:c>
      <ns0:c r="M483" s="94" t="inlineStr">
        <ns0:is>
          <ns0:t>Ativo</ns0:t>
        </ns0:is>
      </ns0:c>
      <ns0:c r="N483" s="94" t="inlineStr">
        <ns0:is>
          <ns0:t>BelaFormosa · Price List September 2026 · p. 5</ns0:t>
        </ns0:is>
      </ns0:c>
      <ns0:c r="O483" s="94"/>
      <ns0:c r="P483" s="94" t="inlineStr">
        <ns0:is>
          <ns0:t>2026-09</ns0:t>
        </ns0:is>
      </ns0:c>
      <ns0:c r="Q483" s="94" t="inlineStr">
        <ns0:is>
          <ns0:t>Premium local</ns0:t>
        </ns0:is>
      </ns0:c>
      <ns0:c r="R483" s="94" t="inlineStr">
        <ns0:is>
          <ns0:t>Nova construção</ns0:t>
        </ns0:is>
      </ns0:c>
      <ns0:c r="S483" s="94"/>
      <ns0:c r="T483" s="94" t="inlineStr">
        <ns0:is>
          <ns0:t>Não incluído no preço; disponibilidade por confirmar</ns0:t>
        </ns0:is>
      </ns0:c>
      <ns0:c r="U483" s="94"/>
      <ns0:c r="V483" s="94"/>
      <ns0:c r="W483" s="97" t="n">
        <ns0:v>0.9</ns0:v>
      </ns0:c>
      <ns0:c r="X483" s="94" t="inlineStr">
        <ns0:is>
          <ns0:t>A · Premium local; vistas estimadas</ns0:t>
        </ns0:is>
      </ns0:c>
      <ns0:c r="Y483" s="94" t="inlineStr">
        <ns0:is>
          <ns0:t>Média</ns0:t>
        </ns0:is>
      </ns0:c>
      <ns0:c r="Z483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483" s="94" t="inlineStr">
        <ns0:is>
          <ns0:t>Confirmar vista, orientação, disponibilidade e condições atuais.</ns0:t>
        </ns0:is>
      </ns0:c>
      <ns0:c r="AB483" s="94" t="inlineStr">
        <ns0:is>
          <ns0:t>Média</ns0:t>
        </ns0:is>
      </ns0:c>
      <ns0:c r="AJ483" s="94" t="inlineStr">
        <ns0:is>
          <ns0:t>RB</ns0:t>
        </ns0:is>
      </ns0:c>
      <ns0:c r="AK483" s="94" t="inlineStr">
        <ns0:is>
          <ns0:t>Rooftop</ns0:t>
        </ns0:is>
      </ns0:c>
      <ns0:c r="AL483" s="94" t="n">
        <ns0:v>3</ns0:v>
      </ns0:c>
      <ns0:c r="AM483" s="94" t="n">
        <ns0:v>4</ns0:v>
      </ns0:c>
      <ns0:c r="AN483" s="94" t="inlineStr">
        <ns0:is>
          <ns0:t>Estimada · média</ns0:t>
        </ns0:is>
      </ns0:c>
      <ns0:c r="AO483" s="94" t="inlineStr">
        <ns0:is>
          <ns0:t>Estimativa de implantação fornecida pela gestão; piso considerado sem confirmação geométrica.</ns0:t>
        </ns0:is>
      </ns0:c>
      <ns0:c r="AP483" s="94" t="inlineStr">
        <ns0:is>
          <ns0:t>Sim</ns0:t>
        </ns0:is>
      </ns0:c>
      <ns0:c r="AQ483" s="94" t="inlineStr">
        <ns0:is>
          <ns0:t>Olhão</ns0:t>
        </ns0:is>
      </ns0:c>
      <ns0:c r="AR483" s="94" t="inlineStr">
        <ns0:is>
          <ns0:t>BelaFormosa Price List September 2026, p. 1</ns0:t>
        </ns0:is>
      </ns0:c>
    </ns0:row>
    <ns0:row r="484" ht="72" customHeight="1">
      <ns0:c r="A484" s="94" t="inlineStr">
        <ns0:is>
          <ns0:t>BelaFormosa</ns0:t>
        </ns0:is>
      </ns0:c>
      <ns0:c r="B484" s="94" t="inlineStr">
        <ns0:is>
          <ns0:t>RB603</ns0:t>
        </ns0:is>
      </ns0:c>
      <ns0:c r="C484" s="94" t="n">
        <ns0:v>6</ns0:v>
      </ns0:c>
      <ns0:c r="D484" s="94" t="inlineStr">
        <ns0:is>
          <ns0:t>T1 Rooftop</ns0:t>
        </ns0:is>
      </ns0:c>
      <ns0:c r="E484" s="94"/>
      <ns0:c r="F484" s="97" t="n">
        <ns0:v>60.25</ns0:v>
      </ns0:c>
      <ns0:c r="G484" s="97" t="n">
        <ns0:v>60.0</ns0:v>
      </ns0:c>
      <ns0:c r="H484" s="97" t="n">
        <ns0:v>120.25</ns0:v>
      </ns0:c>
      <ns0:c r="I484" s="95" t="n">
        <ns0:v>1125000</ns0:v>
      </ns0:c>
      <ns0:c r="J484" s="94" t="n">
        <ns0:v>2026</ns0:v>
      </ns0:c>
      <ns0:c r="K484" s="95" t="n">
        <ns0:v>18672.19917012448</ns0:v>
      </ns0:c>
      <ns0:c r="L484" s="95" t="n">
        <ns0:v>9355.509355509355</ns0:v>
      </ns0:c>
      <ns0:c r="M484" s="94" t="inlineStr">
        <ns0:is>
          <ns0:t>Ativo</ns0:t>
        </ns0:is>
      </ns0:c>
      <ns0:c r="N484" s="94" t="inlineStr">
        <ns0:is>
          <ns0:t>BelaFormosa · Price List September 2026 · p. 5</ns0:t>
        </ns0:is>
      </ns0:c>
      <ns0:c r="O484" s="94"/>
      <ns0:c r="P484" s="94" t="inlineStr">
        <ns0:is>
          <ns0:t>2026-09</ns0:t>
        </ns0:is>
      </ns0:c>
      <ns0:c r="Q484" s="94" t="inlineStr">
        <ns0:is>
          <ns0:t>Premium local</ns0:t>
        </ns0:is>
      </ns0:c>
      <ns0:c r="R484" s="94" t="inlineStr">
        <ns0:is>
          <ns0:t>Nova construção</ns0:t>
        </ns0:is>
      </ns0:c>
      <ns0:c r="S484" s="94"/>
      <ns0:c r="T484" s="94" t="inlineStr">
        <ns0:is>
          <ns0:t>Não incluído no preço; disponibilidade por confirmar</ns0:t>
        </ns0:is>
      </ns0:c>
      <ns0:c r="U484" s="94"/>
      <ns0:c r="V484" s="94"/>
      <ns0:c r="W484" s="97" t="n">
        <ns0:v>0.9</ns0:v>
      </ns0:c>
      <ns0:c r="X484" s="94" t="inlineStr">
        <ns0:is>
          <ns0:t>A · Premium local; vistas estimadas</ns0:t>
        </ns0:is>
      </ns0:c>
      <ns0:c r="Y484" s="94" t="inlineStr">
        <ns0:is>
          <ns0:t>Média</ns0:t>
        </ns0:is>
      </ns0:c>
      <ns0:c r="Z484" s="94" t="inlineStr">
        <ns0:is>
          <ns0:t>Preço pedido, não transação. Garagem/arrecadação não incluídas. Desconto de 5% mencionado na fonte não aplicado automaticamente. Tipologia de planta: B. Posição lateral; intervalo preliminar 3–4, sem confirmação por altura.</ns0:t>
        </ns0:is>
      </ns0:c>
      <ns0:c r="AA484" s="94" t="inlineStr">
        <ns0:is>
          <ns0:t>Confirmar vista, orientação, disponibilidade e condições atuais.</ns0:t>
        </ns0:is>
      </ns0:c>
      <ns0:c r="AB484" s="94" t="inlineStr">
        <ns0:is>
          <ns0:t>Média</ns0:t>
        </ns0:is>
      </ns0:c>
      <ns0:c r="AJ484" s="94" t="inlineStr">
        <ns0:is>
          <ns0:t>RB</ns0:t>
        </ns0:is>
      </ns0:c>
      <ns0:c r="AK484" s="94" t="inlineStr">
        <ns0:is>
          <ns0:t>Rooftop</ns0:t>
        </ns0:is>
      </ns0:c>
      <ns0:c r="AL484" s="94" t="n">
        <ns0:v>3</ns0:v>
      </ns0:c>
      <ns0:c r="AM484" s="94" t="n">
        <ns0:v>4</ns0:v>
      </ns0:c>
      <ns0:c r="AN484" s="94" t="inlineStr">
        <ns0:is>
          <ns0:t>Estimada · média</ns0:t>
        </ns0:is>
      </ns0:c>
      <ns0:c r="AO484" s="94" t="inlineStr">
        <ns0:is>
          <ns0:t>Estimativa de implantação fornecida pela gestão; piso considerado sem confirmação geométrica.</ns0:t>
        </ns0:is>
      </ns0:c>
      <ns0:c r="AP484" s="94" t="inlineStr">
        <ns0:is>
          <ns0:t>Sim</ns0:t>
        </ns0:is>
      </ns0:c>
      <ns0:c r="AQ484" s="94" t="inlineStr">
        <ns0:is>
          <ns0:t>Olhão</ns0:t>
        </ns0:is>
      </ns0:c>
      <ns0:c r="AR484" s="94" t="inlineStr">
        <ns0:is>
          <ns0:t>BelaFormosa Price List September 2026, p. 1</ns0:t>
        </ns0:is>
      </ns0:c>
    </ns0:row>
    <ns0:row r="485" ht="72" customHeight="1">
      <ns0:c r="A485" s="94" t="inlineStr">
        <ns0:is>
          <ns0:t>BelaFormosa</ns0:t>
        </ns0:is>
      </ns0:c>
      <ns0:c r="B485" s="94" t="inlineStr">
        <ns0:is>
          <ns0:t>RB604</ns0:t>
        </ns0:is>
      </ns0:c>
      <ns0:c r="C485" s="94" t="n">
        <ns0:v>6</ns0:v>
      </ns0:c>
      <ns0:c r="D485" s="94" t="inlineStr">
        <ns0:is>
          <ns0:t>T2 Rooftop</ns0:t>
        </ns0:is>
      </ns0:c>
      <ns0:c r="E485" s="94"/>
      <ns0:c r="F485" s="97" t="n">
        <ns0:v>89.25</ns0:v>
      </ns0:c>
      <ns0:c r="G485" s="97" t="n">
        <ns0:v>104.0</ns0:v>
      </ns0:c>
      <ns0:c r="H485" s="97" t="n">
        <ns0:v>193.25</ns0:v>
      </ns0:c>
      <ns0:c r="I485" s="95" t="n">
        <ns0:v>1600000</ns0:v>
      </ns0:c>
      <ns0:c r="J485" s="94" t="n">
        <ns0:v>2026</ns0:v>
      </ns0:c>
      <ns0:c r="K485" s="95" t="n">
        <ns0:v>17927.17086834734</ns0:v>
      </ns0:c>
      <ns0:c r="L485" s="95" t="n">
        <ns0:v>8279.430789133246</ns0:v>
      </ns0:c>
      <ns0:c r="M485" s="94" t="inlineStr">
        <ns0:is>
          <ns0:t>Ativo</ns0:t>
        </ns0:is>
      </ns0:c>
      <ns0:c r="N485" s="94" t="inlineStr">
        <ns0:is>
          <ns0:t>BelaFormosa · Price List September 2026 · p. 5</ns0:t>
        </ns0:is>
      </ns0:c>
      <ns0:c r="O485" s="94"/>
      <ns0:c r="P485" s="94" t="inlineStr">
        <ns0:is>
          <ns0:t>2026-09</ns0:t>
        </ns0:is>
      </ns0:c>
      <ns0:c r="Q485" s="94" t="inlineStr">
        <ns0:is>
          <ns0:t>Premium local</ns0:t>
        </ns0:is>
      </ns0:c>
      <ns0:c r="R485" s="94" t="inlineStr">
        <ns0:is>
          <ns0:t>Nova construção</ns0:t>
        </ns0:is>
      </ns0:c>
      <ns0:c r="S485" s="94"/>
      <ns0:c r="T485" s="94" t="inlineStr">
        <ns0:is>
          <ns0:t>Não incluído no preço; disponibilidade por confirmar</ns0:t>
        </ns0:is>
      </ns0:c>
      <ns0:c r="U485" s="94"/>
      <ns0:c r="V485" s="94"/>
      <ns0:c r="W485" s="97" t="n">
        <ns0:v>0.9</ns0:v>
      </ns0:c>
      <ns0:c r="X485" s="94" t="inlineStr">
        <ns0:is>
          <ns0:t>A · Premium local; vistas estimadas</ns0:t>
        </ns0:is>
      </ns0:c>
      <ns0:c r="Y485" s="94" t="inlineStr">
        <ns0:is>
          <ns0:t>Média</ns0:t>
        </ns0:is>
      </ns0:c>
      <ns0:c r="Z485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85" s="94" t="inlineStr">
        <ns0:is>
          <ns0:t>Confirmar vista, orientação, disponibilidade e condições atuais.</ns0:t>
        </ns0:is>
      </ns0:c>
      <ns0:c r="AB485" s="94" t="inlineStr">
        <ns0:is>
          <ns0:t>Média</ns0:t>
        </ns0:is>
      </ns0:c>
      <ns0:c r="AJ485" s="94" t="inlineStr">
        <ns0:is>
          <ns0:t>RB</ns0:t>
        </ns0:is>
      </ns0:c>
      <ns0:c r="AK485" s="94" t="inlineStr">
        <ns0:is>
          <ns0:t>Rooftop</ns0:t>
        </ns0:is>
      </ns0:c>
      <ns0:c r="AL485" s="94" t="n">
        <ns0:v>3</ns0:v>
      </ns0:c>
      <ns0:c r="AM485" s="94" t="n">
        <ns0:v>4</ns0:v>
      </ns0:c>
      <ns0:c r="AN485" s="94" t="inlineStr">
        <ns0:is>
          <ns0:t>Estimada · média</ns0:t>
        </ns0:is>
      </ns0:c>
      <ns0:c r="AO485" s="94" t="inlineStr">
        <ns0:is>
          <ns0:t>Estimativa de implantação fornecida pela gestão; piso considerado sem confirmação geométrica.</ns0:t>
        </ns0:is>
      </ns0:c>
      <ns0:c r="AP485" s="94" t="inlineStr">
        <ns0:is>
          <ns0:t>Sim</ns0:t>
        </ns0:is>
      </ns0:c>
      <ns0:c r="AQ485" s="94" t="inlineStr">
        <ns0:is>
          <ns0:t>Olhão</ns0:t>
        </ns0:is>
      </ns0:c>
      <ns0:c r="AR485" s="94" t="inlineStr">
        <ns0:is>
          <ns0:t>BelaFormosa Price List September 2026, p. 1</ns0:t>
        </ns0:is>
      </ns0:c>
    </ns0:row>
    <ns0:row r="486" ht="72" customHeight="1">
      <ns0:c r="A486" s="94" t="inlineStr">
        <ns0:is>
          <ns0:t>BelaFormosa</ns0:t>
        </ns0:is>
      </ns0:c>
      <ns0:c r="B486" s="94" t="inlineStr">
        <ns0:is>
          <ns0:t>RB605</ns0:t>
        </ns0:is>
      </ns0:c>
      <ns0:c r="C486" s="94" t="n">
        <ns0:v>6</ns0:v>
      </ns0:c>
      <ns0:c r="D486" s="94" t="inlineStr">
        <ns0:is>
          <ns0:t>T2 Rooftop</ns0:t>
        </ns0:is>
      </ns0:c>
      <ns0:c r="E486" s="94"/>
      <ns0:c r="F486" s="97" t="n">
        <ns0:v>89.25</ns0:v>
      </ns0:c>
      <ns0:c r="G486" s="97" t="n">
        <ns0:v>104.0</ns0:v>
      </ns0:c>
      <ns0:c r="H486" s="97" t="n">
        <ns0:v>193.25</ns0:v>
      </ns0:c>
      <ns0:c r="I486" s="95" t="n">
        <ns0:v>1800000</ns0:v>
      </ns0:c>
      <ns0:c r="J486" s="94" t="n">
        <ns0:v>2026</ns0:v>
      </ns0:c>
      <ns0:c r="K486" s="95" t="n">
        <ns0:v>20168.067226890755</ns0:v>
      </ns0:c>
      <ns0:c r="L486" s="95" t="n">
        <ns0:v>9314.359637774904</ns0:v>
      </ns0:c>
      <ns0:c r="M486" s="94" t="inlineStr">
        <ns0:is>
          <ns0:t>Ativo</ns0:t>
        </ns0:is>
      </ns0:c>
      <ns0:c r="N486" s="94" t="inlineStr">
        <ns0:is>
          <ns0:t>BelaFormosa · Price List September 2026 · p. 5</ns0:t>
        </ns0:is>
      </ns0:c>
      <ns0:c r="O486" s="94"/>
      <ns0:c r="P486" s="94" t="inlineStr">
        <ns0:is>
          <ns0:t>2026-09</ns0:t>
        </ns0:is>
      </ns0:c>
      <ns0:c r="Q486" s="94" t="inlineStr">
        <ns0:is>
          <ns0:t>Premium local</ns0:t>
        </ns0:is>
      </ns0:c>
      <ns0:c r="R486" s="94" t="inlineStr">
        <ns0:is>
          <ns0:t>Nova construção</ns0:t>
        </ns0:is>
      </ns0:c>
      <ns0:c r="S486" s="94"/>
      <ns0:c r="T486" s="94" t="inlineStr">
        <ns0:is>
          <ns0:t>Não incluído no preço; disponibilidade por confirmar</ns0:t>
        </ns0:is>
      </ns0:c>
      <ns0:c r="U486" s="94"/>
      <ns0:c r="V486" s="94"/>
      <ns0:c r="W486" s="97" t="n">
        <ns0:v>0.9</ns0:v>
      </ns0:c>
      <ns0:c r="X486" s="94" t="inlineStr">
        <ns0:is>
          <ns0:t>A · Premium local; vistas estimadas</ns0:t>
        </ns0:is>
      </ns0:c>
      <ns0:c r="Y486" s="94" t="inlineStr">
        <ns0:is>
          <ns0:t>Média</ns0:t>
        </ns0:is>
      </ns0:c>
      <ns0:c r="Z486" s="94" t="inlineStr">
        <ns0:is>
          <ns0:t>Preço pedido, não transação. Garagem/arrecadação não incluídas. Desconto de 5% mencionado na fonte não aplicado automaticamente. Tipologia de planta: C. Posição lateral; intervalo preliminar 3–4, sem confirmação por altura.</ns0:t>
        </ns0:is>
      </ns0:c>
      <ns0:c r="AA486" s="94" t="inlineStr">
        <ns0:is>
          <ns0:t>Confirmar vista, orientação, disponibilidade e condições atuais.</ns0:t>
        </ns0:is>
      </ns0:c>
      <ns0:c r="AB486" s="94" t="inlineStr">
        <ns0:is>
          <ns0:t>Média</ns0:t>
        </ns0:is>
      </ns0:c>
      <ns0:c r="AJ486" s="94" t="inlineStr">
        <ns0:is>
          <ns0:t>RB</ns0:t>
        </ns0:is>
      </ns0:c>
      <ns0:c r="AK486" s="94" t="inlineStr">
        <ns0:is>
          <ns0:t>Rooftop</ns0:t>
        </ns0:is>
      </ns0:c>
      <ns0:c r="AL486" s="94" t="n">
        <ns0:v>3</ns0:v>
      </ns0:c>
      <ns0:c r="AM486" s="94" t="n">
        <ns0:v>4</ns0:v>
      </ns0:c>
      <ns0:c r="AN486" s="94" t="inlineStr">
        <ns0:is>
          <ns0:t>Estimada · média</ns0:t>
        </ns0:is>
      </ns0:c>
      <ns0:c r="AO486" s="94" t="inlineStr">
        <ns0:is>
          <ns0:t>Estimativa de implantação fornecida pela gestão; piso considerado sem confirmação geométrica.</ns0:t>
        </ns0:is>
      </ns0:c>
      <ns0:c r="AP486" s="94" t="inlineStr">
        <ns0:is>
          <ns0:t>Sim</ns0:t>
        </ns0:is>
      </ns0:c>
      <ns0:c r="AQ486" s="94" t="inlineStr">
        <ns0:is>
          <ns0:t>Olhão</ns0:t>
        </ns0:is>
      </ns0:c>
      <ns0:c r="AR486" s="94" t="inlineStr">
        <ns0:is>
          <ns0:t>BelaFormosa Price List September 2026, p. 1</ns0:t>
        </ns0:is>
      </ns0:c>
    </ns0:row>
    <ns0:row r="487" ht="72" customHeight="1">
      <ns0:c r="A487" s="94" t="inlineStr">
        <ns0:is>
          <ns0:t>BelaFormosa</ns0:t>
        </ns0:is>
      </ns0:c>
      <ns0:c r="B487" s="94" t="inlineStr">
        <ns0:is>
          <ns0:t>RB606</ns0:t>
        </ns0:is>
      </ns0:c>
      <ns0:c r="C487" s="94" t="n">
        <ns0:v>6</ns0:v>
      </ns0:c>
      <ns0:c r="D487" s="94" t="inlineStr">
        <ns0:is>
          <ns0:t>T3 Rooftop</ns0:t>
        </ns0:is>
      </ns0:c>
      <ns0:c r="E487" s="94"/>
      <ns0:c r="F487" s="97" t="n">
        <ns0:v>120.5</ns0:v>
      </ns0:c>
      <ns0:c r="G487" s="97" t="n">
        <ns0:v>130.75</ns0:v>
      </ns0:c>
      <ns0:c r="H487" s="97" t="n">
        <ns0:v>251.25</ns0:v>
      </ns0:c>
      <ns0:c r="I487" s="95" t="n">
        <ns0:v>2100000</ns0:v>
      </ns0:c>
      <ns0:c r="J487" s="94" t="n">
        <ns0:v>2026</ns0:v>
      </ns0:c>
      <ns0:c r="K487" s="95" t="n">
        <ns0:v>17427.38589211618</ns0:v>
      </ns0:c>
      <ns0:c r="L487" s="95" t="n">
        <ns0:v>8358.208955223881</ns0:v>
      </ns0:c>
      <ns0:c r="M487" s="94" t="inlineStr">
        <ns0:is>
          <ns0:t>Ativo</ns0:t>
        </ns0:is>
      </ns0:c>
      <ns0:c r="N487" s="94" t="inlineStr">
        <ns0:is>
          <ns0:t>BelaFormosa · Price List September 2026 · p. 5</ns0:t>
        </ns0:is>
      </ns0:c>
      <ns0:c r="O487" s="94"/>
      <ns0:c r="P487" s="94" t="inlineStr">
        <ns0:is>
          <ns0:t>2026-09</ns0:t>
        </ns0:is>
      </ns0:c>
      <ns0:c r="Q487" s="94" t="inlineStr">
        <ns0:is>
          <ns0:t>Premium local</ns0:t>
        </ns0:is>
      </ns0:c>
      <ns0:c r="R487" s="94" t="inlineStr">
        <ns0:is>
          <ns0:t>Nova construção</ns0:t>
        </ns0:is>
      </ns0:c>
      <ns0:c r="S487" s="94"/>
      <ns0:c r="T487" s="94" t="inlineStr">
        <ns0:is>
          <ns0:t>Não incluído no preço; disponibilidade por confirmar</ns0:t>
        </ns0:is>
      </ns0:c>
      <ns0:c r="U487" s="94"/>
      <ns0:c r="V487" s="94"/>
      <ns0:c r="W487" s="97" t="n">
        <ns0:v>0.9</ns0:v>
      </ns0:c>
      <ns0:c r="X487" s="94" t="inlineStr">
        <ns0:is>
          <ns0:t>A · Premium local; vistas estimadas</ns0:t>
        </ns0:is>
      </ns0:c>
      <ns0:c r="Y487" s="94" t="inlineStr">
        <ns0:is>
          <ns0:t>Média</ns0:t>
        </ns0:is>
      </ns0:c>
      <ns0:c r="Z487" s="94" t="inlineStr">
        <ns0:is>
          <ns0:t>Preço pedido, não transação. Garagem/arrecadação não incluídas. Desconto de 5% mencionado na fonte não aplicado automaticamente. Tipologia de planta: G. Posição posterior 6–9; intervalo preliminar 2–3, sem confirmação por altura.</ns0:t>
        </ns0:is>
      </ns0:c>
      <ns0:c r="AA487" s="94" t="inlineStr">
        <ns0:is>
          <ns0:t>Confirmar vista, orientação, disponibilidade e condições atuais.</ns0:t>
        </ns0:is>
      </ns0:c>
      <ns0:c r="AB487" s="94" t="inlineStr">
        <ns0:is>
          <ns0:t>Média</ns0:t>
        </ns0:is>
      </ns0:c>
      <ns0:c r="AJ487" s="94" t="inlineStr">
        <ns0:is>
          <ns0:t>RB</ns0:t>
        </ns0:is>
      </ns0:c>
      <ns0:c r="AK487" s="94" t="inlineStr">
        <ns0:is>
          <ns0:t>Rooftop</ns0:t>
        </ns0:is>
      </ns0:c>
      <ns0:c r="AL487" s="94" t="n">
        <ns0:v>2</ns0:v>
      </ns0:c>
      <ns0:c r="AM487" s="94" t="n">
        <ns0:v>3</ns0:v>
      </ns0:c>
      <ns0:c r="AN487" s="94" t="inlineStr">
        <ns0:is>
          <ns0:t>Estimada · média</ns0:t>
        </ns0:is>
      </ns0:c>
      <ns0:c r="AO487" s="94" t="inlineStr">
        <ns0:is>
          <ns0:t>Estimativa de implantação fornecida pela gestão; piso considerado sem confirmação geométrica.</ns0:t>
        </ns0:is>
      </ns0:c>
      <ns0:c r="AP487" s="94" t="inlineStr">
        <ns0:is>
          <ns0:t>Sim</ns0:t>
        </ns0:is>
      </ns0:c>
      <ns0:c r="AQ487" s="94" t="inlineStr">
        <ns0:is>
          <ns0:t>Olhão</ns0:t>
        </ns0:is>
      </ns0:c>
      <ns0:c r="AR487" s="94" t="inlineStr">
        <ns0:is>
          <ns0:t>BelaFormosa Price List September 2026, p. 1</ns0:t>
        </ns0:is>
      </ns0:c>
    </ns0:row>
    <ns0:row r="488" ht="72" customHeight="1">
      <ns0:c r="A488" s="94" t="inlineStr">
        <ns0:is>
          <ns0:t>BelaFormosa</ns0:t>
        </ns0:is>
      </ns0:c>
      <ns0:c r="B488" s="94" t="inlineStr">
        <ns0:is>
          <ns0:t>RB607</ns0:t>
        </ns0:is>
      </ns0:c>
      <ns0:c r="C488" s="94" t="n">
        <ns0:v>6</ns0:v>
      </ns0:c>
      <ns0:c r="D488" s="94" t="inlineStr">
        <ns0:is>
          <ns0:t>T2 Rooftop</ns0:t>
        </ns0:is>
      </ns0:c>
      <ns0:c r="E488" s="94"/>
      <ns0:c r="F488" s="97" t="n">
        <ns0:v>89.25</ns0:v>
      </ns0:c>
      <ns0:c r="G488" s="97" t="n">
        <ns0:v>96.0</ns0:v>
      </ns0:c>
      <ns0:c r="H488" s="97" t="n">
        <ns0:v>185.25</ns0:v>
      </ns0:c>
      <ns0:c r="I488" s="95" t="n">
        <ns0:v>1750000</ns0:v>
      </ns0:c>
      <ns0:c r="J488" s="94" t="n">
        <ns0:v>2026</ns0:v>
      </ns0:c>
      <ns0:c r="K488" s="95" t="n">
        <ns0:v>19607.843137254902</ns0:v>
      </ns0:c>
      <ns0:c r="L488" s="95" t="n">
        <ns0:v>9446.693657219974</ns0:v>
      </ns0:c>
      <ns0:c r="M488" s="94" t="inlineStr">
        <ns0:is>
          <ns0:t>Ativo</ns0:t>
        </ns0:is>
      </ns0:c>
      <ns0:c r="N488" s="94" t="inlineStr">
        <ns0:is>
          <ns0:t>BelaFormosa · Price List September 2026 · p. 5</ns0:t>
        </ns0:is>
      </ns0:c>
      <ns0:c r="O488" s="94"/>
      <ns0:c r="P488" s="94" t="inlineStr">
        <ns0:is>
          <ns0:t>2026-09</ns0:t>
        </ns0:is>
      </ns0:c>
      <ns0:c r="Q488" s="94" t="inlineStr">
        <ns0:is>
          <ns0:t>Premium local</ns0:t>
        </ns0:is>
      </ns0:c>
      <ns0:c r="R488" s="94" t="inlineStr">
        <ns0:is>
          <ns0:t>Nova construção</ns0:t>
        </ns0:is>
      </ns0:c>
      <ns0:c r="S488" s="94"/>
      <ns0:c r="T488" s="94" t="inlineStr">
        <ns0:is>
          <ns0:t>Não incluído no preço; disponibilidade por confirmar</ns0:t>
        </ns0:is>
      </ns0:c>
      <ns0:c r="U488" s="94"/>
      <ns0:c r="V488" s="94"/>
      <ns0:c r="W488" s="97" t="n">
        <ns0:v>0.9</ns0:v>
      </ns0:c>
      <ns0:c r="X488" s="94" t="inlineStr">
        <ns0:is>
          <ns0:t>A · Premium local; vistas estimadas</ns0:t>
        </ns0:is>
      </ns0:c>
      <ns0:c r="Y488" s="94" t="inlineStr">
        <ns0:is>
          <ns0:t>Média</ns0:t>
        </ns0:is>
      </ns0:c>
      <ns0:c r="Z488" s="94" t="inlineStr">
        <ns0:is>
          <ns0:t>Preço pedido, não transação. Garagem/arrecadação não incluídas. Desconto de 5% mencionado na fonte não aplicado automaticamente. Tipologia de planta: C. Posição posterior 6–9; intervalo preliminar 2–3, sem confirmação por altura.</ns0:t>
        </ns0:is>
      </ns0:c>
      <ns0:c r="AA488" s="94" t="inlineStr">
        <ns0:is>
          <ns0:t>Confirmar vista, orientação, disponibilidade e condições atuais.</ns0:t>
        </ns0:is>
      </ns0:c>
      <ns0:c r="AB488" s="94" t="inlineStr">
        <ns0:is>
          <ns0:t>Média</ns0:t>
        </ns0:is>
      </ns0:c>
      <ns0:c r="AJ488" s="94" t="inlineStr">
        <ns0:is>
          <ns0:t>RB</ns0:t>
        </ns0:is>
      </ns0:c>
      <ns0:c r="AK488" s="94" t="inlineStr">
        <ns0:is>
          <ns0:t>Rooftop</ns0:t>
        </ns0:is>
      </ns0:c>
      <ns0:c r="AL488" s="94" t="n">
        <ns0:v>2</ns0:v>
      </ns0:c>
      <ns0:c r="AM488" s="94" t="n">
        <ns0:v>3</ns0:v>
      </ns0:c>
      <ns0:c r="AN488" s="94" t="inlineStr">
        <ns0:is>
          <ns0:t>Estimada · média</ns0:t>
        </ns0:is>
      </ns0:c>
      <ns0:c r="AO488" s="94" t="inlineStr">
        <ns0:is>
          <ns0:t>Estimativa de implantação fornecida pela gestão; piso considerado sem confirmação geométrica.</ns0:t>
        </ns0:is>
      </ns0:c>
      <ns0:c r="AP488" s="94" t="inlineStr">
        <ns0:is>
          <ns0:t>Sim</ns0:t>
        </ns0:is>
      </ns0:c>
      <ns0:c r="AQ488" s="94" t="inlineStr">
        <ns0:is>
          <ns0:t>Olhão</ns0:t>
        </ns0:is>
      </ns0:c>
      <ns0:c r="AR488" s="94" t="inlineStr">
        <ns0:is>
          <ns0:t>BelaFormosa Price List September 2026, p. 1</ns0:t>
        </ns0:is>
      </ns0:c>
    </ns0:row>
    <ns0:row r="489" ht="72" customHeight="1">
      <ns0:c r="A489" s="94" t="inlineStr">
        <ns0:is>
          <ns0:t>BelaFormosa</ns0:t>
        </ns0:is>
      </ns0:c>
      <ns0:c r="B489" s="94" t="inlineStr">
        <ns0:is>
          <ns0:t>RF101</ns0:t>
        </ns0:is>
      </ns0:c>
      <ns0:c r="C489" s="94" t="n">
        <ns0:v>1</ns0:v>
      </ns0:c>
      <ns0:c r="D489" s="94" t="inlineStr">
        <ns0:is>
          <ns0:t>T2</ns0:t>
        </ns0:is>
      </ns0:c>
      <ns0:c r="E489" s="94"/>
      <ns0:c r="F489" s="97" t="n">
        <ns0:v>100.25</ns0:v>
      </ns0:c>
      <ns0:c r="G489" s="97" t="n">
        <ns0:v>45.25</ns0:v>
      </ns0:c>
      <ns0:c r="H489" s="97" t="n">
        <ns0:v>145.5</ns0:v>
      </ns0:c>
      <ns0:c r="I489" s="95" t="n">
        <ns0:v>815000</ns0:v>
      </ns0:c>
      <ns0:c r="J489" s="94" t="n">
        <ns0:v>2026</ns0:v>
      </ns0:c>
      <ns0:c r="K489" s="95" t="n">
        <ns0:v>8129.675810473816</ns0:v>
      </ns0:c>
      <ns0:c r="L489" s="95" t="n">
        <ns0:v>5601.374570446736</ns0:v>
      </ns0:c>
      <ns0:c r="M489" s="94" t="inlineStr">
        <ns0:is>
          <ns0:t>Ativo</ns0:t>
        </ns0:is>
      </ns0:c>
      <ns0:c r="N489" s="94" t="inlineStr">
        <ns0:is>
          <ns0:t>BelaFormosa · Price List September 2026 · p. 6</ns0:t>
        </ns0:is>
      </ns0:c>
      <ns0:c r="O489" s="94"/>
      <ns0:c r="P489" s="94" t="inlineStr">
        <ns0:is>
          <ns0:t>2026-09</ns0:t>
        </ns0:is>
      </ns0:c>
      <ns0:c r="Q489" s="94" t="inlineStr">
        <ns0:is>
          <ns0:t>Premium local</ns0:t>
        </ns0:is>
      </ns0:c>
      <ns0:c r="R489" s="94" t="inlineStr">
        <ns0:is>
          <ns0:t>Nova construção</ns0:t>
        </ns0:is>
      </ns0:c>
      <ns0:c r="S489" s="94"/>
      <ns0:c r="T489" s="94" t="inlineStr">
        <ns0:is>
          <ns0:t>Não incluído no preço; disponibilidade por confirmar</ns0:t>
        </ns0:is>
      </ns0:c>
      <ns0:c r="U489" s="94"/>
      <ns0:c r="V489" s="94"/>
      <ns0:c r="W489" s="97" t="n">
        <ns0:v>0.9</ns0:v>
      </ns0:c>
      <ns0:c r="X489" s="94" t="inlineStr">
        <ns0:is>
          <ns0:t>A · Premium local; vistas estimadas</ns0:t>
        </ns0:is>
      </ns0:c>
      <ns0:c r="Y489" s="94" t="inlineStr">
        <ns0:is>
          <ns0:t>Média</ns0:t>
        </ns0:is>
      </ns0:c>
      <ns0:c r="Z489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89" s="94" t="inlineStr">
        <ns0:is>
          <ns0:t>Confirmar vista, orientação, disponibilidade e condições atuais.</ns0:t>
        </ns0:is>
      </ns0:c>
      <ns0:c r="AB489" s="94" t="inlineStr">
        <ns0:is>
          <ns0:t>Média</ns0:t>
        </ns0:is>
      </ns0:c>
      <ns0:c r="AJ489" s="94" t="inlineStr">
        <ns0:is>
          <ns0:t>RF</ns0:t>
        </ns0:is>
      </ns0:c>
      <ns0:c r="AK489" s="94" t="inlineStr">
        <ns0:is>
          <ns0:t>Convencional</ns0:t>
        </ns0:is>
      </ns0:c>
      <ns0:c r="AL489" s="94" t="n">
        <ns0:v>3</ns0:v>
      </ns0:c>
      <ns0:c r="AM489" s="94" t="n">
        <ns0:v>4</ns0:v>
      </ns0:c>
      <ns0:c r="AN489" s="94" t="inlineStr">
        <ns0:is>
          <ns0:t>Estimada · baixa</ns0:t>
        </ns0:is>
      </ns0:c>
      <ns0:c r="AO489" s="94" t="inlineStr">
        <ns0:is>
          <ns0:t>Estimativa de implantação fornecida pela gestão; piso considerado sem confirmação geométrica.</ns0:t>
        </ns0:is>
      </ns0:c>
      <ns0:c r="AP489" s="94" t="inlineStr">
        <ns0:is>
          <ns0:t>Sim</ns0:t>
        </ns0:is>
      </ns0:c>
      <ns0:c r="AQ489" s="94" t="inlineStr">
        <ns0:is>
          <ns0:t>Olhão</ns0:t>
        </ns0:is>
      </ns0:c>
      <ns0:c r="AR489" s="94" t="inlineStr">
        <ns0:is>
          <ns0:t>BelaFormosa Price List September 2026, p. 1</ns0:t>
        </ns0:is>
      </ns0:c>
    </ns0:row>
    <ns0:row r="490" ht="72" customHeight="1">
      <ns0:c r="A490" s="94" t="inlineStr">
        <ns0:is>
          <ns0:t>BelaFormosa</ns0:t>
        </ns0:is>
      </ns0:c>
      <ns0:c r="B490" s="94" t="inlineStr">
        <ns0:is>
          <ns0:t>RF102</ns0:t>
        </ns0:is>
      </ns0:c>
      <ns0:c r="C490" s="94" t="n">
        <ns0:v>1</ns0:v>
      </ns0:c>
      <ns0:c r="D490" s="94" t="inlineStr">
        <ns0:is>
          <ns0:t>T2</ns0:t>
        </ns0:is>
      </ns0:c>
      <ns0:c r="E490" s="94"/>
      <ns0:c r="F490" s="97" t="n">
        <ns0:v>100.25</ns0:v>
      </ns0:c>
      <ns0:c r="G490" s="97" t="n">
        <ns0:v>41.0</ns0:v>
      </ns0:c>
      <ns0:c r="H490" s="97" t="n">
        <ns0:v>141.25</ns0:v>
      </ns0:c>
      <ns0:c r="I490" s="95" t="n">
        <ns0:v>820000</ns0:v>
      </ns0:c>
      <ns0:c r="J490" s="94" t="n">
        <ns0:v>2026</ns0:v>
      </ns0:c>
      <ns0:c r="K490" s="95" t="n">
        <ns0:v>8179.5511221945135</ns0:v>
      </ns0:c>
      <ns0:c r="L490" s="95" t="n">
        <ns0:v>5805.309734513275</ns0:v>
      </ns0:c>
      <ns0:c r="M490" s="94" t="inlineStr">
        <ns0:is>
          <ns0:t>Ativo</ns0:t>
        </ns0:is>
      </ns0:c>
      <ns0:c r="N490" s="94" t="inlineStr">
        <ns0:is>
          <ns0:t>BelaFormosa · Price List September 2026 · p. 6</ns0:t>
        </ns0:is>
      </ns0:c>
      <ns0:c r="O490" s="94"/>
      <ns0:c r="P490" s="94" t="inlineStr">
        <ns0:is>
          <ns0:t>2026-09</ns0:t>
        </ns0:is>
      </ns0:c>
      <ns0:c r="Q490" s="94" t="inlineStr">
        <ns0:is>
          <ns0:t>Premium local</ns0:t>
        </ns0:is>
      </ns0:c>
      <ns0:c r="R490" s="94" t="inlineStr">
        <ns0:is>
          <ns0:t>Nova construção</ns0:t>
        </ns0:is>
      </ns0:c>
      <ns0:c r="S490" s="94"/>
      <ns0:c r="T490" s="94" t="inlineStr">
        <ns0:is>
          <ns0:t>Não incluído no preço; disponibilidade por confirmar</ns0:t>
        </ns0:is>
      </ns0:c>
      <ns0:c r="U490" s="94"/>
      <ns0:c r="V490" s="94"/>
      <ns0:c r="W490" s="97" t="n">
        <ns0:v>0.9</ns0:v>
      </ns0:c>
      <ns0:c r="X490" s="94" t="inlineStr">
        <ns0:is>
          <ns0:t>A · Premium local; vistas estimadas</ns0:t>
        </ns0:is>
      </ns0:c>
      <ns0:c r="Y490" s="94" t="inlineStr">
        <ns0:is>
          <ns0:t>Média</ns0:t>
        </ns0:is>
      </ns0:c>
      <ns0:c r="Z490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90" s="94" t="inlineStr">
        <ns0:is>
          <ns0:t>Confirmar vista, orientação, disponibilidade e condições atuais.</ns0:t>
        </ns0:is>
      </ns0:c>
      <ns0:c r="AB490" s="94" t="inlineStr">
        <ns0:is>
          <ns0:t>Média</ns0:t>
        </ns0:is>
      </ns0:c>
      <ns0:c r="AJ490" s="94" t="inlineStr">
        <ns0:is>
          <ns0:t>RF</ns0:t>
        </ns0:is>
      </ns0:c>
      <ns0:c r="AK490" s="94" t="inlineStr">
        <ns0:is>
          <ns0:t>Convencional</ns0:t>
        </ns0:is>
      </ns0:c>
      <ns0:c r="AL490" s="94" t="n">
        <ns0:v>3</ns0:v>
      </ns0:c>
      <ns0:c r="AM490" s="94" t="n">
        <ns0:v>4</ns0:v>
      </ns0:c>
      <ns0:c r="AN490" s="94" t="inlineStr">
        <ns0:is>
          <ns0:t>Estimada · baixa</ns0:t>
        </ns0:is>
      </ns0:c>
      <ns0:c r="AO490" s="94" t="inlineStr">
        <ns0:is>
          <ns0:t>Estimativa de implantação fornecida pela gestão; piso considerado sem confirmação geométrica.</ns0:t>
        </ns0:is>
      </ns0:c>
      <ns0:c r="AP490" s="94" t="inlineStr">
        <ns0:is>
          <ns0:t>Sim</ns0:t>
        </ns0:is>
      </ns0:c>
      <ns0:c r="AQ490" s="94" t="inlineStr">
        <ns0:is>
          <ns0:t>Olhão</ns0:t>
        </ns0:is>
      </ns0:c>
      <ns0:c r="AR490" s="94" t="inlineStr">
        <ns0:is>
          <ns0:t>BelaFormosa Price List September 2026, p. 1</ns0:t>
        </ns0:is>
      </ns0:c>
    </ns0:row>
    <ns0:row r="491" ht="72" customHeight="1">
      <ns0:c r="A491" s="94" t="inlineStr">
        <ns0:is>
          <ns0:t>BelaFormosa</ns0:t>
        </ns0:is>
      </ns0:c>
      <ns0:c r="B491" s="94" t="inlineStr">
        <ns0:is>
          <ns0:t>RF103</ns0:t>
        </ns0:is>
      </ns0:c>
      <ns0:c r="C491" s="94" t="n">
        <ns0:v>1</ns0:v>
      </ns0:c>
      <ns0:c r="D491" s="94" t="inlineStr">
        <ns0:is>
          <ns0:t>T2</ns0:t>
        </ns0:is>
      </ns0:c>
      <ns0:c r="E491" s="94"/>
      <ns0:c r="F491" s="97" t="n">
        <ns0:v>100.25</ns0:v>
      </ns0:c>
      <ns0:c r="G491" s="97" t="n">
        <ns0:v>41.0</ns0:v>
      </ns0:c>
      <ns0:c r="H491" s="97" t="n">
        <ns0:v>141.25</ns0:v>
      </ns0:c>
      <ns0:c r="I491" s="95" t="n">
        <ns0:v>875000</ns0:v>
      </ns0:c>
      <ns0:c r="J491" s="94" t="n">
        <ns0:v>2026</ns0:v>
      </ns0:c>
      <ns0:c r="K491" s="95" t="n">
        <ns0:v>8728.179551122195</ns0:v>
      </ns0:c>
      <ns0:c r="L491" s="95" t="n">
        <ns0:v>6194.690265486725</ns0:v>
      </ns0:c>
      <ns0:c r="M491" s="94" t="inlineStr">
        <ns0:is>
          <ns0:t>Ativo</ns0:t>
        </ns0:is>
      </ns0:c>
      <ns0:c r="N491" s="94" t="inlineStr">
        <ns0:is>
          <ns0:t>BelaFormosa · Price List September 2026 · p. 6</ns0:t>
        </ns0:is>
      </ns0:c>
      <ns0:c r="O491" s="94"/>
      <ns0:c r="P491" s="94" t="inlineStr">
        <ns0:is>
          <ns0:t>2026-09</ns0:t>
        </ns0:is>
      </ns0:c>
      <ns0:c r="Q491" s="94" t="inlineStr">
        <ns0:is>
          <ns0:t>Premium local</ns0:t>
        </ns0:is>
      </ns0:c>
      <ns0:c r="R491" s="94" t="inlineStr">
        <ns0:is>
          <ns0:t>Nova construção</ns0:t>
        </ns0:is>
      </ns0:c>
      <ns0:c r="S491" s="94"/>
      <ns0:c r="T491" s="94" t="inlineStr">
        <ns0:is>
          <ns0:t>Não incluído no preço; disponibilidade por confirmar</ns0:t>
        </ns0:is>
      </ns0:c>
      <ns0:c r="U491" s="94"/>
      <ns0:c r="V491" s="94"/>
      <ns0:c r="W491" s="97" t="n">
        <ns0:v>0.9</ns0:v>
      </ns0:c>
      <ns0:c r="X491" s="94" t="inlineStr">
        <ns0:is>
          <ns0:t>A · Premium local; vistas estimadas</ns0:t>
        </ns0:is>
      </ns0:c>
      <ns0:c r="Y491" s="94" t="inlineStr">
        <ns0:is>
          <ns0:t>Média</ns0:t>
        </ns0:is>
      </ns0:c>
      <ns0:c r="Z491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91" s="94" t="inlineStr">
        <ns0:is>
          <ns0:t>Confirmar vista, orientação, disponibilidade e condições atuais.</ns0:t>
        </ns0:is>
      </ns0:c>
      <ns0:c r="AB491" s="94" t="inlineStr">
        <ns0:is>
          <ns0:t>Média</ns0:t>
        </ns0:is>
      </ns0:c>
      <ns0:c r="AJ491" s="94" t="inlineStr">
        <ns0:is>
          <ns0:t>RF</ns0:t>
        </ns0:is>
      </ns0:c>
      <ns0:c r="AK491" s="94" t="inlineStr">
        <ns0:is>
          <ns0:t>Convencional</ns0:t>
        </ns0:is>
      </ns0:c>
      <ns0:c r="AL491" s="94" t="n">
        <ns0:v>3</ns0:v>
      </ns0:c>
      <ns0:c r="AM491" s="94" t="n">
        <ns0:v>4</ns0:v>
      </ns0:c>
      <ns0:c r="AN491" s="94" t="inlineStr">
        <ns0:is>
          <ns0:t>Estimada · baixa</ns0:t>
        </ns0:is>
      </ns0:c>
      <ns0:c r="AO491" s="94" t="inlineStr">
        <ns0:is>
          <ns0:t>Estimativa de implantação fornecida pela gestão; piso considerado sem confirmação geométrica.</ns0:t>
        </ns0:is>
      </ns0:c>
      <ns0:c r="AP491" s="94" t="inlineStr">
        <ns0:is>
          <ns0:t>Sim</ns0:t>
        </ns0:is>
      </ns0:c>
      <ns0:c r="AQ491" s="94" t="inlineStr">
        <ns0:is>
          <ns0:t>Olhão</ns0:t>
        </ns0:is>
      </ns0:c>
      <ns0:c r="AR491" s="94" t="inlineStr">
        <ns0:is>
          <ns0:t>BelaFormosa Price List September 2026, p. 1</ns0:t>
        </ns0:is>
      </ns0:c>
    </ns0:row>
    <ns0:row r="492" ht="72" customHeight="1">
      <ns0:c r="A492" s="94" t="inlineStr">
        <ns0:is>
          <ns0:t>BelaFormosa</ns0:t>
        </ns0:is>
      </ns0:c>
      <ns0:c r="B492" s="94" t="inlineStr">
        <ns0:is>
          <ns0:t>RF104</ns0:t>
        </ns0:is>
      </ns0:c>
      <ns0:c r="C492" s="94" t="n">
        <ns0:v>1</ns0:v>
      </ns0:c>
      <ns0:c r="D492" s="94" t="inlineStr">
        <ns0:is>
          <ns0:t>T3</ns0:t>
        </ns0:is>
      </ns0:c>
      <ns0:c r="E492" s="94"/>
      <ns0:c r="F492" s="97" t="n">
        <ns0:v>164.5</ns0:v>
      </ns0:c>
      <ns0:c r="G492" s="97" t="n">
        <ns0:v>103.0</ns0:v>
      </ns0:c>
      <ns0:c r="H492" s="97" t="n">
        <ns0:v>267.5</ns0:v>
      </ns0:c>
      <ns0:c r="I492" s="95" t="n">
        <ns0:v>1855000</ns0:v>
      </ns0:c>
      <ns0:c r="J492" s="94" t="n">
        <ns0:v>2026</ns0:v>
      </ns0:c>
      <ns0:c r="K492" s="95" t="n">
        <ns0:v>11276.595744680852</ns0:v>
      </ns0:c>
      <ns0:c r="L492" s="95" t="n">
        <ns0:v>6934.579439252337</ns0:v>
      </ns0:c>
      <ns0:c r="M492" s="94" t="inlineStr">
        <ns0:is>
          <ns0:t>Ativo</ns0:t>
        </ns0:is>
      </ns0:c>
      <ns0:c r="N492" s="94" t="inlineStr">
        <ns0:is>
          <ns0:t>BelaFormosa · Price List September 2026 · p. 6</ns0:t>
        </ns0:is>
      </ns0:c>
      <ns0:c r="O492" s="94"/>
      <ns0:c r="P492" s="94" t="inlineStr">
        <ns0:is>
          <ns0:t>2026-09</ns0:t>
        </ns0:is>
      </ns0:c>
      <ns0:c r="Q492" s="94" t="inlineStr">
        <ns0:is>
          <ns0:t>Premium local</ns0:t>
        </ns0:is>
      </ns0:c>
      <ns0:c r="R492" s="94" t="inlineStr">
        <ns0:is>
          <ns0:t>Nova construção</ns0:t>
        </ns0:is>
      </ns0:c>
      <ns0:c r="S492" s="94"/>
      <ns0:c r="T492" s="94" t="inlineStr">
        <ns0:is>
          <ns0:t>Não incluído no preço; disponibilidade por confirmar</ns0:t>
        </ns0:is>
      </ns0:c>
      <ns0:c r="U492" s="94"/>
      <ns0:c r="V492" s="94"/>
      <ns0:c r="W492" s="97" t="n">
        <ns0:v>0.9</ns0:v>
      </ns0:c>
      <ns0:c r="X492" s="94" t="inlineStr">
        <ns0:is>
          <ns0:t>A · Premium local; vistas estimadas</ns0:t>
        </ns0:is>
      </ns0:c>
      <ns0:c r="Y492" s="94" t="inlineStr">
        <ns0:is>
          <ns0:t>Média</ns0:t>
        </ns0:is>
      </ns0:c>
      <ns0:c r="Z492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492" s="94" t="inlineStr">
        <ns0:is>
          <ns0:t>Confirmar vista, orientação, disponibilidade e condições atuais.</ns0:t>
        </ns0:is>
      </ns0:c>
      <ns0:c r="AB492" s="94" t="inlineStr">
        <ns0:is>
          <ns0:t>Média</ns0:t>
        </ns0:is>
      </ns0:c>
      <ns0:c r="AJ492" s="94" t="inlineStr">
        <ns0:is>
          <ns0:t>RF</ns0:t>
        </ns0:is>
      </ns0:c>
      <ns0:c r="AK492" s="94" t="inlineStr">
        <ns0:is>
          <ns0:t>Convencional</ns0:t>
        </ns0:is>
      </ns0:c>
      <ns0:c r="AL492" s="94" t="n">
        <ns0:v>1</ns0:v>
      </ns0:c>
      <ns0:c r="AM492" s="94" t="n">
        <ns0:v>1</ns0:v>
      </ns0:c>
      <ns0:c r="AN492" s="94" t="inlineStr">
        <ns0:is>
          <ns0:t>Estimada · baixa</ns0:t>
        </ns0:is>
      </ns0:c>
      <ns0:c r="AO492" s="94" t="inlineStr">
        <ns0:is>
          <ns0:t>Estimativa de implantação fornecida pela gestão; piso considerado sem confirmação geométrica.</ns0:t>
        </ns0:is>
      </ns0:c>
      <ns0:c r="AP492" s="94" t="inlineStr">
        <ns0:is>
          <ns0:t>Sim</ns0:t>
        </ns0:is>
      </ns0:c>
      <ns0:c r="AQ492" s="94" t="inlineStr">
        <ns0:is>
          <ns0:t>Olhão</ns0:t>
        </ns0:is>
      </ns0:c>
      <ns0:c r="AR492" s="94" t="inlineStr">
        <ns0:is>
          <ns0:t>BelaFormosa Price List September 2026, p. 1</ns0:t>
        </ns0:is>
      </ns0:c>
    </ns0:row>
    <ns0:row r="493" ht="72" customHeight="1">
      <ns0:c r="A493" s="94" t="inlineStr">
        <ns0:is>
          <ns0:t>BelaFormosa</ns0:t>
        </ns0:is>
      </ns0:c>
      <ns0:c r="B493" s="94" t="inlineStr">
        <ns0:is>
          <ns0:t>RF105</ns0:t>
        </ns0:is>
      </ns0:c>
      <ns0:c r="C493" s="94" t="n">
        <ns0:v>1</ns0:v>
      </ns0:c>
      <ns0:c r="D493" s="94" t="inlineStr">
        <ns0:is>
          <ns0:t>T3</ns0:t>
        </ns0:is>
      </ns0:c>
      <ns0:c r="E493" s="94"/>
      <ns0:c r="F493" s="97" t="n">
        <ns0:v>164.5</ns0:v>
      </ns0:c>
      <ns0:c r="G493" s="97" t="n">
        <ns0:v>114.5</ns0:v>
      </ns0:c>
      <ns0:c r="H493" s="97" t="n">
        <ns0:v>279.0</ns0:v>
      </ns0:c>
      <ns0:c r="I493" s="95" t="n">
        <ns0:v>1855000</ns0:v>
      </ns0:c>
      <ns0:c r="J493" s="94" t="n">
        <ns0:v>2026</ns0:v>
      </ns0:c>
      <ns0:c r="K493" s="95" t="n">
        <ns0:v>11276.595744680852</ns0:v>
      </ns0:c>
      <ns0:c r="L493" s="95" t="n">
        <ns0:v>6648.745519713261</ns0:v>
      </ns0:c>
      <ns0:c r="M493" s="94" t="inlineStr">
        <ns0:is>
          <ns0:t>Ativo</ns0:t>
        </ns0:is>
      </ns0:c>
      <ns0:c r="N493" s="94" t="inlineStr">
        <ns0:is>
          <ns0:t>BelaFormosa · Price List September 2026 · p. 6</ns0:t>
        </ns0:is>
      </ns0:c>
      <ns0:c r="O493" s="94"/>
      <ns0:c r="P493" s="94" t="inlineStr">
        <ns0:is>
          <ns0:t>2026-09</ns0:t>
        </ns0:is>
      </ns0:c>
      <ns0:c r="Q493" s="94" t="inlineStr">
        <ns0:is>
          <ns0:t>Premium local</ns0:t>
        </ns0:is>
      </ns0:c>
      <ns0:c r="R493" s="94" t="inlineStr">
        <ns0:is>
          <ns0:t>Nova construção</ns0:t>
        </ns0:is>
      </ns0:c>
      <ns0:c r="S493" s="94"/>
      <ns0:c r="T493" s="94" t="inlineStr">
        <ns0:is>
          <ns0:t>Não incluído no preço; disponibilidade por confirmar</ns0:t>
        </ns0:is>
      </ns0:c>
      <ns0:c r="U493" s="94"/>
      <ns0:c r="V493" s="94"/>
      <ns0:c r="W493" s="97" t="n">
        <ns0:v>0.9</ns0:v>
      </ns0:c>
      <ns0:c r="X493" s="94" t="inlineStr">
        <ns0:is>
          <ns0:t>A · Premium local; vistas estimadas</ns0:t>
        </ns0:is>
      </ns0:c>
      <ns0:c r="Y493" s="94" t="inlineStr">
        <ns0:is>
          <ns0:t>Média</ns0:t>
        </ns0:is>
      </ns0:c>
      <ns0:c r="Z493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493" s="94" t="inlineStr">
        <ns0:is>
          <ns0:t>Confirmar vista, orientação, disponibilidade e condições atuais.</ns0:t>
        </ns0:is>
      </ns0:c>
      <ns0:c r="AB493" s="94" t="inlineStr">
        <ns0:is>
          <ns0:t>Média</ns0:t>
        </ns0:is>
      </ns0:c>
      <ns0:c r="AJ493" s="94" t="inlineStr">
        <ns0:is>
          <ns0:t>RF</ns0:t>
        </ns0:is>
      </ns0:c>
      <ns0:c r="AK493" s="94" t="inlineStr">
        <ns0:is>
          <ns0:t>Convencional</ns0:t>
        </ns0:is>
      </ns0:c>
      <ns0:c r="AL493" s="94" t="n">
        <ns0:v>1</ns0:v>
      </ns0:c>
      <ns0:c r="AM493" s="94" t="n">
        <ns0:v>1</ns0:v>
      </ns0:c>
      <ns0:c r="AN493" s="94" t="inlineStr">
        <ns0:is>
          <ns0:t>Estimada · baixa</ns0:t>
        </ns0:is>
      </ns0:c>
      <ns0:c r="AO493" s="94" t="inlineStr">
        <ns0:is>
          <ns0:t>Estimativa de implantação fornecida pela gestão; piso considerado sem confirmação geométrica.</ns0:t>
        </ns0:is>
      </ns0:c>
      <ns0:c r="AP493" s="94" t="inlineStr">
        <ns0:is>
          <ns0:t>Sim</ns0:t>
        </ns0:is>
      </ns0:c>
      <ns0:c r="AQ493" s="94" t="inlineStr">
        <ns0:is>
          <ns0:t>Olhão</ns0:t>
        </ns0:is>
      </ns0:c>
      <ns0:c r="AR493" s="94" t="inlineStr">
        <ns0:is>
          <ns0:t>BelaFormosa Price List September 2026, p. 1</ns0:t>
        </ns0:is>
      </ns0:c>
    </ns0:row>
    <ns0:row r="494" ht="72" customHeight="1">
      <ns0:c r="A494" s="94" t="inlineStr">
        <ns0:is>
          <ns0:t>BelaFormosa</ns0:t>
        </ns0:is>
      </ns0:c>
      <ns0:c r="B494" s="94" t="inlineStr">
        <ns0:is>
          <ns0:t>RF106</ns0:t>
        </ns0:is>
      </ns0:c>
      <ns0:c r="C494" s="94" t="n">
        <ns0:v>1</ns0:v>
      </ns0:c>
      <ns0:c r="D494" s="94" t="inlineStr">
        <ns0:is>
          <ns0:t>T2</ns0:t>
        </ns0:is>
      </ns0:c>
      <ns0:c r="E494" s="94"/>
      <ns0:c r="F494" s="97" t="n">
        <ns0:v>100.25</ns0:v>
      </ns0:c>
      <ns0:c r="G494" s="97" t="n">
        <ns0:v>48.75</ns0:v>
      </ns0:c>
      <ns0:c r="H494" s="97" t="n">
        <ns0:v>149.0</ns0:v>
      </ns0:c>
      <ns0:c r="I494" s="95" t="n">
        <ns0:v>1000000</ns0:v>
      </ns0:c>
      <ns0:c r="J494" s="94" t="n">
        <ns0:v>2026</ns0:v>
      </ns0:c>
      <ns0:c r="K494" s="95" t="n">
        <ns0:v>9975.062344139651</ns0:v>
      </ns0:c>
      <ns0:c r="L494" s="95" t="n">
        <ns0:v>6711.4093959731545</ns0:v>
      </ns0:c>
      <ns0:c r="M494" s="94" t="inlineStr">
        <ns0:is>
          <ns0:t>Ativo</ns0:t>
        </ns0:is>
      </ns0:c>
      <ns0:c r="N494" s="94" t="inlineStr">
        <ns0:is>
          <ns0:t>BelaFormosa · Price List September 2026 · p. 6</ns0:t>
        </ns0:is>
      </ns0:c>
      <ns0:c r="O494" s="94"/>
      <ns0:c r="P494" s="94" t="inlineStr">
        <ns0:is>
          <ns0:t>2026-09</ns0:t>
        </ns0:is>
      </ns0:c>
      <ns0:c r="Q494" s="94" t="inlineStr">
        <ns0:is>
          <ns0:t>Premium local</ns0:t>
        </ns0:is>
      </ns0:c>
      <ns0:c r="R494" s="94" t="inlineStr">
        <ns0:is>
          <ns0:t>Nova construção</ns0:t>
        </ns0:is>
      </ns0:c>
      <ns0:c r="S494" s="94"/>
      <ns0:c r="T494" s="94" t="inlineStr">
        <ns0:is>
          <ns0:t>Não incluído no preço; disponibilidade por confirmar</ns0:t>
        </ns0:is>
      </ns0:c>
      <ns0:c r="U494" s="94"/>
      <ns0:c r="V494" s="94"/>
      <ns0:c r="W494" s="97" t="n">
        <ns0:v>0.9</ns0:v>
      </ns0:c>
      <ns0:c r="X494" s="94" t="inlineStr">
        <ns0:is>
          <ns0:t>A · Premium local; vistas estimadas</ns0:t>
        </ns0:is>
      </ns0:c>
      <ns0:c r="Y494" s="94" t="inlineStr">
        <ns0:is>
          <ns0:t>Média</ns0:t>
        </ns0:is>
      </ns0:c>
      <ns0:c r="Z494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94" s="94" t="inlineStr">
        <ns0:is>
          <ns0:t>Confirmar vista, orientação, disponibilidade e condições atuais.</ns0:t>
        </ns0:is>
      </ns0:c>
      <ns0:c r="AB494" s="94" t="inlineStr">
        <ns0:is>
          <ns0:t>Média</ns0:t>
        </ns0:is>
      </ns0:c>
      <ns0:c r="AJ494" s="94" t="inlineStr">
        <ns0:is>
          <ns0:t>RF</ns0:t>
        </ns0:is>
      </ns0:c>
      <ns0:c r="AK494" s="94" t="inlineStr">
        <ns0:is>
          <ns0:t>Convencional</ns0:t>
        </ns0:is>
      </ns0:c>
      <ns0:c r="AL494" s="94" t="n">
        <ns0:v>2</ns0:v>
      </ns0:c>
      <ns0:c r="AM494" s="94" t="n">
        <ns0:v>3</ns0:v>
      </ns0:c>
      <ns0:c r="AN494" s="94" t="inlineStr">
        <ns0:is>
          <ns0:t>Estimada · baixa</ns0:t>
        </ns0:is>
      </ns0:c>
      <ns0:c r="AO494" s="94" t="inlineStr">
        <ns0:is>
          <ns0:t>Estimativa de implantação fornecida pela gestão; piso considerado sem confirmação geométrica.</ns0:t>
        </ns0:is>
      </ns0:c>
      <ns0:c r="AP494" s="94" t="inlineStr">
        <ns0:is>
          <ns0:t>Sim</ns0:t>
        </ns0:is>
      </ns0:c>
      <ns0:c r="AQ494" s="94" t="inlineStr">
        <ns0:is>
          <ns0:t>Olhão</ns0:t>
        </ns0:is>
      </ns0:c>
      <ns0:c r="AR494" s="94" t="inlineStr">
        <ns0:is>
          <ns0:t>BelaFormosa Price List September 2026, p. 1</ns0:t>
        </ns0:is>
      </ns0:c>
    </ns0:row>
    <ns0:row r="495" ht="72" customHeight="1">
      <ns0:c r="A495" s="94" t="inlineStr">
        <ns0:is>
          <ns0:t>BelaFormosa</ns0:t>
        </ns0:is>
      </ns0:c>
      <ns0:c r="B495" s="94" t="inlineStr">
        <ns0:is>
          <ns0:t>RF107</ns0:t>
        </ns0:is>
      </ns0:c>
      <ns0:c r="C495" s="94" t="n">
        <ns0:v>1</ns0:v>
      </ns0:c>
      <ns0:c r="D495" s="94" t="inlineStr">
        <ns0:is>
          <ns0:t>T2</ns0:t>
        </ns0:is>
      </ns0:c>
      <ns0:c r="E495" s="94"/>
      <ns0:c r="F495" s="97" t="n">
        <ns0:v>100.25</ns0:v>
      </ns0:c>
      <ns0:c r="G495" s="97" t="n">
        <ns0:v>48.5</ns0:v>
      </ns0:c>
      <ns0:c r="H495" s="97" t="n">
        <ns0:v>148.75</ns0:v>
      </ns0:c>
      <ns0:c r="I495" s="95" t="n">
        <ns0:v>980000</ns0:v>
      </ns0:c>
      <ns0:c r="J495" s="94" t="n">
        <ns0:v>2026</ns0:v>
      </ns0:c>
      <ns0:c r="K495" s="95" t="n">
        <ns0:v>9775.561097256857</ns0:v>
      </ns0:c>
      <ns0:c r="L495" s="95" t="n">
        <ns0:v>6588.235294117647</ns0:v>
      </ns0:c>
      <ns0:c r="M495" s="94" t="inlineStr">
        <ns0:is>
          <ns0:t>Ativo</ns0:t>
        </ns0:is>
      </ns0:c>
      <ns0:c r="N495" s="94" t="inlineStr">
        <ns0:is>
          <ns0:t>BelaFormosa · Price List September 2026 · p. 6</ns0:t>
        </ns0:is>
      </ns0:c>
      <ns0:c r="O495" s="94"/>
      <ns0:c r="P495" s="94" t="inlineStr">
        <ns0:is>
          <ns0:t>2026-09</ns0:t>
        </ns0:is>
      </ns0:c>
      <ns0:c r="Q495" s="94" t="inlineStr">
        <ns0:is>
          <ns0:t>Premium local</ns0:t>
        </ns0:is>
      </ns0:c>
      <ns0:c r="R495" s="94" t="inlineStr">
        <ns0:is>
          <ns0:t>Nova construção</ns0:t>
        </ns0:is>
      </ns0:c>
      <ns0:c r="S495" s="94"/>
      <ns0:c r="T495" s="94" t="inlineStr">
        <ns0:is>
          <ns0:t>Não incluído no preço; disponibilidade por confirmar</ns0:t>
        </ns0:is>
      </ns0:c>
      <ns0:c r="U495" s="94"/>
      <ns0:c r="V495" s="94"/>
      <ns0:c r="W495" s="97" t="n">
        <ns0:v>0.9</ns0:v>
      </ns0:c>
      <ns0:c r="X495" s="94" t="inlineStr">
        <ns0:is>
          <ns0:t>A · Premium local; vistas estimadas</ns0:t>
        </ns0:is>
      </ns0:c>
      <ns0:c r="Y495" s="94" t="inlineStr">
        <ns0:is>
          <ns0:t>Média</ns0:t>
        </ns0:is>
      </ns0:c>
      <ns0:c r="Z495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495" s="94" t="inlineStr">
        <ns0:is>
          <ns0:t>Confirmar vista, orientação, disponibilidade e condições atuais.</ns0:t>
        </ns0:is>
      </ns0:c>
      <ns0:c r="AB495" s="94" t="inlineStr">
        <ns0:is>
          <ns0:t>Média</ns0:t>
        </ns0:is>
      </ns0:c>
      <ns0:c r="AJ495" s="94" t="inlineStr">
        <ns0:is>
          <ns0:t>RF</ns0:t>
        </ns0:is>
      </ns0:c>
      <ns0:c r="AK495" s="94" t="inlineStr">
        <ns0:is>
          <ns0:t>Convencional</ns0:t>
        </ns0:is>
      </ns0:c>
      <ns0:c r="AL495" s="94" t="n">
        <ns0:v>2</ns0:v>
      </ns0:c>
      <ns0:c r="AM495" s="94" t="n">
        <ns0:v>3</ns0:v>
      </ns0:c>
      <ns0:c r="AN495" s="94" t="inlineStr">
        <ns0:is>
          <ns0:t>Estimada · baixa</ns0:t>
        </ns0:is>
      </ns0:c>
      <ns0:c r="AO495" s="94" t="inlineStr">
        <ns0:is>
          <ns0:t>Estimativa de implantação fornecida pela gestão; piso considerado sem confirmação geométrica.</ns0:t>
        </ns0:is>
      </ns0:c>
      <ns0:c r="AP495" s="94" t="inlineStr">
        <ns0:is>
          <ns0:t>Sim</ns0:t>
        </ns0:is>
      </ns0:c>
      <ns0:c r="AQ495" s="94" t="inlineStr">
        <ns0:is>
          <ns0:t>Olhão</ns0:t>
        </ns0:is>
      </ns0:c>
      <ns0:c r="AR495" s="94" t="inlineStr">
        <ns0:is>
          <ns0:t>BelaFormosa Price List September 2026, p. 1</ns0:t>
        </ns0:is>
      </ns0:c>
    </ns0:row>
    <ns0:row r="496" ht="72" customHeight="1">
      <ns0:c r="A496" s="94" t="inlineStr">
        <ns0:is>
          <ns0:t>BelaFormosa</ns0:t>
        </ns0:is>
      </ns0:c>
      <ns0:c r="B496" s="94" t="inlineStr">
        <ns0:is>
          <ns0:t>RF108</ns0:t>
        </ns0:is>
      </ns0:c>
      <ns0:c r="C496" s="94" t="n">
        <ns0:v>1</ns0:v>
      </ns0:c>
      <ns0:c r="D496" s="94" t="inlineStr">
        <ns0:is>
          <ns0:t>T1</ns0:t>
        </ns0:is>
      </ns0:c>
      <ns0:c r="E496" s="94"/>
      <ns0:c r="F496" s="97" t="n">
        <ns0:v>71.0</ns0:v>
      </ns0:c>
      <ns0:c r="G496" s="97" t="n">
        <ns0:v>46.25</ns0:v>
      </ns0:c>
      <ns0:c r="H496" s="97" t="n">
        <ns0:v>117.25</ns0:v>
      </ns0:c>
      <ns0:c r="I496" s="95" t="n">
        <ns0:v>430000</ns0:v>
      </ns0:c>
      <ns0:c r="J496" s="94" t="n">
        <ns0:v>2026</ns0:v>
      </ns0:c>
      <ns0:c r="K496" s="95" t="n">
        <ns0:v>6056.338028169014</ns0:v>
      </ns0:c>
      <ns0:c r="L496" s="95" t="n">
        <ns0:v>3667.3773987206823</ns0:v>
      </ns0:c>
      <ns0:c r="M496" s="94" t="inlineStr">
        <ns0:is>
          <ns0:t>Reservado</ns0:t>
        </ns0:is>
      </ns0:c>
      <ns0:c r="N496" s="94" t="inlineStr">
        <ns0:is>
          <ns0:t>BelaFormosa · Price List September 2026 · p. 6</ns0:t>
        </ns0:is>
      </ns0:c>
      <ns0:c r="O496" s="94"/>
      <ns0:c r="P496" s="94" t="inlineStr">
        <ns0:is>
          <ns0:t>2026-09</ns0:t>
        </ns0:is>
      </ns0:c>
      <ns0:c r="Q496" s="94" t="inlineStr">
        <ns0:is>
          <ns0:t>Premium local</ns0:t>
        </ns0:is>
      </ns0:c>
      <ns0:c r="R496" s="94" t="inlineStr">
        <ns0:is>
          <ns0:t>Nova construção</ns0:t>
        </ns0:is>
      </ns0:c>
      <ns0:c r="S496" s="94"/>
      <ns0:c r="T496" s="94" t="inlineStr">
        <ns0:is>
          <ns0:t>Não incluído no preço; disponibilidade por confirmar</ns0:t>
        </ns0:is>
      </ns0:c>
      <ns0:c r="U496" s="94"/>
      <ns0:c r="V496" s="94"/>
      <ns0:c r="W496" s="97" t="n">
        <ns0:v>0.9</ns0:v>
      </ns0:c>
      <ns0:c r="X496" s="94" t="inlineStr">
        <ns0:is>
          <ns0:t>A · Premium local; vistas estimadas</ns0:t>
        </ns0:is>
      </ns0:c>
      <ns0:c r="Y496" s="94" t="inlineStr">
        <ns0:is>
          <ns0:t>Média</ns0:t>
        </ns0:is>
      </ns0:c>
      <ns0:c r="Z496" s="94" t="inlineStr">
        <ns0:is>
          <ns0:t>Preço pedido, não transação. Garagem/arrecadação não incluídas. Desconto de 5% mencionado na fonte não aplicado automaticamente. Tipologia de planta: B. Posição interior frontal; intervalo preliminar 2–3, sem confirmação por altura. Reservado, não vendido. Preço extraído mantido por autorização da gestão; não constitui oferta ativa.</ns0:t>
        </ns0:is>
      </ns0:c>
      <ns0:c r="AA496" s="94" t="inlineStr">
        <ns0:is>
          <ns0:t>Confirmar vista, orientação, disponibilidade e condições atuais.</ns0:t>
        </ns0:is>
      </ns0:c>
      <ns0:c r="AB496" s="94" t="inlineStr">
        <ns0:is>
          <ns0:t>Alta</ns0:t>
        </ns0:is>
      </ns0:c>
      <ns0:c r="AJ496" s="94" t="inlineStr">
        <ns0:is>
          <ns0:t>RF</ns0:t>
        </ns0:is>
      </ns0:c>
      <ns0:c r="AK496" s="94" t="inlineStr">
        <ns0:is>
          <ns0:t>Convencional</ns0:t>
        </ns0:is>
      </ns0:c>
      <ns0:c r="AL496" s="94" t="n">
        <ns0:v>2</ns0:v>
      </ns0:c>
      <ns0:c r="AM496" s="94" t="n">
        <ns0:v>3</ns0:v>
      </ns0:c>
      <ns0:c r="AN496" s="94" t="inlineStr">
        <ns0:is>
          <ns0:t>Estimada · baixa</ns0:t>
        </ns0:is>
      </ns0:c>
      <ns0:c r="AO496" s="94" t="inlineStr">
        <ns0:is>
          <ns0:t>Estimativa de implantação fornecida pela gestão; piso considerado sem confirmação geométrica.</ns0:t>
        </ns0:is>
      </ns0:c>
      <ns0:c r="AP496" s="94" t="inlineStr">
        <ns0:is>
          <ns0:t>Não · reservado</ns0:t>
        </ns0:is>
      </ns0:c>
      <ns0:c r="AQ496" s="94" t="inlineStr">
        <ns0:is>
          <ns0:t>Olhão</ns0:t>
        </ns0:is>
      </ns0:c>
      <ns0:c r="AR496" s="94" t="inlineStr">
        <ns0:is>
          <ns0:t>BelaFormosa Price List September 2026, p. 1</ns0:t>
        </ns0:is>
      </ns0:c>
    </ns0:row>
    <ns0:row r="497" ht="72" customHeight="1">
      <ns0:c r="A497" s="94" t="inlineStr">
        <ns0:is>
          <ns0:t>BelaFormosa</ns0:t>
        </ns0:is>
      </ns0:c>
      <ns0:c r="B497" s="94" t="inlineStr">
        <ns0:is>
          <ns0:t>RF201</ns0:t>
        </ns0:is>
      </ns0:c>
      <ns0:c r="C497" s="94" t="n">
        <ns0:v>2</ns0:v>
      </ns0:c>
      <ns0:c r="D497" s="94" t="inlineStr">
        <ns0:is>
          <ns0:t>T2</ns0:t>
        </ns0:is>
      </ns0:c>
      <ns0:c r="E497" s="94"/>
      <ns0:c r="F497" s="97" t="n">
        <ns0:v>100.25</ns0:v>
      </ns0:c>
      <ns0:c r="G497" s="97" t="n">
        <ns0:v>18.5</ns0:v>
      </ns0:c>
      <ns0:c r="H497" s="97" t="n">
        <ns0:v>118.75</ns0:v>
      </ns0:c>
      <ns0:c r="I497" s="95" t="n">
        <ns0:v>865000</ns0:v>
      </ns0:c>
      <ns0:c r="J497" s="94" t="n">
        <ns0:v>2026</ns0:v>
      </ns0:c>
      <ns0:c r="K497" s="95" t="n">
        <ns0:v>8628.428927680798</ns0:v>
      </ns0:c>
      <ns0:c r="L497" s="95" t="n">
        <ns0:v>7284.210526315789</ns0:v>
      </ns0:c>
      <ns0:c r="M497" s="94" t="inlineStr">
        <ns0:is>
          <ns0:t>Ativo</ns0:t>
        </ns0:is>
      </ns0:c>
      <ns0:c r="N497" s="94" t="inlineStr">
        <ns0:is>
          <ns0:t>BelaFormosa · Price List September 2026 · p. 6</ns0:t>
        </ns0:is>
      </ns0:c>
      <ns0:c r="O497" s="94"/>
      <ns0:c r="P497" s="94" t="inlineStr">
        <ns0:is>
          <ns0:t>2026-09</ns0:t>
        </ns0:is>
      </ns0:c>
      <ns0:c r="Q497" s="94" t="inlineStr">
        <ns0:is>
          <ns0:t>Premium local</ns0:t>
        </ns0:is>
      </ns0:c>
      <ns0:c r="R497" s="94" t="inlineStr">
        <ns0:is>
          <ns0:t>Nova construção</ns0:t>
        </ns0:is>
      </ns0:c>
      <ns0:c r="S497" s="94"/>
      <ns0:c r="T497" s="94" t="inlineStr">
        <ns0:is>
          <ns0:t>Não incluído no preço; disponibilidade por confirmar</ns0:t>
        </ns0:is>
      </ns0:c>
      <ns0:c r="U497" s="94"/>
      <ns0:c r="V497" s="94"/>
      <ns0:c r="W497" s="97" t="n">
        <ns0:v>0.9</ns0:v>
      </ns0:c>
      <ns0:c r="X497" s="94" t="inlineStr">
        <ns0:is>
          <ns0:t>A · Premium local; vistas estimadas</ns0:t>
        </ns0:is>
      </ns0:c>
      <ns0:c r="Y497" s="94" t="inlineStr">
        <ns0:is>
          <ns0:t>Média</ns0:t>
        </ns0:is>
      </ns0:c>
      <ns0:c r="Z497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97" s="94" t="inlineStr">
        <ns0:is>
          <ns0:t>Confirmar vista, orientação, disponibilidade e condições atuais.</ns0:t>
        </ns0:is>
      </ns0:c>
      <ns0:c r="AB497" s="94" t="inlineStr">
        <ns0:is>
          <ns0:t>Média</ns0:t>
        </ns0:is>
      </ns0:c>
      <ns0:c r="AJ497" s="94" t="inlineStr">
        <ns0:is>
          <ns0:t>RF</ns0:t>
        </ns0:is>
      </ns0:c>
      <ns0:c r="AK497" s="94" t="inlineStr">
        <ns0:is>
          <ns0:t>Convencional</ns0:t>
        </ns0:is>
      </ns0:c>
      <ns0:c r="AL497" s="94" t="n">
        <ns0:v>3</ns0:v>
      </ns0:c>
      <ns0:c r="AM497" s="94" t="n">
        <ns0:v>4</ns0:v>
      </ns0:c>
      <ns0:c r="AN497" s="94" t="inlineStr">
        <ns0:is>
          <ns0:t>Estimada · baixa</ns0:t>
        </ns0:is>
      </ns0:c>
      <ns0:c r="AO497" s="94" t="inlineStr">
        <ns0:is>
          <ns0:t>Estimativa de implantação fornecida pela gestão; piso considerado sem confirmação geométrica.</ns0:t>
        </ns0:is>
      </ns0:c>
      <ns0:c r="AP497" s="94" t="inlineStr">
        <ns0:is>
          <ns0:t>Sim</ns0:t>
        </ns0:is>
      </ns0:c>
      <ns0:c r="AQ497" s="94" t="inlineStr">
        <ns0:is>
          <ns0:t>Olhão</ns0:t>
        </ns0:is>
      </ns0:c>
      <ns0:c r="AR497" s="94" t="inlineStr">
        <ns0:is>
          <ns0:t>BelaFormosa Price List September 2026, p. 1</ns0:t>
        </ns0:is>
      </ns0:c>
    </ns0:row>
    <ns0:row r="498" ht="72" customHeight="1">
      <ns0:c r="A498" s="94" t="inlineStr">
        <ns0:is>
          <ns0:t>BelaFormosa</ns0:t>
        </ns0:is>
      </ns0:c>
      <ns0:c r="B498" s="94" t="inlineStr">
        <ns0:is>
          <ns0:t>RF202</ns0:t>
        </ns0:is>
      </ns0:c>
      <ns0:c r="C498" s="94" t="n">
        <ns0:v>2</ns0:v>
      </ns0:c>
      <ns0:c r="D498" s="94" t="inlineStr">
        <ns0:is>
          <ns0:t>T2</ns0:t>
        </ns0:is>
      </ns0:c>
      <ns0:c r="E498" s="94"/>
      <ns0:c r="F498" s="97" t="n">
        <ns0:v>100.25</ns0:v>
      </ns0:c>
      <ns0:c r="G498" s="97" t="n">
        <ns0:v>19.0</ns0:v>
      </ns0:c>
      <ns0:c r="H498" s="97" t="n">
        <ns0:v>119.25</ns0:v>
      </ns0:c>
      <ns0:c r="I498" s="95" t="n">
        <ns0:v>870000</ns0:v>
      </ns0:c>
      <ns0:c r="J498" s="94" t="n">
        <ns0:v>2026</ns0:v>
      </ns0:c>
      <ns0:c r="K498" s="95" t="n">
        <ns0:v>8678.304239401496</ns0:v>
      </ns0:c>
      <ns0:c r="L498" s="95" t="n">
        <ns0:v>7295.597484276729</ns0:v>
      </ns0:c>
      <ns0:c r="M498" s="94" t="inlineStr">
        <ns0:is>
          <ns0:t>Ativo</ns0:t>
        </ns0:is>
      </ns0:c>
      <ns0:c r="N498" s="94" t="inlineStr">
        <ns0:is>
          <ns0:t>BelaFormosa · Price List September 2026 · p. 6</ns0:t>
        </ns0:is>
      </ns0:c>
      <ns0:c r="O498" s="94"/>
      <ns0:c r="P498" s="94" t="inlineStr">
        <ns0:is>
          <ns0:t>2026-09</ns0:t>
        </ns0:is>
      </ns0:c>
      <ns0:c r="Q498" s="94" t="inlineStr">
        <ns0:is>
          <ns0:t>Premium local</ns0:t>
        </ns0:is>
      </ns0:c>
      <ns0:c r="R498" s="94" t="inlineStr">
        <ns0:is>
          <ns0:t>Nova construção</ns0:t>
        </ns0:is>
      </ns0:c>
      <ns0:c r="S498" s="94"/>
      <ns0:c r="T498" s="94" t="inlineStr">
        <ns0:is>
          <ns0:t>Não incluído no preço; disponibilidade por confirmar</ns0:t>
        </ns0:is>
      </ns0:c>
      <ns0:c r="U498" s="94"/>
      <ns0:c r="V498" s="94"/>
      <ns0:c r="W498" s="97" t="n">
        <ns0:v>0.9</ns0:v>
      </ns0:c>
      <ns0:c r="X498" s="94" t="inlineStr">
        <ns0:is>
          <ns0:t>A · Premium local; vistas estimadas</ns0:t>
        </ns0:is>
      </ns0:c>
      <ns0:c r="Y498" s="94" t="inlineStr">
        <ns0:is>
          <ns0:t>Média</ns0:t>
        </ns0:is>
      </ns0:c>
      <ns0:c r="Z498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98" s="94" t="inlineStr">
        <ns0:is>
          <ns0:t>Confirmar vista, orientação, disponibilidade e condições atuais.</ns0:t>
        </ns0:is>
      </ns0:c>
      <ns0:c r="AB498" s="94" t="inlineStr">
        <ns0:is>
          <ns0:t>Média</ns0:t>
        </ns0:is>
      </ns0:c>
      <ns0:c r="AJ498" s="94" t="inlineStr">
        <ns0:is>
          <ns0:t>RF</ns0:t>
        </ns0:is>
      </ns0:c>
      <ns0:c r="AK498" s="94" t="inlineStr">
        <ns0:is>
          <ns0:t>Convencional</ns0:t>
        </ns0:is>
      </ns0:c>
      <ns0:c r="AL498" s="94" t="n">
        <ns0:v>3</ns0:v>
      </ns0:c>
      <ns0:c r="AM498" s="94" t="n">
        <ns0:v>4</ns0:v>
      </ns0:c>
      <ns0:c r="AN498" s="94" t="inlineStr">
        <ns0:is>
          <ns0:t>Estimada · baixa</ns0:t>
        </ns0:is>
      </ns0:c>
      <ns0:c r="AO498" s="94" t="inlineStr">
        <ns0:is>
          <ns0:t>Estimativa de implantação fornecida pela gestão; piso considerado sem confirmação geométrica.</ns0:t>
        </ns0:is>
      </ns0:c>
      <ns0:c r="AP498" s="94" t="inlineStr">
        <ns0:is>
          <ns0:t>Sim</ns0:t>
        </ns0:is>
      </ns0:c>
      <ns0:c r="AQ498" s="94" t="inlineStr">
        <ns0:is>
          <ns0:t>Olhão</ns0:t>
        </ns0:is>
      </ns0:c>
      <ns0:c r="AR498" s="94" t="inlineStr">
        <ns0:is>
          <ns0:t>BelaFormosa Price List September 2026, p. 1</ns0:t>
        </ns0:is>
      </ns0:c>
    </ns0:row>
    <ns0:row r="499" ht="72" customHeight="1">
      <ns0:c r="A499" s="94" t="inlineStr">
        <ns0:is>
          <ns0:t>BelaFormosa</ns0:t>
        </ns0:is>
      </ns0:c>
      <ns0:c r="B499" s="94" t="inlineStr">
        <ns0:is>
          <ns0:t>RF203</ns0:t>
        </ns0:is>
      </ns0:c>
      <ns0:c r="C499" s="94" t="n">
        <ns0:v>2</ns0:v>
      </ns0:c>
      <ns0:c r="D499" s="94" t="inlineStr">
        <ns0:is>
          <ns0:t>T2</ns0:t>
        </ns0:is>
      </ns0:c>
      <ns0:c r="E499" s="94"/>
      <ns0:c r="F499" s="97" t="n">
        <ns0:v>100.25</ns0:v>
      </ns0:c>
      <ns0:c r="G499" s="97" t="n">
        <ns0:v>19.0</ns0:v>
      </ns0:c>
      <ns0:c r="H499" s="97" t="n">
        <ns0:v>119.25</ns0:v>
      </ns0:c>
      <ns0:c r="I499" s="95" t="n">
        <ns0:v>930000</ns0:v>
      </ns0:c>
      <ns0:c r="J499" s="94" t="n">
        <ns0:v>2026</ns0:v>
      </ns0:c>
      <ns0:c r="K499" s="95" t="n">
        <ns0:v>9276.807980049874</ns0:v>
      </ns0:c>
      <ns0:c r="L499" s="95" t="n">
        <ns0:v>7798.74213836478</ns0:v>
      </ns0:c>
      <ns0:c r="M499" s="94" t="inlineStr">
        <ns0:is>
          <ns0:t>Ativo</ns0:t>
        </ns0:is>
      </ns0:c>
      <ns0:c r="N499" s="94" t="inlineStr">
        <ns0:is>
          <ns0:t>BelaFormosa · Price List September 2026 · p. 6</ns0:t>
        </ns0:is>
      </ns0:c>
      <ns0:c r="O499" s="94"/>
      <ns0:c r="P499" s="94" t="inlineStr">
        <ns0:is>
          <ns0:t>2026-09</ns0:t>
        </ns0:is>
      </ns0:c>
      <ns0:c r="Q499" s="94" t="inlineStr">
        <ns0:is>
          <ns0:t>Premium local</ns0:t>
        </ns0:is>
      </ns0:c>
      <ns0:c r="R499" s="94" t="inlineStr">
        <ns0:is>
          <ns0:t>Nova construção</ns0:t>
        </ns0:is>
      </ns0:c>
      <ns0:c r="S499" s="94"/>
      <ns0:c r="T499" s="94" t="inlineStr">
        <ns0:is>
          <ns0:t>Não incluído no preço; disponibilidade por confirmar</ns0:t>
        </ns0:is>
      </ns0:c>
      <ns0:c r="U499" s="94"/>
      <ns0:c r="V499" s="94"/>
      <ns0:c r="W499" s="97" t="n">
        <ns0:v>0.9</ns0:v>
      </ns0:c>
      <ns0:c r="X499" s="94" t="inlineStr">
        <ns0:is>
          <ns0:t>A · Premium local; vistas estimadas</ns0:t>
        </ns0:is>
      </ns0:c>
      <ns0:c r="Y499" s="94" t="inlineStr">
        <ns0:is>
          <ns0:t>Média</ns0:t>
        </ns0:is>
      </ns0:c>
      <ns0:c r="Z499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499" s="94" t="inlineStr">
        <ns0:is>
          <ns0:t>Confirmar vista, orientação, disponibilidade e condições atuais.</ns0:t>
        </ns0:is>
      </ns0:c>
      <ns0:c r="AB499" s="94" t="inlineStr">
        <ns0:is>
          <ns0:t>Média</ns0:t>
        </ns0:is>
      </ns0:c>
      <ns0:c r="AJ499" s="94" t="inlineStr">
        <ns0:is>
          <ns0:t>RF</ns0:t>
        </ns0:is>
      </ns0:c>
      <ns0:c r="AK499" s="94" t="inlineStr">
        <ns0:is>
          <ns0:t>Convencional</ns0:t>
        </ns0:is>
      </ns0:c>
      <ns0:c r="AL499" s="94" t="n">
        <ns0:v>3</ns0:v>
      </ns0:c>
      <ns0:c r="AM499" s="94" t="n">
        <ns0:v>4</ns0:v>
      </ns0:c>
      <ns0:c r="AN499" s="94" t="inlineStr">
        <ns0:is>
          <ns0:t>Estimada · baixa</ns0:t>
        </ns0:is>
      </ns0:c>
      <ns0:c r="AO499" s="94" t="inlineStr">
        <ns0:is>
          <ns0:t>Estimativa de implantação fornecida pela gestão; piso considerado sem confirmação geométrica.</ns0:t>
        </ns0:is>
      </ns0:c>
      <ns0:c r="AP499" s="94" t="inlineStr">
        <ns0:is>
          <ns0:t>Sim</ns0:t>
        </ns0:is>
      </ns0:c>
      <ns0:c r="AQ499" s="94" t="inlineStr">
        <ns0:is>
          <ns0:t>Olhão</ns0:t>
        </ns0:is>
      </ns0:c>
      <ns0:c r="AR499" s="94" t="inlineStr">
        <ns0:is>
          <ns0:t>BelaFormosa Price List September 2026, p. 1</ns0:t>
        </ns0:is>
      </ns0:c>
    </ns0:row>
    <ns0:row r="500" ht="72" customHeight="1">
      <ns0:c r="A500" s="94" t="inlineStr">
        <ns0:is>
          <ns0:t>BelaFormosa</ns0:t>
        </ns0:is>
      </ns0:c>
      <ns0:c r="B500" s="94" t="inlineStr">
        <ns0:is>
          <ns0:t>RF204</ns0:t>
        </ns0:is>
      </ns0:c>
      <ns0:c r="C500" s="94" t="n">
        <ns0:v>2</ns0:v>
      </ns0:c>
      <ns0:c r="D500" s="94" t="inlineStr">
        <ns0:is>
          <ns0:t>T3</ns0:t>
        </ns0:is>
      </ns0:c>
      <ns0:c r="E500" s="94"/>
      <ns0:c r="F500" s="97" t="n">
        <ns0:v>164.5</ns0:v>
      </ns0:c>
      <ns0:c r="G500" s="97" t="n">
        <ns0:v>61.5</ns0:v>
      </ns0:c>
      <ns0:c r="H500" s="97" t="n">
        <ns0:v>226.0</ns0:v>
      </ns0:c>
      <ns0:c r="I500" s="95" t="n">
        <ns0:v>1855000</ns0:v>
      </ns0:c>
      <ns0:c r="J500" s="94" t="n">
        <ns0:v>2026</ns0:v>
      </ns0:c>
      <ns0:c r="K500" s="95" t="n">
        <ns0:v>11276.595744680852</ns0:v>
      </ns0:c>
      <ns0:c r="L500" s="95" t="n">
        <ns0:v>8207.964601769912</ns0:v>
      </ns0:c>
      <ns0:c r="M500" s="94" t="inlineStr">
        <ns0:is>
          <ns0:t>Ativo</ns0:t>
        </ns0:is>
      </ns0:c>
      <ns0:c r="N500" s="94" t="inlineStr">
        <ns0:is>
          <ns0:t>BelaFormosa · Price List September 2026 · p. 6</ns0:t>
        </ns0:is>
      </ns0:c>
      <ns0:c r="O500" s="94"/>
      <ns0:c r="P500" s="94" t="inlineStr">
        <ns0:is>
          <ns0:t>2026-09</ns0:t>
        </ns0:is>
      </ns0:c>
      <ns0:c r="Q500" s="94" t="inlineStr">
        <ns0:is>
          <ns0:t>Premium local</ns0:t>
        </ns0:is>
      </ns0:c>
      <ns0:c r="R500" s="94" t="inlineStr">
        <ns0:is>
          <ns0:t>Nova construção</ns0:t>
        </ns0:is>
      </ns0:c>
      <ns0:c r="S500" s="94"/>
      <ns0:c r="T500" s="94" t="inlineStr">
        <ns0:is>
          <ns0:t>Não incluído no preço; disponibilidade por confirmar</ns0:t>
        </ns0:is>
      </ns0:c>
      <ns0:c r="U500" s="94"/>
      <ns0:c r="V500" s="94"/>
      <ns0:c r="W500" s="97" t="n">
        <ns0:v>0.9</ns0:v>
      </ns0:c>
      <ns0:c r="X500" s="94" t="inlineStr">
        <ns0:is>
          <ns0:t>A · Premium local; vistas estimadas</ns0:t>
        </ns0:is>
      </ns0:c>
      <ns0:c r="Y500" s="94" t="inlineStr">
        <ns0:is>
          <ns0:t>Média</ns0:t>
        </ns0:is>
      </ns0:c>
      <ns0:c r="Z500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500" s="94" t="inlineStr">
        <ns0:is>
          <ns0:t>Confirmar vista, orientação, disponibilidade e condições atuais.</ns0:t>
        </ns0:is>
      </ns0:c>
      <ns0:c r="AB500" s="94" t="inlineStr">
        <ns0:is>
          <ns0:t>Média</ns0:t>
        </ns0:is>
      </ns0:c>
      <ns0:c r="AJ500" s="94" t="inlineStr">
        <ns0:is>
          <ns0:t>RF</ns0:t>
        </ns0:is>
      </ns0:c>
      <ns0:c r="AK500" s="94" t="inlineStr">
        <ns0:is>
          <ns0:t>Convencional</ns0:t>
        </ns0:is>
      </ns0:c>
      <ns0:c r="AL500" s="94" t="n">
        <ns0:v>1</ns0:v>
      </ns0:c>
      <ns0:c r="AM500" s="94" t="n">
        <ns0:v>1</ns0:v>
      </ns0:c>
      <ns0:c r="AN500" s="94" t="inlineStr">
        <ns0:is>
          <ns0:t>Estimada · baixa</ns0:t>
        </ns0:is>
      </ns0:c>
      <ns0:c r="AO500" s="94" t="inlineStr">
        <ns0:is>
          <ns0:t>Estimativa de implantação fornecida pela gestão; piso considerado sem confirmação geométrica.</ns0:t>
        </ns0:is>
      </ns0:c>
      <ns0:c r="AP500" s="94" t="inlineStr">
        <ns0:is>
          <ns0:t>Sim</ns0:t>
        </ns0:is>
      </ns0:c>
      <ns0:c r="AQ500" s="94" t="inlineStr">
        <ns0:is>
          <ns0:t>Olhão</ns0:t>
        </ns0:is>
      </ns0:c>
      <ns0:c r="AR500" s="94" t="inlineStr">
        <ns0:is>
          <ns0:t>BelaFormosa Price List September 2026, p. 1</ns0:t>
        </ns0:is>
      </ns0:c>
    </ns0:row>
    <ns0:row r="501" ht="72" customHeight="1">
      <ns0:c r="A501" s="94" t="inlineStr">
        <ns0:is>
          <ns0:t>BelaFormosa</ns0:t>
        </ns0:is>
      </ns0:c>
      <ns0:c r="B501" s="94" t="inlineStr">
        <ns0:is>
          <ns0:t>RF205</ns0:t>
        </ns0:is>
      </ns0:c>
      <ns0:c r="C501" s="94" t="n">
        <ns0:v>2</ns0:v>
      </ns0:c>
      <ns0:c r="D501" s="94" t="inlineStr">
        <ns0:is>
          <ns0:t>T3</ns0:t>
        </ns0:is>
      </ns0:c>
      <ns0:c r="E501" s="94"/>
      <ns0:c r="F501" s="97" t="n">
        <ns0:v>164.5</ns0:v>
      </ns0:c>
      <ns0:c r="G501" s="97" t="n">
        <ns0:v>61.5</ns0:v>
      </ns0:c>
      <ns0:c r="H501" s="97" t="n">
        <ns0:v>226.0</ns0:v>
      </ns0:c>
      <ns0:c r="I501" s="95" t="n">
        <ns0:v>1855000</ns0:v>
      </ns0:c>
      <ns0:c r="J501" s="94" t="n">
        <ns0:v>2026</ns0:v>
      </ns0:c>
      <ns0:c r="K501" s="95" t="n">
        <ns0:v>11276.595744680852</ns0:v>
      </ns0:c>
      <ns0:c r="L501" s="95" t="n">
        <ns0:v>8207.964601769912</ns0:v>
      </ns0:c>
      <ns0:c r="M501" s="94" t="inlineStr">
        <ns0:is>
          <ns0:t>Ativo</ns0:t>
        </ns0:is>
      </ns0:c>
      <ns0:c r="N501" s="94" t="inlineStr">
        <ns0:is>
          <ns0:t>BelaFormosa · Price List September 2026 · p. 6</ns0:t>
        </ns0:is>
      </ns0:c>
      <ns0:c r="O501" s="94"/>
      <ns0:c r="P501" s="94" t="inlineStr">
        <ns0:is>
          <ns0:t>2026-09</ns0:t>
        </ns0:is>
      </ns0:c>
      <ns0:c r="Q501" s="94" t="inlineStr">
        <ns0:is>
          <ns0:t>Premium local</ns0:t>
        </ns0:is>
      </ns0:c>
      <ns0:c r="R501" s="94" t="inlineStr">
        <ns0:is>
          <ns0:t>Nova construção</ns0:t>
        </ns0:is>
      </ns0:c>
      <ns0:c r="S501" s="94"/>
      <ns0:c r="T501" s="94" t="inlineStr">
        <ns0:is>
          <ns0:t>Não incluído no preço; disponibilidade por confirmar</ns0:t>
        </ns0:is>
      </ns0:c>
      <ns0:c r="U501" s="94"/>
      <ns0:c r="V501" s="94"/>
      <ns0:c r="W501" s="97" t="n">
        <ns0:v>0.9</ns0:v>
      </ns0:c>
      <ns0:c r="X501" s="94" t="inlineStr">
        <ns0:is>
          <ns0:t>A · Premium local; vistas estimadas</ns0:t>
        </ns0:is>
      </ns0:c>
      <ns0:c r="Y501" s="94" t="inlineStr">
        <ns0:is>
          <ns0:t>Média</ns0:t>
        </ns0:is>
      </ns0:c>
      <ns0:c r="Z501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501" s="94" t="inlineStr">
        <ns0:is>
          <ns0:t>Confirmar vista, orientação, disponibilidade e condições atuais.</ns0:t>
        </ns0:is>
      </ns0:c>
      <ns0:c r="AB501" s="94" t="inlineStr">
        <ns0:is>
          <ns0:t>Média</ns0:t>
        </ns0:is>
      </ns0:c>
      <ns0:c r="AJ501" s="94" t="inlineStr">
        <ns0:is>
          <ns0:t>RF</ns0:t>
        </ns0:is>
      </ns0:c>
      <ns0:c r="AK501" s="94" t="inlineStr">
        <ns0:is>
          <ns0:t>Convencional</ns0:t>
        </ns0:is>
      </ns0:c>
      <ns0:c r="AL501" s="94" t="n">
        <ns0:v>1</ns0:v>
      </ns0:c>
      <ns0:c r="AM501" s="94" t="n">
        <ns0:v>1</ns0:v>
      </ns0:c>
      <ns0:c r="AN501" s="94" t="inlineStr">
        <ns0:is>
          <ns0:t>Estimada · baixa</ns0:t>
        </ns0:is>
      </ns0:c>
      <ns0:c r="AO501" s="94" t="inlineStr">
        <ns0:is>
          <ns0:t>Estimativa de implantação fornecida pela gestão; piso considerado sem confirmação geométrica.</ns0:t>
        </ns0:is>
      </ns0:c>
      <ns0:c r="AP501" s="94" t="inlineStr">
        <ns0:is>
          <ns0:t>Sim</ns0:t>
        </ns0:is>
      </ns0:c>
      <ns0:c r="AQ501" s="94" t="inlineStr">
        <ns0:is>
          <ns0:t>Olhão</ns0:t>
        </ns0:is>
      </ns0:c>
      <ns0:c r="AR501" s="94" t="inlineStr">
        <ns0:is>
          <ns0:t>BelaFormosa Price List September 2026, p. 1</ns0:t>
        </ns0:is>
      </ns0:c>
    </ns0:row>
    <ns0:row r="502" ht="72" customHeight="1">
      <ns0:c r="A502" s="94" t="inlineStr">
        <ns0:is>
          <ns0:t>BelaFormosa</ns0:t>
        </ns0:is>
      </ns0:c>
      <ns0:c r="B502" s="94" t="inlineStr">
        <ns0:is>
          <ns0:t>RF206</ns0:t>
        </ns0:is>
      </ns0:c>
      <ns0:c r="C502" s="94" t="n">
        <ns0:v>2</ns0:v>
      </ns0:c>
      <ns0:c r="D502" s="94" t="inlineStr">
        <ns0:is>
          <ns0:t>T2</ns0:t>
        </ns0:is>
      </ns0:c>
      <ns0:c r="E502" s="94"/>
      <ns0:c r="F502" s="97" t="n">
        <ns0:v>100.25</ns0:v>
      </ns0:c>
      <ns0:c r="G502" s="97" t="n">
        <ns0:v>19.0</ns0:v>
      </ns0:c>
      <ns0:c r="H502" s="97" t="n">
        <ns0:v>119.25</ns0:v>
      </ns0:c>
      <ns0:c r="I502" s="95" t="n">
        <ns0:v>1060000</ns0:v>
      </ns0:c>
      <ns0:c r="J502" s="94" t="n">
        <ns0:v>2026</ns0:v>
      </ns0:c>
      <ns0:c r="K502" s="95" t="n">
        <ns0:v>10573.56608478803</ns0:v>
      </ns0:c>
      <ns0:c r="L502" s="95" t="n">
        <ns0:v>8888.888888888889</ns0:v>
      </ns0:c>
      <ns0:c r="M502" s="94" t="inlineStr">
        <ns0:is>
          <ns0:t>Ativo</ns0:t>
        </ns0:is>
      </ns0:c>
      <ns0:c r="N502" s="94" t="inlineStr">
        <ns0:is>
          <ns0:t>BelaFormosa · Price List September 2026 · p. 6</ns0:t>
        </ns0:is>
      </ns0:c>
      <ns0:c r="O502" s="94"/>
      <ns0:c r="P502" s="94" t="inlineStr">
        <ns0:is>
          <ns0:t>2026-09</ns0:t>
        </ns0:is>
      </ns0:c>
      <ns0:c r="Q502" s="94" t="inlineStr">
        <ns0:is>
          <ns0:t>Premium local</ns0:t>
        </ns0:is>
      </ns0:c>
      <ns0:c r="R502" s="94" t="inlineStr">
        <ns0:is>
          <ns0:t>Nova construção</ns0:t>
        </ns0:is>
      </ns0:c>
      <ns0:c r="S502" s="94"/>
      <ns0:c r="T502" s="94" t="inlineStr">
        <ns0:is>
          <ns0:t>Não incluído no preço; disponibilidade por confirmar</ns0:t>
        </ns0:is>
      </ns0:c>
      <ns0:c r="U502" s="94"/>
      <ns0:c r="V502" s="94"/>
      <ns0:c r="W502" s="97" t="n">
        <ns0:v>0.9</ns0:v>
      </ns0:c>
      <ns0:c r="X502" s="94" t="inlineStr">
        <ns0:is>
          <ns0:t>A · Premium local; vistas estimadas</ns0:t>
        </ns0:is>
      </ns0:c>
      <ns0:c r="Y502" s="94" t="inlineStr">
        <ns0:is>
          <ns0:t>Média</ns0:t>
        </ns0:is>
      </ns0:c>
      <ns0:c r="Z502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02" s="94" t="inlineStr">
        <ns0:is>
          <ns0:t>Confirmar vista, orientação, disponibilidade e condições atuais.</ns0:t>
        </ns0:is>
      </ns0:c>
      <ns0:c r="AB502" s="94" t="inlineStr">
        <ns0:is>
          <ns0:t>Média</ns0:t>
        </ns0:is>
      </ns0:c>
      <ns0:c r="AJ502" s="94" t="inlineStr">
        <ns0:is>
          <ns0:t>RF</ns0:t>
        </ns0:is>
      </ns0:c>
      <ns0:c r="AK502" s="94" t="inlineStr">
        <ns0:is>
          <ns0:t>Convencional</ns0:t>
        </ns0:is>
      </ns0:c>
      <ns0:c r="AL502" s="94" t="n">
        <ns0:v>2</ns0:v>
      </ns0:c>
      <ns0:c r="AM502" s="94" t="n">
        <ns0:v>3</ns0:v>
      </ns0:c>
      <ns0:c r="AN502" s="94" t="inlineStr">
        <ns0:is>
          <ns0:t>Estimada · baixa</ns0:t>
        </ns0:is>
      </ns0:c>
      <ns0:c r="AO502" s="94" t="inlineStr">
        <ns0:is>
          <ns0:t>Estimativa de implantação fornecida pela gestão; piso considerado sem confirmação geométrica.</ns0:t>
        </ns0:is>
      </ns0:c>
      <ns0:c r="AP502" s="94" t="inlineStr">
        <ns0:is>
          <ns0:t>Sim</ns0:t>
        </ns0:is>
      </ns0:c>
      <ns0:c r="AQ502" s="94" t="inlineStr">
        <ns0:is>
          <ns0:t>Olhão</ns0:t>
        </ns0:is>
      </ns0:c>
      <ns0:c r="AR502" s="94" t="inlineStr">
        <ns0:is>
          <ns0:t>BelaFormosa Price List September 2026, p. 1</ns0:t>
        </ns0:is>
      </ns0:c>
    </ns0:row>
    <ns0:row r="503" ht="72" customHeight="1">
      <ns0:c r="A503" s="94" t="inlineStr">
        <ns0:is>
          <ns0:t>BelaFormosa</ns0:t>
        </ns0:is>
      </ns0:c>
      <ns0:c r="B503" s="94" t="inlineStr">
        <ns0:is>
          <ns0:t>RF207</ns0:t>
        </ns0:is>
      </ns0:c>
      <ns0:c r="C503" s="94" t="n">
        <ns0:v>2</ns0:v>
      </ns0:c>
      <ns0:c r="D503" s="94" t="inlineStr">
        <ns0:is>
          <ns0:t>T2</ns0:t>
        </ns0:is>
      </ns0:c>
      <ns0:c r="E503" s="94"/>
      <ns0:c r="F503" s="97" t="n">
        <ns0:v>100.25</ns0:v>
      </ns0:c>
      <ns0:c r="G503" s="97" t="n">
        <ns0:v>19.0</ns0:v>
      </ns0:c>
      <ns0:c r="H503" s="97" t="n">
        <ns0:v>119.25</ns0:v>
      </ns0:c>
      <ns0:c r="I503" s="95" t="n">
        <ns0:v>1040000</ns0:v>
      </ns0:c>
      <ns0:c r="J503" s="94" t="n">
        <ns0:v>2026</ns0:v>
      </ns0:c>
      <ns0:c r="K503" s="95" t="n">
        <ns0:v>10374.064837905236</ns0:v>
      </ns0:c>
      <ns0:c r="L503" s="95" t="n">
        <ns0:v>8721.174004192872</ns0:v>
      </ns0:c>
      <ns0:c r="M503" s="94" t="inlineStr">
        <ns0:is>
          <ns0:t>Ativo</ns0:t>
        </ns0:is>
      </ns0:c>
      <ns0:c r="N503" s="94" t="inlineStr">
        <ns0:is>
          <ns0:t>BelaFormosa · Price List September 2026 · p. 6</ns0:t>
        </ns0:is>
      </ns0:c>
      <ns0:c r="O503" s="94"/>
      <ns0:c r="P503" s="94" t="inlineStr">
        <ns0:is>
          <ns0:t>2026-09</ns0:t>
        </ns0:is>
      </ns0:c>
      <ns0:c r="Q503" s="94" t="inlineStr">
        <ns0:is>
          <ns0:t>Premium local</ns0:t>
        </ns0:is>
      </ns0:c>
      <ns0:c r="R503" s="94" t="inlineStr">
        <ns0:is>
          <ns0:t>Nova construção</ns0:t>
        </ns0:is>
      </ns0:c>
      <ns0:c r="S503" s="94"/>
      <ns0:c r="T503" s="94" t="inlineStr">
        <ns0:is>
          <ns0:t>Não incluído no preço; disponibilidade por confirmar</ns0:t>
        </ns0:is>
      </ns0:c>
      <ns0:c r="U503" s="94"/>
      <ns0:c r="V503" s="94"/>
      <ns0:c r="W503" s="97" t="n">
        <ns0:v>0.9</ns0:v>
      </ns0:c>
      <ns0:c r="X503" s="94" t="inlineStr">
        <ns0:is>
          <ns0:t>A · Premium local; vistas estimadas</ns0:t>
        </ns0:is>
      </ns0:c>
      <ns0:c r="Y503" s="94" t="inlineStr">
        <ns0:is>
          <ns0:t>Média</ns0:t>
        </ns0:is>
      </ns0:c>
      <ns0:c r="Z503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03" s="94" t="inlineStr">
        <ns0:is>
          <ns0:t>Confirmar vista, orientação, disponibilidade e condições atuais.</ns0:t>
        </ns0:is>
      </ns0:c>
      <ns0:c r="AB503" s="94" t="inlineStr">
        <ns0:is>
          <ns0:t>Média</ns0:t>
        </ns0:is>
      </ns0:c>
      <ns0:c r="AJ503" s="94" t="inlineStr">
        <ns0:is>
          <ns0:t>RF</ns0:t>
        </ns0:is>
      </ns0:c>
      <ns0:c r="AK503" s="94" t="inlineStr">
        <ns0:is>
          <ns0:t>Convencional</ns0:t>
        </ns0:is>
      </ns0:c>
      <ns0:c r="AL503" s="94" t="n">
        <ns0:v>2</ns0:v>
      </ns0:c>
      <ns0:c r="AM503" s="94" t="n">
        <ns0:v>3</ns0:v>
      </ns0:c>
      <ns0:c r="AN503" s="94" t="inlineStr">
        <ns0:is>
          <ns0:t>Estimada · baixa</ns0:t>
        </ns0:is>
      </ns0:c>
      <ns0:c r="AO503" s="94" t="inlineStr">
        <ns0:is>
          <ns0:t>Estimativa de implantação fornecida pela gestão; piso considerado sem confirmação geométrica.</ns0:t>
        </ns0:is>
      </ns0:c>
      <ns0:c r="AP503" s="94" t="inlineStr">
        <ns0:is>
          <ns0:t>Sim</ns0:t>
        </ns0:is>
      </ns0:c>
      <ns0:c r="AQ503" s="94" t="inlineStr">
        <ns0:is>
          <ns0:t>Olhão</ns0:t>
        </ns0:is>
      </ns0:c>
      <ns0:c r="AR503" s="94" t="inlineStr">
        <ns0:is>
          <ns0:t>BelaFormosa Price List September 2026, p. 1</ns0:t>
        </ns0:is>
      </ns0:c>
    </ns0:row>
    <ns0:row r="504" ht="72" customHeight="1">
      <ns0:c r="A504" s="94" t="inlineStr">
        <ns0:is>
          <ns0:t>BelaFormosa</ns0:t>
        </ns0:is>
      </ns0:c>
      <ns0:c r="B504" s="94" t="inlineStr">
        <ns0:is>
          <ns0:t>RF208</ns0:t>
        </ns0:is>
      </ns0:c>
      <ns0:c r="C504" s="94" t="n">
        <ns0:v>2</ns0:v>
      </ns0:c>
      <ns0:c r="D504" s="94" t="inlineStr">
        <ns0:is>
          <ns0:t>T2</ns0:t>
        </ns0:is>
      </ns0:c>
      <ns0:c r="E504" s="94"/>
      <ns0:c r="F504" s="97" t="n">
        <ns0:v>100.25</ns0:v>
      </ns0:c>
      <ns0:c r="G504" s="97" t="n">
        <ns0:v>18.5</ns0:v>
      </ns0:c>
      <ns0:c r="H504" s="97" t="n">
        <ns0:v>118.75</ns0:v>
      </ns0:c>
      <ns0:c r="I504" s="95" t="n">
        <ns0:v>1040000</ns0:v>
      </ns0:c>
      <ns0:c r="J504" s="94" t="n">
        <ns0:v>2026</ns0:v>
      </ns0:c>
      <ns0:c r="K504" s="95" t="n">
        <ns0:v>10374.064837905236</ns0:v>
      </ns0:c>
      <ns0:c r="L504" s="95" t="n">
        <ns0:v>8757.894736842105</ns0:v>
      </ns0:c>
      <ns0:c r="M504" s="94" t="inlineStr">
        <ns0:is>
          <ns0:t>Ativo</ns0:t>
        </ns0:is>
      </ns0:c>
      <ns0:c r="N504" s="94" t="inlineStr">
        <ns0:is>
          <ns0:t>BelaFormosa · Price List September 2026 · p. 6</ns0:t>
        </ns0:is>
      </ns0:c>
      <ns0:c r="O504" s="94"/>
      <ns0:c r="P504" s="94" t="inlineStr">
        <ns0:is>
          <ns0:t>2026-09</ns0:t>
        </ns0:is>
      </ns0:c>
      <ns0:c r="Q504" s="94" t="inlineStr">
        <ns0:is>
          <ns0:t>Premium local</ns0:t>
        </ns0:is>
      </ns0:c>
      <ns0:c r="R504" s="94" t="inlineStr">
        <ns0:is>
          <ns0:t>Nova construção</ns0:t>
        </ns0:is>
      </ns0:c>
      <ns0:c r="S504" s="94"/>
      <ns0:c r="T504" s="94" t="inlineStr">
        <ns0:is>
          <ns0:t>Não incluído no preço; disponibilidade por confirmar</ns0:t>
        </ns0:is>
      </ns0:c>
      <ns0:c r="U504" s="94"/>
      <ns0:c r="V504" s="94"/>
      <ns0:c r="W504" s="97" t="n">
        <ns0:v>0.9</ns0:v>
      </ns0:c>
      <ns0:c r="X504" s="94" t="inlineStr">
        <ns0:is>
          <ns0:t>A · Premium local; vistas estimadas</ns0:t>
        </ns0:is>
      </ns0:c>
      <ns0:c r="Y504" s="94" t="inlineStr">
        <ns0:is>
          <ns0:t>Média</ns0:t>
        </ns0:is>
      </ns0:c>
      <ns0:c r="Z504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04" s="94" t="inlineStr">
        <ns0:is>
          <ns0:t>Confirmar vista, orientação, disponibilidade e condições atuais.</ns0:t>
        </ns0:is>
      </ns0:c>
      <ns0:c r="AB504" s="94" t="inlineStr">
        <ns0:is>
          <ns0:t>Média</ns0:t>
        </ns0:is>
      </ns0:c>
      <ns0:c r="AJ504" s="94" t="inlineStr">
        <ns0:is>
          <ns0:t>RF</ns0:t>
        </ns0:is>
      </ns0:c>
      <ns0:c r="AK504" s="94" t="inlineStr">
        <ns0:is>
          <ns0:t>Convencional</ns0:t>
        </ns0:is>
      </ns0:c>
      <ns0:c r="AL504" s="94" t="n">
        <ns0:v>2</ns0:v>
      </ns0:c>
      <ns0:c r="AM504" s="94" t="n">
        <ns0:v>3</ns0:v>
      </ns0:c>
      <ns0:c r="AN504" s="94" t="inlineStr">
        <ns0:is>
          <ns0:t>Estimada · baixa</ns0:t>
        </ns0:is>
      </ns0:c>
      <ns0:c r="AO504" s="94" t="inlineStr">
        <ns0:is>
          <ns0:t>Estimativa de implantação fornecida pela gestão; piso considerado sem confirmação geométrica.</ns0:t>
        </ns0:is>
      </ns0:c>
      <ns0:c r="AP504" s="94" t="inlineStr">
        <ns0:is>
          <ns0:t>Sim</ns0:t>
        </ns0:is>
      </ns0:c>
      <ns0:c r="AQ504" s="94" t="inlineStr">
        <ns0:is>
          <ns0:t>Olhão</ns0:t>
        </ns0:is>
      </ns0:c>
      <ns0:c r="AR504" s="94" t="inlineStr">
        <ns0:is>
          <ns0:t>BelaFormosa Price List September 2026, p. 1</ns0:t>
        </ns0:is>
      </ns0:c>
    </ns0:row>
    <ns0:row r="505" ht="72" customHeight="1">
      <ns0:c r="A505" s="94" t="inlineStr">
        <ns0:is>
          <ns0:t>BelaFormosa</ns0:t>
        </ns0:is>
      </ns0:c>
      <ns0:c r="B505" s="94" t="inlineStr">
        <ns0:is>
          <ns0:t>RF301</ns0:t>
        </ns0:is>
      </ns0:c>
      <ns0:c r="C505" s="94" t="n">
        <ns0:v>3</ns0:v>
      </ns0:c>
      <ns0:c r="D505" s="94" t="inlineStr">
        <ns0:is>
          <ns0:t>T2</ns0:t>
        </ns0:is>
      </ns0:c>
      <ns0:c r="E505" s="94"/>
      <ns0:c r="F505" s="97" t="n">
        <ns0:v>100.25</ns0:v>
      </ns0:c>
      <ns0:c r="G505" s="97" t="n">
        <ns0:v>18.5</ns0:v>
      </ns0:c>
      <ns0:c r="H505" s="97" t="n">
        <ns0:v>118.75</ns0:v>
      </ns0:c>
      <ns0:c r="I505" s="95" t="n">
        <ns0:v>935000</ns0:v>
      </ns0:c>
      <ns0:c r="J505" s="94" t="n">
        <ns0:v>2026</ns0:v>
      </ns0:c>
      <ns0:c r="K505" s="95" t="n">
        <ns0:v>9326.683291770574</ns0:v>
      </ns0:c>
      <ns0:c r="L505" s="95" t="n">
        <ns0:v>7873.684210526316</ns0:v>
      </ns0:c>
      <ns0:c r="M505" s="94" t="inlineStr">
        <ns0:is>
          <ns0:t>Ativo</ns0:t>
        </ns0:is>
      </ns0:c>
      <ns0:c r="N505" s="94" t="inlineStr">
        <ns0:is>
          <ns0:t>BelaFormosa · Price List September 2026 · p. 6</ns0:t>
        </ns0:is>
      </ns0:c>
      <ns0:c r="O505" s="94"/>
      <ns0:c r="P505" s="94" t="inlineStr">
        <ns0:is>
          <ns0:t>2026-09</ns0:t>
        </ns0:is>
      </ns0:c>
      <ns0:c r="Q505" s="94" t="inlineStr">
        <ns0:is>
          <ns0:t>Premium local</ns0:t>
        </ns0:is>
      </ns0:c>
      <ns0:c r="R505" s="94" t="inlineStr">
        <ns0:is>
          <ns0:t>Nova construção</ns0:t>
        </ns0:is>
      </ns0:c>
      <ns0:c r="S505" s="94"/>
      <ns0:c r="T505" s="94" t="inlineStr">
        <ns0:is>
          <ns0:t>Não incluído no preço; disponibilidade por confirmar</ns0:t>
        </ns0:is>
      </ns0:c>
      <ns0:c r="U505" s="94"/>
      <ns0:c r="V505" s="94"/>
      <ns0:c r="W505" s="97" t="n">
        <ns0:v>0.9</ns0:v>
      </ns0:c>
      <ns0:c r="X505" s="94" t="inlineStr">
        <ns0:is>
          <ns0:t>A · Premium local; vistas estimadas</ns0:t>
        </ns0:is>
      </ns0:c>
      <ns0:c r="Y505" s="94" t="inlineStr">
        <ns0:is>
          <ns0:t>Média</ns0:t>
        </ns0:is>
      </ns0:c>
      <ns0:c r="Z505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05" s="94" t="inlineStr">
        <ns0:is>
          <ns0:t>Confirmar vista, orientação, disponibilidade e condições atuais.</ns0:t>
        </ns0:is>
      </ns0:c>
      <ns0:c r="AB505" s="94" t="inlineStr">
        <ns0:is>
          <ns0:t>Média</ns0:t>
        </ns0:is>
      </ns0:c>
      <ns0:c r="AJ505" s="94" t="inlineStr">
        <ns0:is>
          <ns0:t>RF</ns0:t>
        </ns0:is>
      </ns0:c>
      <ns0:c r="AK505" s="94" t="inlineStr">
        <ns0:is>
          <ns0:t>Convencional</ns0:t>
        </ns0:is>
      </ns0:c>
      <ns0:c r="AL505" s="94" t="n">
        <ns0:v>3</ns0:v>
      </ns0:c>
      <ns0:c r="AM505" s="94" t="n">
        <ns0:v>4</ns0:v>
      </ns0:c>
      <ns0:c r="AN505" s="94" t="inlineStr">
        <ns0:is>
          <ns0:t>Estimada · baixa</ns0:t>
        </ns0:is>
      </ns0:c>
      <ns0:c r="AO505" s="94" t="inlineStr">
        <ns0:is>
          <ns0:t>Estimativa de implantação fornecida pela gestão; piso considerado sem confirmação geométrica.</ns0:t>
        </ns0:is>
      </ns0:c>
      <ns0:c r="AP505" s="94" t="inlineStr">
        <ns0:is>
          <ns0:t>Sim</ns0:t>
        </ns0:is>
      </ns0:c>
      <ns0:c r="AQ505" s="94" t="inlineStr">
        <ns0:is>
          <ns0:t>Olhão</ns0:t>
        </ns0:is>
      </ns0:c>
      <ns0:c r="AR505" s="94" t="inlineStr">
        <ns0:is>
          <ns0:t>BelaFormosa Price List September 2026, p. 1</ns0:t>
        </ns0:is>
      </ns0:c>
    </ns0:row>
    <ns0:row r="506" ht="72" customHeight="1">
      <ns0:c r="A506" s="94" t="inlineStr">
        <ns0:is>
          <ns0:t>BelaFormosa</ns0:t>
        </ns0:is>
      </ns0:c>
      <ns0:c r="B506" s="94" t="inlineStr">
        <ns0:is>
          <ns0:t>RF302</ns0:t>
        </ns0:is>
      </ns0:c>
      <ns0:c r="C506" s="94" t="n">
        <ns0:v>3</ns0:v>
      </ns0:c>
      <ns0:c r="D506" s="94" t="inlineStr">
        <ns0:is>
          <ns0:t>T2</ns0:t>
        </ns0:is>
      </ns0:c>
      <ns0:c r="E506" s="94"/>
      <ns0:c r="F506" s="97" t="n">
        <ns0:v>100.25</ns0:v>
      </ns0:c>
      <ns0:c r="G506" s="97" t="n">
        <ns0:v>19.0</ns0:v>
      </ns0:c>
      <ns0:c r="H506" s="97" t="n">
        <ns0:v>119.25</ns0:v>
      </ns0:c>
      <ns0:c r="I506" s="95" t="n">
        <ns0:v>940000</ns0:v>
      </ns0:c>
      <ns0:c r="J506" s="94" t="n">
        <ns0:v>2026</ns0:v>
      </ns0:c>
      <ns0:c r="K506" s="95" t="n">
        <ns0:v>9376.558603491272</ns0:v>
      </ns0:c>
      <ns0:c r="L506" s="95" t="n">
        <ns0:v>7882.599580712788</ns0:v>
      </ns0:c>
      <ns0:c r="M506" s="94" t="inlineStr">
        <ns0:is>
          <ns0:t>Ativo</ns0:t>
        </ns0:is>
      </ns0:c>
      <ns0:c r="N506" s="94" t="inlineStr">
        <ns0:is>
          <ns0:t>BelaFormosa · Price List September 2026 · p. 6</ns0:t>
        </ns0:is>
      </ns0:c>
      <ns0:c r="O506" s="94"/>
      <ns0:c r="P506" s="94" t="inlineStr">
        <ns0:is>
          <ns0:t>2026-09</ns0:t>
        </ns0:is>
      </ns0:c>
      <ns0:c r="Q506" s="94" t="inlineStr">
        <ns0:is>
          <ns0:t>Premium local</ns0:t>
        </ns0:is>
      </ns0:c>
      <ns0:c r="R506" s="94" t="inlineStr">
        <ns0:is>
          <ns0:t>Nova construção</ns0:t>
        </ns0:is>
      </ns0:c>
      <ns0:c r="S506" s="94"/>
      <ns0:c r="T506" s="94" t="inlineStr">
        <ns0:is>
          <ns0:t>Não incluído no preço; disponibilidade por confirmar</ns0:t>
        </ns0:is>
      </ns0:c>
      <ns0:c r="U506" s="94"/>
      <ns0:c r="V506" s="94"/>
      <ns0:c r="W506" s="97" t="n">
        <ns0:v>0.9</ns0:v>
      </ns0:c>
      <ns0:c r="X506" s="94" t="inlineStr">
        <ns0:is>
          <ns0:t>A · Premium local; vistas estimadas</ns0:t>
        </ns0:is>
      </ns0:c>
      <ns0:c r="Y506" s="94" t="inlineStr">
        <ns0:is>
          <ns0:t>Média</ns0:t>
        </ns0:is>
      </ns0:c>
      <ns0:c r="Z506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06" s="94" t="inlineStr">
        <ns0:is>
          <ns0:t>Confirmar vista, orientação, disponibilidade e condições atuais.</ns0:t>
        </ns0:is>
      </ns0:c>
      <ns0:c r="AB506" s="94" t="inlineStr">
        <ns0:is>
          <ns0:t>Média</ns0:t>
        </ns0:is>
      </ns0:c>
      <ns0:c r="AJ506" s="94" t="inlineStr">
        <ns0:is>
          <ns0:t>RF</ns0:t>
        </ns0:is>
      </ns0:c>
      <ns0:c r="AK506" s="94" t="inlineStr">
        <ns0:is>
          <ns0:t>Convencional</ns0:t>
        </ns0:is>
      </ns0:c>
      <ns0:c r="AL506" s="94" t="n">
        <ns0:v>3</ns0:v>
      </ns0:c>
      <ns0:c r="AM506" s="94" t="n">
        <ns0:v>4</ns0:v>
      </ns0:c>
      <ns0:c r="AN506" s="94" t="inlineStr">
        <ns0:is>
          <ns0:t>Estimada · baixa</ns0:t>
        </ns0:is>
      </ns0:c>
      <ns0:c r="AO506" s="94" t="inlineStr">
        <ns0:is>
          <ns0:t>Estimativa de implantação fornecida pela gestão; piso considerado sem confirmação geométrica.</ns0:t>
        </ns0:is>
      </ns0:c>
      <ns0:c r="AP506" s="94" t="inlineStr">
        <ns0:is>
          <ns0:t>Sim</ns0:t>
        </ns0:is>
      </ns0:c>
      <ns0:c r="AQ506" s="94" t="inlineStr">
        <ns0:is>
          <ns0:t>Olhão</ns0:t>
        </ns0:is>
      </ns0:c>
      <ns0:c r="AR506" s="94" t="inlineStr">
        <ns0:is>
          <ns0:t>BelaFormosa Price List September 2026, p. 1</ns0:t>
        </ns0:is>
      </ns0:c>
    </ns0:row>
    <ns0:row r="507" ht="72" customHeight="1">
      <ns0:c r="A507" s="94" t="inlineStr">
        <ns0:is>
          <ns0:t>BelaFormosa</ns0:t>
        </ns0:is>
      </ns0:c>
      <ns0:c r="B507" s="94" t="inlineStr">
        <ns0:is>
          <ns0:t>RF303</ns0:t>
        </ns0:is>
      </ns0:c>
      <ns0:c r="C507" s="94" t="n">
        <ns0:v>3</ns0:v>
      </ns0:c>
      <ns0:c r="D507" s="94" t="inlineStr">
        <ns0:is>
          <ns0:t>T2</ns0:t>
        </ns0:is>
      </ns0:c>
      <ns0:c r="E507" s="94"/>
      <ns0:c r="F507" s="97" t="n">
        <ns0:v>100.25</ns0:v>
      </ns0:c>
      <ns0:c r="G507" s="97" t="n">
        <ns0:v>19.0</ns0:v>
      </ns0:c>
      <ns0:c r="H507" s="97" t="n">
        <ns0:v>119.25</ns0:v>
      </ns0:c>
      <ns0:c r="I507" s="95" t="n">
        <ns0:v>1005000</ns0:v>
      </ns0:c>
      <ns0:c r="J507" s="94" t="n">
        <ns0:v>2026</ns0:v>
      </ns0:c>
      <ns0:c r="K507" s="95" t="n">
        <ns0:v>10024.937655860349</ns0:v>
      </ns0:c>
      <ns0:c r="L507" s="95" t="n">
        <ns0:v>8427.672955974842</ns0:v>
      </ns0:c>
      <ns0:c r="M507" s="94" t="inlineStr">
        <ns0:is>
          <ns0:t>Ativo</ns0:t>
        </ns0:is>
      </ns0:c>
      <ns0:c r="N507" s="94" t="inlineStr">
        <ns0:is>
          <ns0:t>BelaFormosa · Price List September 2026 · p. 6</ns0:t>
        </ns0:is>
      </ns0:c>
      <ns0:c r="O507" s="94"/>
      <ns0:c r="P507" s="94" t="inlineStr">
        <ns0:is>
          <ns0:t>2026-09</ns0:t>
        </ns0:is>
      </ns0:c>
      <ns0:c r="Q507" s="94" t="inlineStr">
        <ns0:is>
          <ns0:t>Premium local</ns0:t>
        </ns0:is>
      </ns0:c>
      <ns0:c r="R507" s="94" t="inlineStr">
        <ns0:is>
          <ns0:t>Nova construção</ns0:t>
        </ns0:is>
      </ns0:c>
      <ns0:c r="S507" s="94"/>
      <ns0:c r="T507" s="94" t="inlineStr">
        <ns0:is>
          <ns0:t>Não incluído no preço; disponibilidade por confirmar</ns0:t>
        </ns0:is>
      </ns0:c>
      <ns0:c r="U507" s="94"/>
      <ns0:c r="V507" s="94"/>
      <ns0:c r="W507" s="97" t="n">
        <ns0:v>0.9</ns0:v>
      </ns0:c>
      <ns0:c r="X507" s="94" t="inlineStr">
        <ns0:is>
          <ns0:t>A · Premium local; vistas estimadas</ns0:t>
        </ns0:is>
      </ns0:c>
      <ns0:c r="Y507" s="94" t="inlineStr">
        <ns0:is>
          <ns0:t>Média</ns0:t>
        </ns0:is>
      </ns0:c>
      <ns0:c r="Z507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07" s="94" t="inlineStr">
        <ns0:is>
          <ns0:t>Confirmar vista, orientação, disponibilidade e condições atuais.</ns0:t>
        </ns0:is>
      </ns0:c>
      <ns0:c r="AB507" s="94" t="inlineStr">
        <ns0:is>
          <ns0:t>Média</ns0:t>
        </ns0:is>
      </ns0:c>
      <ns0:c r="AJ507" s="94" t="inlineStr">
        <ns0:is>
          <ns0:t>RF</ns0:t>
        </ns0:is>
      </ns0:c>
      <ns0:c r="AK507" s="94" t="inlineStr">
        <ns0:is>
          <ns0:t>Convencional</ns0:t>
        </ns0:is>
      </ns0:c>
      <ns0:c r="AL507" s="94" t="n">
        <ns0:v>3</ns0:v>
      </ns0:c>
      <ns0:c r="AM507" s="94" t="n">
        <ns0:v>4</ns0:v>
      </ns0:c>
      <ns0:c r="AN507" s="94" t="inlineStr">
        <ns0:is>
          <ns0:t>Estimada · baixa</ns0:t>
        </ns0:is>
      </ns0:c>
      <ns0:c r="AO507" s="94" t="inlineStr">
        <ns0:is>
          <ns0:t>Estimativa de implantação fornecida pela gestão; piso considerado sem confirmação geométrica.</ns0:t>
        </ns0:is>
      </ns0:c>
      <ns0:c r="AP507" s="94" t="inlineStr">
        <ns0:is>
          <ns0:t>Sim</ns0:t>
        </ns0:is>
      </ns0:c>
      <ns0:c r="AQ507" s="94" t="inlineStr">
        <ns0:is>
          <ns0:t>Olhão</ns0:t>
        </ns0:is>
      </ns0:c>
      <ns0:c r="AR507" s="94" t="inlineStr">
        <ns0:is>
          <ns0:t>BelaFormosa Price List September 2026, p. 1</ns0:t>
        </ns0:is>
      </ns0:c>
    </ns0:row>
    <ns0:row r="508" ht="72" customHeight="1">
      <ns0:c r="A508" s="94" t="inlineStr">
        <ns0:is>
          <ns0:t>BelaFormosa</ns0:t>
        </ns0:is>
      </ns0:c>
      <ns0:c r="B508" s="94" t="inlineStr">
        <ns0:is>
          <ns0:t>RF304</ns0:t>
        </ns0:is>
      </ns0:c>
      <ns0:c r="C508" s="94" t="n">
        <ns0:v>3</ns0:v>
      </ns0:c>
      <ns0:c r="D508" s="94" t="inlineStr">
        <ns0:is>
          <ns0:t>T3</ns0:t>
        </ns0:is>
      </ns0:c>
      <ns0:c r="E508" s="94"/>
      <ns0:c r="F508" s="97" t="n">
        <ns0:v>164.5</ns0:v>
      </ns0:c>
      <ns0:c r="G508" s="97" t="n">
        <ns0:v>58.75</ns0:v>
      </ns0:c>
      <ns0:c r="H508" s="97" t="n">
        <ns0:v>223.25</ns0:v>
      </ns0:c>
      <ns0:c r="I508" s="95" t="n">
        <ns0:v>2005000</ns0:v>
      </ns0:c>
      <ns0:c r="J508" s="94" t="n">
        <ns0:v>2026</ns0:v>
      </ns0:c>
      <ns0:c r="K508" s="95" t="n">
        <ns0:v>12188.449848024316</ns0:v>
      </ns0:c>
      <ns0:c r="L508" s="95" t="n">
        <ns0:v>8980.963045912655</ns0:v>
      </ns0:c>
      <ns0:c r="M508" s="94" t="inlineStr">
        <ns0:is>
          <ns0:t>Ativo</ns0:t>
        </ns0:is>
      </ns0:c>
      <ns0:c r="N508" s="94" t="inlineStr">
        <ns0:is>
          <ns0:t>BelaFormosa · Price List September 2026 · p. 6</ns0:t>
        </ns0:is>
      </ns0:c>
      <ns0:c r="O508" s="94"/>
      <ns0:c r="P508" s="94" t="inlineStr">
        <ns0:is>
          <ns0:t>2026-09</ns0:t>
        </ns0:is>
      </ns0:c>
      <ns0:c r="Q508" s="94" t="inlineStr">
        <ns0:is>
          <ns0:t>Premium local</ns0:t>
        </ns0:is>
      </ns0:c>
      <ns0:c r="R508" s="94" t="inlineStr">
        <ns0:is>
          <ns0:t>Nova construção</ns0:t>
        </ns0:is>
      </ns0:c>
      <ns0:c r="S508" s="94"/>
      <ns0:c r="T508" s="94" t="inlineStr">
        <ns0:is>
          <ns0:t>Não incluído no preço; disponibilidade por confirmar</ns0:t>
        </ns0:is>
      </ns0:c>
      <ns0:c r="U508" s="94"/>
      <ns0:c r="V508" s="94"/>
      <ns0:c r="W508" s="97" t="n">
        <ns0:v>0.9</ns0:v>
      </ns0:c>
      <ns0:c r="X508" s="94" t="inlineStr">
        <ns0:is>
          <ns0:t>A · Premium local; vistas estimadas</ns0:t>
        </ns0:is>
      </ns0:c>
      <ns0:c r="Y508" s="94" t="inlineStr">
        <ns0:is>
          <ns0:t>Média</ns0:t>
        </ns0:is>
      </ns0:c>
      <ns0:c r="Z508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508" s="94" t="inlineStr">
        <ns0:is>
          <ns0:t>Confirmar vista, orientação, disponibilidade e condições atuais.</ns0:t>
        </ns0:is>
      </ns0:c>
      <ns0:c r="AB508" s="94" t="inlineStr">
        <ns0:is>
          <ns0:t>Média</ns0:t>
        </ns0:is>
      </ns0:c>
      <ns0:c r="AJ508" s="94" t="inlineStr">
        <ns0:is>
          <ns0:t>RF</ns0:t>
        </ns0:is>
      </ns0:c>
      <ns0:c r="AK508" s="94" t="inlineStr">
        <ns0:is>
          <ns0:t>Convencional</ns0:t>
        </ns0:is>
      </ns0:c>
      <ns0:c r="AL508" s="94" t="n">
        <ns0:v>1</ns0:v>
      </ns0:c>
      <ns0:c r="AM508" s="94" t="n">
        <ns0:v>1</ns0:v>
      </ns0:c>
      <ns0:c r="AN508" s="94" t="inlineStr">
        <ns0:is>
          <ns0:t>Estimada · baixa</ns0:t>
        </ns0:is>
      </ns0:c>
      <ns0:c r="AO508" s="94" t="inlineStr">
        <ns0:is>
          <ns0:t>Estimativa de implantação fornecida pela gestão; piso considerado sem confirmação geométrica.</ns0:t>
        </ns0:is>
      </ns0:c>
      <ns0:c r="AP508" s="94" t="inlineStr">
        <ns0:is>
          <ns0:t>Sim</ns0:t>
        </ns0:is>
      </ns0:c>
      <ns0:c r="AQ508" s="94" t="inlineStr">
        <ns0:is>
          <ns0:t>Olhão</ns0:t>
        </ns0:is>
      </ns0:c>
      <ns0:c r="AR508" s="94" t="inlineStr">
        <ns0:is>
          <ns0:t>BelaFormosa Price List September 2026, p. 1</ns0:t>
        </ns0:is>
      </ns0:c>
    </ns0:row>
    <ns0:row r="509" ht="72" customHeight="1">
      <ns0:c r="A509" s="94" t="inlineStr">
        <ns0:is>
          <ns0:t>BelaFormosa</ns0:t>
        </ns0:is>
      </ns0:c>
      <ns0:c r="B509" s="94" t="inlineStr">
        <ns0:is>
          <ns0:t>RF305</ns0:t>
        </ns0:is>
      </ns0:c>
      <ns0:c r="C509" s="94" t="n">
        <ns0:v>3</ns0:v>
      </ns0:c>
      <ns0:c r="D509" s="94" t="inlineStr">
        <ns0:is>
          <ns0:t>T3</ns0:t>
        </ns0:is>
      </ns0:c>
      <ns0:c r="E509" s="94"/>
      <ns0:c r="F509" s="97" t="n">
        <ns0:v>164.5</ns0:v>
      </ns0:c>
      <ns0:c r="G509" s="97" t="n">
        <ns0:v>58.75</ns0:v>
      </ns0:c>
      <ns0:c r="H509" s="97" t="n">
        <ns0:v>223.25</ns0:v>
      </ns0:c>
      <ns0:c r="I509" s="95" t="n">
        <ns0:v>2005000</ns0:v>
      </ns0:c>
      <ns0:c r="J509" s="94" t="n">
        <ns0:v>2026</ns0:v>
      </ns0:c>
      <ns0:c r="K509" s="95" t="n">
        <ns0:v>12188.449848024316</ns0:v>
      </ns0:c>
      <ns0:c r="L509" s="95" t="n">
        <ns0:v>8980.963045912655</ns0:v>
      </ns0:c>
      <ns0:c r="M509" s="94" t="inlineStr">
        <ns0:is>
          <ns0:t>Ativo</ns0:t>
        </ns0:is>
      </ns0:c>
      <ns0:c r="N509" s="94" t="inlineStr">
        <ns0:is>
          <ns0:t>BelaFormosa · Price List September 2026 · p. 6</ns0:t>
        </ns0:is>
      </ns0:c>
      <ns0:c r="O509" s="94"/>
      <ns0:c r="P509" s="94" t="inlineStr">
        <ns0:is>
          <ns0:t>2026-09</ns0:t>
        </ns0:is>
      </ns0:c>
      <ns0:c r="Q509" s="94" t="inlineStr">
        <ns0:is>
          <ns0:t>Premium local</ns0:t>
        </ns0:is>
      </ns0:c>
      <ns0:c r="R509" s="94" t="inlineStr">
        <ns0:is>
          <ns0:t>Nova construção</ns0:t>
        </ns0:is>
      </ns0:c>
      <ns0:c r="S509" s="94"/>
      <ns0:c r="T509" s="94" t="inlineStr">
        <ns0:is>
          <ns0:t>Não incluído no preço; disponibilidade por confirmar</ns0:t>
        </ns0:is>
      </ns0:c>
      <ns0:c r="U509" s="94"/>
      <ns0:c r="V509" s="94"/>
      <ns0:c r="W509" s="97" t="n">
        <ns0:v>0.9</ns0:v>
      </ns0:c>
      <ns0:c r="X509" s="94" t="inlineStr">
        <ns0:is>
          <ns0:t>A · Premium local; vistas estimadas</ns0:t>
        </ns0:is>
      </ns0:c>
      <ns0:c r="Y509" s="94" t="inlineStr">
        <ns0:is>
          <ns0:t>Média</ns0:t>
        </ns0:is>
      </ns0:c>
      <ns0:c r="Z509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509" s="94" t="inlineStr">
        <ns0:is>
          <ns0:t>Confirmar vista, orientação, disponibilidade e condições atuais.</ns0:t>
        </ns0:is>
      </ns0:c>
      <ns0:c r="AB509" s="94" t="inlineStr">
        <ns0:is>
          <ns0:t>Média</ns0:t>
        </ns0:is>
      </ns0:c>
      <ns0:c r="AJ509" s="94" t="inlineStr">
        <ns0:is>
          <ns0:t>RF</ns0:t>
        </ns0:is>
      </ns0:c>
      <ns0:c r="AK509" s="94" t="inlineStr">
        <ns0:is>
          <ns0:t>Convencional</ns0:t>
        </ns0:is>
      </ns0:c>
      <ns0:c r="AL509" s="94" t="n">
        <ns0:v>1</ns0:v>
      </ns0:c>
      <ns0:c r="AM509" s="94" t="n">
        <ns0:v>1</ns0:v>
      </ns0:c>
      <ns0:c r="AN509" s="94" t="inlineStr">
        <ns0:is>
          <ns0:t>Estimada · baixa</ns0:t>
        </ns0:is>
      </ns0:c>
      <ns0:c r="AO509" s="94" t="inlineStr">
        <ns0:is>
          <ns0:t>Estimativa de implantação fornecida pela gestão; piso considerado sem confirmação geométrica.</ns0:t>
        </ns0:is>
      </ns0:c>
      <ns0:c r="AP509" s="94" t="inlineStr">
        <ns0:is>
          <ns0:t>Sim</ns0:t>
        </ns0:is>
      </ns0:c>
      <ns0:c r="AQ509" s="94" t="inlineStr">
        <ns0:is>
          <ns0:t>Olhão</ns0:t>
        </ns0:is>
      </ns0:c>
      <ns0:c r="AR509" s="94" t="inlineStr">
        <ns0:is>
          <ns0:t>BelaFormosa Price List September 2026, p. 1</ns0:t>
        </ns0:is>
      </ns0:c>
    </ns0:row>
    <ns0:row r="510" ht="72" customHeight="1">
      <ns0:c r="A510" s="94" t="inlineStr">
        <ns0:is>
          <ns0:t>BelaFormosa</ns0:t>
        </ns0:is>
      </ns0:c>
      <ns0:c r="B510" s="94" t="inlineStr">
        <ns0:is>
          <ns0:t>RF306</ns0:t>
        </ns0:is>
      </ns0:c>
      <ns0:c r="C510" s="94" t="n">
        <ns0:v>3</ns0:v>
      </ns0:c>
      <ns0:c r="D510" s="94" t="inlineStr">
        <ns0:is>
          <ns0:t>T2</ns0:t>
        </ns0:is>
      </ns0:c>
      <ns0:c r="E510" s="94"/>
      <ns0:c r="F510" s="97" t="n">
        <ns0:v>100.25</ns0:v>
      </ns0:c>
      <ns0:c r="G510" s="97" t="n">
        <ns0:v>19.0</ns0:v>
      </ns0:c>
      <ns0:c r="H510" s="97" t="n">
        <ns0:v>119.25</ns0:v>
      </ns0:c>
      <ns0:c r="I510" s="95" t="n">
        <ns0:v>1145000</ns0:v>
      </ns0:c>
      <ns0:c r="J510" s="94" t="n">
        <ns0:v>2026</ns0:v>
      </ns0:c>
      <ns0:c r="K510" s="95" t="n">
        <ns0:v>11421.4463840399</ns0:v>
      </ns0:c>
      <ns0:c r="L510" s="95" t="n">
        <ns0:v>9601.67714884696</ns0:v>
      </ns0:c>
      <ns0:c r="M510" s="94" t="inlineStr">
        <ns0:is>
          <ns0:t>Ativo</ns0:t>
        </ns0:is>
      </ns0:c>
      <ns0:c r="N510" s="94" t="inlineStr">
        <ns0:is>
          <ns0:t>BelaFormosa · Price List September 2026 · p. 6</ns0:t>
        </ns0:is>
      </ns0:c>
      <ns0:c r="O510" s="94"/>
      <ns0:c r="P510" s="94" t="inlineStr">
        <ns0:is>
          <ns0:t>2026-09</ns0:t>
        </ns0:is>
      </ns0:c>
      <ns0:c r="Q510" s="94" t="inlineStr">
        <ns0:is>
          <ns0:t>Premium local</ns0:t>
        </ns0:is>
      </ns0:c>
      <ns0:c r="R510" s="94" t="inlineStr">
        <ns0:is>
          <ns0:t>Nova construção</ns0:t>
        </ns0:is>
      </ns0:c>
      <ns0:c r="S510" s="94"/>
      <ns0:c r="T510" s="94" t="inlineStr">
        <ns0:is>
          <ns0:t>Não incluído no preço; disponibilidade por confirmar</ns0:t>
        </ns0:is>
      </ns0:c>
      <ns0:c r="U510" s="94"/>
      <ns0:c r="V510" s="94"/>
      <ns0:c r="W510" s="97" t="n">
        <ns0:v>0.9</ns0:v>
      </ns0:c>
      <ns0:c r="X510" s="94" t="inlineStr">
        <ns0:is>
          <ns0:t>A · Premium local; vistas estimadas</ns0:t>
        </ns0:is>
      </ns0:c>
      <ns0:c r="Y510" s="94" t="inlineStr">
        <ns0:is>
          <ns0:t>Média</ns0:t>
        </ns0:is>
      </ns0:c>
      <ns0:c r="Z510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10" s="94" t="inlineStr">
        <ns0:is>
          <ns0:t>Confirmar vista, orientação, disponibilidade e condições atuais.</ns0:t>
        </ns0:is>
      </ns0:c>
      <ns0:c r="AB510" s="94" t="inlineStr">
        <ns0:is>
          <ns0:t>Média</ns0:t>
        </ns0:is>
      </ns0:c>
      <ns0:c r="AJ510" s="94" t="inlineStr">
        <ns0:is>
          <ns0:t>RF</ns0:t>
        </ns0:is>
      </ns0:c>
      <ns0:c r="AK510" s="94" t="inlineStr">
        <ns0:is>
          <ns0:t>Convencional</ns0:t>
        </ns0:is>
      </ns0:c>
      <ns0:c r="AL510" s="94" t="n">
        <ns0:v>2</ns0:v>
      </ns0:c>
      <ns0:c r="AM510" s="94" t="n">
        <ns0:v>3</ns0:v>
      </ns0:c>
      <ns0:c r="AN510" s="94" t="inlineStr">
        <ns0:is>
          <ns0:t>Estimada · baixa</ns0:t>
        </ns0:is>
      </ns0:c>
      <ns0:c r="AO510" s="94" t="inlineStr">
        <ns0:is>
          <ns0:t>Estimativa de implantação fornecida pela gestão; piso considerado sem confirmação geométrica.</ns0:t>
        </ns0:is>
      </ns0:c>
      <ns0:c r="AP510" s="94" t="inlineStr">
        <ns0:is>
          <ns0:t>Sim</ns0:t>
        </ns0:is>
      </ns0:c>
      <ns0:c r="AQ510" s="94" t="inlineStr">
        <ns0:is>
          <ns0:t>Olhão</ns0:t>
        </ns0:is>
      </ns0:c>
      <ns0:c r="AR510" s="94" t="inlineStr">
        <ns0:is>
          <ns0:t>BelaFormosa Price List September 2026, p. 1</ns0:t>
        </ns0:is>
      </ns0:c>
    </ns0:row>
    <ns0:row r="511" ht="72" customHeight="1">
      <ns0:c r="A511" s="94" t="inlineStr">
        <ns0:is>
          <ns0:t>BelaFormosa</ns0:t>
        </ns0:is>
      </ns0:c>
      <ns0:c r="B511" s="94" t="inlineStr">
        <ns0:is>
          <ns0:t>RF307</ns0:t>
        </ns0:is>
      </ns0:c>
      <ns0:c r="C511" s="94" t="n">
        <ns0:v>3</ns0:v>
      </ns0:c>
      <ns0:c r="D511" s="94" t="inlineStr">
        <ns0:is>
          <ns0:t>T2</ns0:t>
        </ns0:is>
      </ns0:c>
      <ns0:c r="E511" s="94"/>
      <ns0:c r="F511" s="97" t="n">
        <ns0:v>100.25</ns0:v>
      </ns0:c>
      <ns0:c r="G511" s="97" t="n">
        <ns0:v>19.0</ns0:v>
      </ns0:c>
      <ns0:c r="H511" s="97" t="n">
        <ns0:v>119.25</ns0:v>
      </ns0:c>
      <ns0:c r="I511" s="95" t="n">
        <ns0:v>1125000</ns0:v>
      </ns0:c>
      <ns0:c r="J511" s="94" t="n">
        <ns0:v>2026</ns0:v>
      </ns0:c>
      <ns0:c r="K511" s="95" t="n">
        <ns0:v>11221.945137157107</ns0:v>
      </ns0:c>
      <ns0:c r="L511" s="95" t="n">
        <ns0:v>9433.962264150943</ns0:v>
      </ns0:c>
      <ns0:c r="M511" s="94" t="inlineStr">
        <ns0:is>
          <ns0:t>Ativo</ns0:t>
        </ns0:is>
      </ns0:c>
      <ns0:c r="N511" s="94" t="inlineStr">
        <ns0:is>
          <ns0:t>BelaFormosa · Price List September 2026 · p. 6</ns0:t>
        </ns0:is>
      </ns0:c>
      <ns0:c r="O511" s="94"/>
      <ns0:c r="P511" s="94" t="inlineStr">
        <ns0:is>
          <ns0:t>2026-09</ns0:t>
        </ns0:is>
      </ns0:c>
      <ns0:c r="Q511" s="94" t="inlineStr">
        <ns0:is>
          <ns0:t>Premium local</ns0:t>
        </ns0:is>
      </ns0:c>
      <ns0:c r="R511" s="94" t="inlineStr">
        <ns0:is>
          <ns0:t>Nova construção</ns0:t>
        </ns0:is>
      </ns0:c>
      <ns0:c r="S511" s="94"/>
      <ns0:c r="T511" s="94" t="inlineStr">
        <ns0:is>
          <ns0:t>Não incluído no preço; disponibilidade por confirmar</ns0:t>
        </ns0:is>
      </ns0:c>
      <ns0:c r="U511" s="94"/>
      <ns0:c r="V511" s="94"/>
      <ns0:c r="W511" s="97" t="n">
        <ns0:v>0.9</ns0:v>
      </ns0:c>
      <ns0:c r="X511" s="94" t="inlineStr">
        <ns0:is>
          <ns0:t>A · Premium local; vistas estimadas</ns0:t>
        </ns0:is>
      </ns0:c>
      <ns0:c r="Y511" s="94" t="inlineStr">
        <ns0:is>
          <ns0:t>Média</ns0:t>
        </ns0:is>
      </ns0:c>
      <ns0:c r="Z511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11" s="94" t="inlineStr">
        <ns0:is>
          <ns0:t>Confirmar vista, orientação, disponibilidade e condições atuais.</ns0:t>
        </ns0:is>
      </ns0:c>
      <ns0:c r="AB511" s="94" t="inlineStr">
        <ns0:is>
          <ns0:t>Média</ns0:t>
        </ns0:is>
      </ns0:c>
      <ns0:c r="AJ511" s="94" t="inlineStr">
        <ns0:is>
          <ns0:t>RF</ns0:t>
        </ns0:is>
      </ns0:c>
      <ns0:c r="AK511" s="94" t="inlineStr">
        <ns0:is>
          <ns0:t>Convencional</ns0:t>
        </ns0:is>
      </ns0:c>
      <ns0:c r="AL511" s="94" t="n">
        <ns0:v>2</ns0:v>
      </ns0:c>
      <ns0:c r="AM511" s="94" t="n">
        <ns0:v>3</ns0:v>
      </ns0:c>
      <ns0:c r="AN511" s="94" t="inlineStr">
        <ns0:is>
          <ns0:t>Estimada · baixa</ns0:t>
        </ns0:is>
      </ns0:c>
      <ns0:c r="AO511" s="94" t="inlineStr">
        <ns0:is>
          <ns0:t>Estimativa de implantação fornecida pela gestão; piso considerado sem confirmação geométrica.</ns0:t>
        </ns0:is>
      </ns0:c>
      <ns0:c r="AP511" s="94" t="inlineStr">
        <ns0:is>
          <ns0:t>Sim</ns0:t>
        </ns0:is>
      </ns0:c>
      <ns0:c r="AQ511" s="94" t="inlineStr">
        <ns0:is>
          <ns0:t>Olhão</ns0:t>
        </ns0:is>
      </ns0:c>
      <ns0:c r="AR511" s="94" t="inlineStr">
        <ns0:is>
          <ns0:t>BelaFormosa Price List September 2026, p. 1</ns0:t>
        </ns0:is>
      </ns0:c>
    </ns0:row>
    <ns0:row r="512" ht="72" customHeight="1">
      <ns0:c r="A512" s="94" t="inlineStr">
        <ns0:is>
          <ns0:t>BelaFormosa</ns0:t>
        </ns0:is>
      </ns0:c>
      <ns0:c r="B512" s="94" t="inlineStr">
        <ns0:is>
          <ns0:t>RF308</ns0:t>
        </ns0:is>
      </ns0:c>
      <ns0:c r="C512" s="94" t="n">
        <ns0:v>3</ns0:v>
      </ns0:c>
      <ns0:c r="D512" s="94" t="inlineStr">
        <ns0:is>
          <ns0:t>T2</ns0:t>
        </ns0:is>
      </ns0:c>
      <ns0:c r="E512" s="94"/>
      <ns0:c r="F512" s="97" t="n">
        <ns0:v>100.25</ns0:v>
      </ns0:c>
      <ns0:c r="G512" s="97" t="n">
        <ns0:v>18.5</ns0:v>
      </ns0:c>
      <ns0:c r="H512" s="97" t="n">
        <ns0:v>118.75</ns0:v>
      </ns0:c>
      <ns0:c r="I512" s="95" t="n">
        <ns0:v>1125000</ns0:v>
      </ns0:c>
      <ns0:c r="J512" s="94" t="n">
        <ns0:v>2026</ns0:v>
      </ns0:c>
      <ns0:c r="K512" s="95" t="n">
        <ns0:v>11221.945137157107</ns0:v>
      </ns0:c>
      <ns0:c r="L512" s="95" t="n">
        <ns0:v>9473.684210526315</ns0:v>
      </ns0:c>
      <ns0:c r="M512" s="94" t="inlineStr">
        <ns0:is>
          <ns0:t>Ativo</ns0:t>
        </ns0:is>
      </ns0:c>
      <ns0:c r="N512" s="94" t="inlineStr">
        <ns0:is>
          <ns0:t>BelaFormosa · Price List September 2026 · p. 6</ns0:t>
        </ns0:is>
      </ns0:c>
      <ns0:c r="O512" s="94"/>
      <ns0:c r="P512" s="94" t="inlineStr">
        <ns0:is>
          <ns0:t>2026-09</ns0:t>
        </ns0:is>
      </ns0:c>
      <ns0:c r="Q512" s="94" t="inlineStr">
        <ns0:is>
          <ns0:t>Premium local</ns0:t>
        </ns0:is>
      </ns0:c>
      <ns0:c r="R512" s="94" t="inlineStr">
        <ns0:is>
          <ns0:t>Nova construção</ns0:t>
        </ns0:is>
      </ns0:c>
      <ns0:c r="S512" s="94"/>
      <ns0:c r="T512" s="94" t="inlineStr">
        <ns0:is>
          <ns0:t>Não incluído no preço; disponibilidade por confirmar</ns0:t>
        </ns0:is>
      </ns0:c>
      <ns0:c r="U512" s="94"/>
      <ns0:c r="V512" s="94"/>
      <ns0:c r="W512" s="97" t="n">
        <ns0:v>0.9</ns0:v>
      </ns0:c>
      <ns0:c r="X512" s="94" t="inlineStr">
        <ns0:is>
          <ns0:t>A · Premium local; vistas estimadas</ns0:t>
        </ns0:is>
      </ns0:c>
      <ns0:c r="Y512" s="94" t="inlineStr">
        <ns0:is>
          <ns0:t>Média</ns0:t>
        </ns0:is>
      </ns0:c>
      <ns0:c r="Z512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12" s="94" t="inlineStr">
        <ns0:is>
          <ns0:t>Confirmar vista, orientação, disponibilidade e condições atuais.</ns0:t>
        </ns0:is>
      </ns0:c>
      <ns0:c r="AB512" s="94" t="inlineStr">
        <ns0:is>
          <ns0:t>Média</ns0:t>
        </ns0:is>
      </ns0:c>
      <ns0:c r="AJ512" s="94" t="inlineStr">
        <ns0:is>
          <ns0:t>RF</ns0:t>
        </ns0:is>
      </ns0:c>
      <ns0:c r="AK512" s="94" t="inlineStr">
        <ns0:is>
          <ns0:t>Convencional</ns0:t>
        </ns0:is>
      </ns0:c>
      <ns0:c r="AL512" s="94" t="n">
        <ns0:v>2</ns0:v>
      </ns0:c>
      <ns0:c r="AM512" s="94" t="n">
        <ns0:v>3</ns0:v>
      </ns0:c>
      <ns0:c r="AN512" s="94" t="inlineStr">
        <ns0:is>
          <ns0:t>Estimada · baixa</ns0:t>
        </ns0:is>
      </ns0:c>
      <ns0:c r="AO512" s="94" t="inlineStr">
        <ns0:is>
          <ns0:t>Estimativa de implantação fornecida pela gestão; piso considerado sem confirmação geométrica.</ns0:t>
        </ns0:is>
      </ns0:c>
      <ns0:c r="AP512" s="94" t="inlineStr">
        <ns0:is>
          <ns0:t>Sim</ns0:t>
        </ns0:is>
      </ns0:c>
      <ns0:c r="AQ512" s="94" t="inlineStr">
        <ns0:is>
          <ns0:t>Olhão</ns0:t>
        </ns0:is>
      </ns0:c>
      <ns0:c r="AR512" s="94" t="inlineStr">
        <ns0:is>
          <ns0:t>BelaFormosa Price List September 2026, p. 1</ns0:t>
        </ns0:is>
      </ns0:c>
    </ns0:row>
    <ns0:row r="513" ht="72" customHeight="1">
      <ns0:c r="A513" s="94" t="inlineStr">
        <ns0:is>
          <ns0:t>BelaFormosa</ns0:t>
        </ns0:is>
      </ns0:c>
      <ns0:c r="B513" s="94" t="inlineStr">
        <ns0:is>
          <ns0:t>RF401</ns0:t>
        </ns0:is>
      </ns0:c>
      <ns0:c r="C513" s="94" t="n">
        <ns0:v>4</ns0:v>
      </ns0:c>
      <ns0:c r="D513" s="94" t="inlineStr">
        <ns0:is>
          <ns0:t>T2</ns0:t>
        </ns0:is>
      </ns0:c>
      <ns0:c r="E513" s="94"/>
      <ns0:c r="F513" s="97" t="n">
        <ns0:v>100.25</ns0:v>
      </ns0:c>
      <ns0:c r="G513" s="97" t="n">
        <ns0:v>18.5</ns0:v>
      </ns0:c>
      <ns0:c r="H513" s="97" t="n">
        <ns0:v>118.75</ns0:v>
      </ns0:c>
      <ns0:c r="I513" s="95" t="n">
        <ns0:v>1020000</ns0:v>
      </ns0:c>
      <ns0:c r="J513" s="94" t="n">
        <ns0:v>2026</ns0:v>
      </ns0:c>
      <ns0:c r="K513" s="95" t="n">
        <ns0:v>10174.563591022445</ns0:v>
      </ns0:c>
      <ns0:c r="L513" s="95" t="n">
        <ns0:v>8589.473684210527</ns0:v>
      </ns0:c>
      <ns0:c r="M513" s="94" t="inlineStr">
        <ns0:is>
          <ns0:t>Ativo</ns0:t>
        </ns0:is>
      </ns0:c>
      <ns0:c r="N513" s="94" t="inlineStr">
        <ns0:is>
          <ns0:t>BelaFormosa · Price List September 2026 · p. 6</ns0:t>
        </ns0:is>
      </ns0:c>
      <ns0:c r="O513" s="94"/>
      <ns0:c r="P513" s="94" t="inlineStr">
        <ns0:is>
          <ns0:t>2026-09</ns0:t>
        </ns0:is>
      </ns0:c>
      <ns0:c r="Q513" s="94" t="inlineStr">
        <ns0:is>
          <ns0:t>Premium local</ns0:t>
        </ns0:is>
      </ns0:c>
      <ns0:c r="R513" s="94" t="inlineStr">
        <ns0:is>
          <ns0:t>Nova construção</ns0:t>
        </ns0:is>
      </ns0:c>
      <ns0:c r="S513" s="94"/>
      <ns0:c r="T513" s="94" t="inlineStr">
        <ns0:is>
          <ns0:t>Não incluído no preço; disponibilidade por confirmar</ns0:t>
        </ns0:is>
      </ns0:c>
      <ns0:c r="U513" s="94"/>
      <ns0:c r="V513" s="94"/>
      <ns0:c r="W513" s="97" t="n">
        <ns0:v>0.9</ns0:v>
      </ns0:c>
      <ns0:c r="X513" s="94" t="inlineStr">
        <ns0:is>
          <ns0:t>A · Premium local; vistas estimadas</ns0:t>
        </ns0:is>
      </ns0:c>
      <ns0:c r="Y513" s="94" t="inlineStr">
        <ns0:is>
          <ns0:t>Média</ns0:t>
        </ns0:is>
      </ns0:c>
      <ns0:c r="Z513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13" s="94" t="inlineStr">
        <ns0:is>
          <ns0:t>Confirmar vista, orientação, disponibilidade e condições atuais.</ns0:t>
        </ns0:is>
      </ns0:c>
      <ns0:c r="AB513" s="94" t="inlineStr">
        <ns0:is>
          <ns0:t>Média</ns0:t>
        </ns0:is>
      </ns0:c>
      <ns0:c r="AJ513" s="94" t="inlineStr">
        <ns0:is>
          <ns0:t>RF</ns0:t>
        </ns0:is>
      </ns0:c>
      <ns0:c r="AK513" s="94" t="inlineStr">
        <ns0:is>
          <ns0:t>Convencional</ns0:t>
        </ns0:is>
      </ns0:c>
      <ns0:c r="AL513" s="94" t="n">
        <ns0:v>3</ns0:v>
      </ns0:c>
      <ns0:c r="AM513" s="94" t="n">
        <ns0:v>4</ns0:v>
      </ns0:c>
      <ns0:c r="AN513" s="94" t="inlineStr">
        <ns0:is>
          <ns0:t>Estimada · média</ns0:t>
        </ns0:is>
      </ns0:c>
      <ns0:c r="AO513" s="94" t="inlineStr">
        <ns0:is>
          <ns0:t>Estimativa de implantação fornecida pela gestão; piso considerado sem confirmação geométrica.</ns0:t>
        </ns0:is>
      </ns0:c>
      <ns0:c r="AP513" s="94" t="inlineStr">
        <ns0:is>
          <ns0:t>Sim</ns0:t>
        </ns0:is>
      </ns0:c>
      <ns0:c r="AQ513" s="94" t="inlineStr">
        <ns0:is>
          <ns0:t>Olhão</ns0:t>
        </ns0:is>
      </ns0:c>
      <ns0:c r="AR513" s="94" t="inlineStr">
        <ns0:is>
          <ns0:t>BelaFormosa Price List September 2026, p. 1</ns0:t>
        </ns0:is>
      </ns0:c>
    </ns0:row>
    <ns0:row r="514" ht="72" customHeight="1">
      <ns0:c r="A514" s="94" t="inlineStr">
        <ns0:is>
          <ns0:t>BelaFormosa</ns0:t>
        </ns0:is>
      </ns0:c>
      <ns0:c r="B514" s="94" t="inlineStr">
        <ns0:is>
          <ns0:t>RF402</ns0:t>
        </ns0:is>
      </ns0:c>
      <ns0:c r="C514" s="94" t="n">
        <ns0:v>4</ns0:v>
      </ns0:c>
      <ns0:c r="D514" s="94" t="inlineStr">
        <ns0:is>
          <ns0:t>T2</ns0:t>
        </ns0:is>
      </ns0:c>
      <ns0:c r="E514" s="94"/>
      <ns0:c r="F514" s="97" t="n">
        <ns0:v>100.25</ns0:v>
      </ns0:c>
      <ns0:c r="G514" s="97" t="n">
        <ns0:v>19.0</ns0:v>
      </ns0:c>
      <ns0:c r="H514" s="97" t="n">
        <ns0:v>119.25</ns0:v>
      </ns0:c>
      <ns0:c r="I514" s="95" t="n">
        <ns0:v>1025000</ns0:v>
      </ns0:c>
      <ns0:c r="J514" s="94" t="n">
        <ns0:v>2026</ns0:v>
      </ns0:c>
      <ns0:c r="K514" s="95" t="n">
        <ns0:v>10224.438902743143</ns0:v>
      </ns0:c>
      <ns0:c r="L514" s="95" t="n">
        <ns0:v>8595.387840670859</ns0:v>
      </ns0:c>
      <ns0:c r="M514" s="94" t="inlineStr">
        <ns0:is>
          <ns0:t>Ativo</ns0:t>
        </ns0:is>
      </ns0:c>
      <ns0:c r="N514" s="94" t="inlineStr">
        <ns0:is>
          <ns0:t>BelaFormosa · Price List September 2026 · p. 6</ns0:t>
        </ns0:is>
      </ns0:c>
      <ns0:c r="O514" s="94"/>
      <ns0:c r="P514" s="94" t="inlineStr">
        <ns0:is>
          <ns0:t>2026-09</ns0:t>
        </ns0:is>
      </ns0:c>
      <ns0:c r="Q514" s="94" t="inlineStr">
        <ns0:is>
          <ns0:t>Premium local</ns0:t>
        </ns0:is>
      </ns0:c>
      <ns0:c r="R514" s="94" t="inlineStr">
        <ns0:is>
          <ns0:t>Nova construção</ns0:t>
        </ns0:is>
      </ns0:c>
      <ns0:c r="S514" s="94"/>
      <ns0:c r="T514" s="94" t="inlineStr">
        <ns0:is>
          <ns0:t>Não incluído no preço; disponibilidade por confirmar</ns0:t>
        </ns0:is>
      </ns0:c>
      <ns0:c r="U514" s="94"/>
      <ns0:c r="V514" s="94"/>
      <ns0:c r="W514" s="97" t="n">
        <ns0:v>0.9</ns0:v>
      </ns0:c>
      <ns0:c r="X514" s="94" t="inlineStr">
        <ns0:is>
          <ns0:t>A · Premium local; vistas estimadas</ns0:t>
        </ns0:is>
      </ns0:c>
      <ns0:c r="Y514" s="94" t="inlineStr">
        <ns0:is>
          <ns0:t>Média</ns0:t>
        </ns0:is>
      </ns0:c>
      <ns0:c r="Z514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14" s="94" t="inlineStr">
        <ns0:is>
          <ns0:t>Confirmar vista, orientação, disponibilidade e condições atuais.</ns0:t>
        </ns0:is>
      </ns0:c>
      <ns0:c r="AB514" s="94" t="inlineStr">
        <ns0:is>
          <ns0:t>Média</ns0:t>
        </ns0:is>
      </ns0:c>
      <ns0:c r="AJ514" s="94" t="inlineStr">
        <ns0:is>
          <ns0:t>RF</ns0:t>
        </ns0:is>
      </ns0:c>
      <ns0:c r="AK514" s="94" t="inlineStr">
        <ns0:is>
          <ns0:t>Convencional</ns0:t>
        </ns0:is>
      </ns0:c>
      <ns0:c r="AL514" s="94" t="n">
        <ns0:v>3</ns0:v>
      </ns0:c>
      <ns0:c r="AM514" s="94" t="n">
        <ns0:v>4</ns0:v>
      </ns0:c>
      <ns0:c r="AN514" s="94" t="inlineStr">
        <ns0:is>
          <ns0:t>Estimada · média</ns0:t>
        </ns0:is>
      </ns0:c>
      <ns0:c r="AO514" s="94" t="inlineStr">
        <ns0:is>
          <ns0:t>Estimativa de implantação fornecida pela gestão; piso considerado sem confirmação geométrica.</ns0:t>
        </ns0:is>
      </ns0:c>
      <ns0:c r="AP514" s="94" t="inlineStr">
        <ns0:is>
          <ns0:t>Sim</ns0:t>
        </ns0:is>
      </ns0:c>
      <ns0:c r="AQ514" s="94" t="inlineStr">
        <ns0:is>
          <ns0:t>Olhão</ns0:t>
        </ns0:is>
      </ns0:c>
      <ns0:c r="AR514" s="94" t="inlineStr">
        <ns0:is>
          <ns0:t>BelaFormosa Price List September 2026, p. 1</ns0:t>
        </ns0:is>
      </ns0:c>
    </ns0:row>
    <ns0:row r="515" ht="72" customHeight="1">
      <ns0:c r="A515" s="94" t="inlineStr">
        <ns0:is>
          <ns0:t>BelaFormosa</ns0:t>
        </ns0:is>
      </ns0:c>
      <ns0:c r="B515" s="94" t="inlineStr">
        <ns0:is>
          <ns0:t>RF403</ns0:t>
        </ns0:is>
      </ns0:c>
      <ns0:c r="C515" s="94" t="n">
        <ns0:v>4</ns0:v>
      </ns0:c>
      <ns0:c r="D515" s="94" t="inlineStr">
        <ns0:is>
          <ns0:t>T2</ns0:t>
        </ns0:is>
      </ns0:c>
      <ns0:c r="E515" s="94"/>
      <ns0:c r="F515" s="97" t="n">
        <ns0:v>100.25</ns0:v>
      </ns0:c>
      <ns0:c r="G515" s="97" t="n">
        <ns0:v>19.0</ns0:v>
      </ns0:c>
      <ns0:c r="H515" s="97" t="n">
        <ns0:v>119.25</ns0:v>
      </ns0:c>
      <ns0:c r="I515" s="95" t="n">
        <ns0:v>1095000</ns0:v>
      </ns0:c>
      <ns0:c r="J515" s="94" t="n">
        <ns0:v>2026</ns0:v>
      </ns0:c>
      <ns0:c r="K515" s="95" t="n">
        <ns0:v>10922.693266832917</ns0:v>
      </ns0:c>
      <ns0:c r="L515" s="95" t="n">
        <ns0:v>9182.389937106918</ns0:v>
      </ns0:c>
      <ns0:c r="M515" s="94" t="inlineStr">
        <ns0:is>
          <ns0:t>Ativo</ns0:t>
        </ns0:is>
      </ns0:c>
      <ns0:c r="N515" s="94" t="inlineStr">
        <ns0:is>
          <ns0:t>BelaFormosa · Price List September 2026 · p. 6</ns0:t>
        </ns0:is>
      </ns0:c>
      <ns0:c r="O515" s="94"/>
      <ns0:c r="P515" s="94" t="inlineStr">
        <ns0:is>
          <ns0:t>2026-09</ns0:t>
        </ns0:is>
      </ns0:c>
      <ns0:c r="Q515" s="94" t="inlineStr">
        <ns0:is>
          <ns0:t>Premium local</ns0:t>
        </ns0:is>
      </ns0:c>
      <ns0:c r="R515" s="94" t="inlineStr">
        <ns0:is>
          <ns0:t>Nova construção</ns0:t>
        </ns0:is>
      </ns0:c>
      <ns0:c r="S515" s="94"/>
      <ns0:c r="T515" s="94" t="inlineStr">
        <ns0:is>
          <ns0:t>Não incluído no preço; disponibilidade por confirmar</ns0:t>
        </ns0:is>
      </ns0:c>
      <ns0:c r="U515" s="94"/>
      <ns0:c r="V515" s="94"/>
      <ns0:c r="W515" s="97" t="n">
        <ns0:v>0.9</ns0:v>
      </ns0:c>
      <ns0:c r="X515" s="94" t="inlineStr">
        <ns0:is>
          <ns0:t>A · Premium local; vistas estimadas</ns0:t>
        </ns0:is>
      </ns0:c>
      <ns0:c r="Y515" s="94" t="inlineStr">
        <ns0:is>
          <ns0:t>Média</ns0:t>
        </ns0:is>
      </ns0:c>
      <ns0:c r="Z515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15" s="94" t="inlineStr">
        <ns0:is>
          <ns0:t>Confirmar vista, orientação, disponibilidade e condições atuais.</ns0:t>
        </ns0:is>
      </ns0:c>
      <ns0:c r="AB515" s="94" t="inlineStr">
        <ns0:is>
          <ns0:t>Média</ns0:t>
        </ns0:is>
      </ns0:c>
      <ns0:c r="AJ515" s="94" t="inlineStr">
        <ns0:is>
          <ns0:t>RF</ns0:t>
        </ns0:is>
      </ns0:c>
      <ns0:c r="AK515" s="94" t="inlineStr">
        <ns0:is>
          <ns0:t>Convencional</ns0:t>
        </ns0:is>
      </ns0:c>
      <ns0:c r="AL515" s="94" t="n">
        <ns0:v>3</ns0:v>
      </ns0:c>
      <ns0:c r="AM515" s="94" t="n">
        <ns0:v>4</ns0:v>
      </ns0:c>
      <ns0:c r="AN515" s="94" t="inlineStr">
        <ns0:is>
          <ns0:t>Estimada · média</ns0:t>
        </ns0:is>
      </ns0:c>
      <ns0:c r="AO515" s="94" t="inlineStr">
        <ns0:is>
          <ns0:t>Estimativa de implantação fornecida pela gestão; piso considerado sem confirmação geométrica.</ns0:t>
        </ns0:is>
      </ns0:c>
      <ns0:c r="AP515" s="94" t="inlineStr">
        <ns0:is>
          <ns0:t>Sim</ns0:t>
        </ns0:is>
      </ns0:c>
      <ns0:c r="AQ515" s="94" t="inlineStr">
        <ns0:is>
          <ns0:t>Olhão</ns0:t>
        </ns0:is>
      </ns0:c>
      <ns0:c r="AR515" s="94" t="inlineStr">
        <ns0:is>
          <ns0:t>BelaFormosa Price List September 2026, p. 1</ns0:t>
        </ns0:is>
      </ns0:c>
    </ns0:row>
    <ns0:row r="516" ht="72" customHeight="1">
      <ns0:c r="A516" s="94" t="inlineStr">
        <ns0:is>
          <ns0:t>BelaFormosa</ns0:t>
        </ns0:is>
      </ns0:c>
      <ns0:c r="B516" s="94" t="inlineStr">
        <ns0:is>
          <ns0:t>RF404</ns0:t>
        </ns0:is>
      </ns0:c>
      <ns0:c r="C516" s="94" t="n">
        <ns0:v>4</ns0:v>
      </ns0:c>
      <ns0:c r="D516" s="94" t="inlineStr">
        <ns0:is>
          <ns0:t>T3</ns0:t>
        </ns0:is>
      </ns0:c>
      <ns0:c r="E516" s="94"/>
      <ns0:c r="F516" s="97" t="n">
        <ns0:v>164.5</ns0:v>
      </ns0:c>
      <ns0:c r="G516" s="97" t="n">
        <ns0:v>61.25</ns0:v>
      </ns0:c>
      <ns0:c r="H516" s="97" t="n">
        <ns0:v>225.75</ns0:v>
      </ns0:c>
      <ns0:c r="I516" s="95" t="n">
        <ns0:v>2185000</ns0:v>
      </ns0:c>
      <ns0:c r="J516" s="94" t="n">
        <ns0:v>2026</ns0:v>
      </ns0:c>
      <ns0:c r="K516" s="95" t="n">
        <ns0:v>13282.674772036475</ns0:v>
      </ns0:c>
      <ns0:c r="L516" s="95" t="n">
        <ns0:v>9678.848283499447</ns0:v>
      </ns0:c>
      <ns0:c r="M516" s="94" t="inlineStr">
        <ns0:is>
          <ns0:t>Ativo</ns0:t>
        </ns0:is>
      </ns0:c>
      <ns0:c r="N516" s="94" t="inlineStr">
        <ns0:is>
          <ns0:t>BelaFormosa · Price List September 2026 · p. 6</ns0:t>
        </ns0:is>
      </ns0:c>
      <ns0:c r="O516" s="94"/>
      <ns0:c r="P516" s="94" t="inlineStr">
        <ns0:is>
          <ns0:t>2026-09</ns0:t>
        </ns0:is>
      </ns0:c>
      <ns0:c r="Q516" s="94" t="inlineStr">
        <ns0:is>
          <ns0:t>Premium local</ns0:t>
        </ns0:is>
      </ns0:c>
      <ns0:c r="R516" s="94" t="inlineStr">
        <ns0:is>
          <ns0:t>Nova construção</ns0:t>
        </ns0:is>
      </ns0:c>
      <ns0:c r="S516" s="94"/>
      <ns0:c r="T516" s="94" t="inlineStr">
        <ns0:is>
          <ns0:t>Não incluído no preço; disponibilidade por confirmar</ns0:t>
        </ns0:is>
      </ns0:c>
      <ns0:c r="U516" s="94"/>
      <ns0:c r="V516" s="94"/>
      <ns0:c r="W516" s="97" t="n">
        <ns0:v>0.9</ns0:v>
      </ns0:c>
      <ns0:c r="X516" s="94" t="inlineStr">
        <ns0:is>
          <ns0:t>A · Premium local; vistas estimadas</ns0:t>
        </ns0:is>
      </ns0:c>
      <ns0:c r="Y516" s="94" t="inlineStr">
        <ns0:is>
          <ns0:t>Média</ns0:t>
        </ns0:is>
      </ns0:c>
      <ns0:c r="Z516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516" s="94" t="inlineStr">
        <ns0:is>
          <ns0:t>Confirmar vista, orientação, disponibilidade e condições atuais.</ns0:t>
        </ns0:is>
      </ns0:c>
      <ns0:c r="AB516" s="94" t="inlineStr">
        <ns0:is>
          <ns0:t>Média</ns0:t>
        </ns0:is>
      </ns0:c>
      <ns0:c r="AJ516" s="94" t="inlineStr">
        <ns0:is>
          <ns0:t>RF</ns0:t>
        </ns0:is>
      </ns0:c>
      <ns0:c r="AK516" s="94" t="inlineStr">
        <ns0:is>
          <ns0:t>Convencional</ns0:t>
        </ns0:is>
      </ns0:c>
      <ns0:c r="AL516" s="94" t="n">
        <ns0:v>1</ns0:v>
      </ns0:c>
      <ns0:c r="AM516" s="94" t="n">
        <ns0:v>1</ns0:v>
      </ns0:c>
      <ns0:c r="AN516" s="94" t="inlineStr">
        <ns0:is>
          <ns0:t>Estimada · média</ns0:t>
        </ns0:is>
      </ns0:c>
      <ns0:c r="AO516" s="94" t="inlineStr">
        <ns0:is>
          <ns0:t>Estimativa de implantação fornecida pela gestão; piso considerado sem confirmação geométrica.</ns0:t>
        </ns0:is>
      </ns0:c>
      <ns0:c r="AP516" s="94" t="inlineStr">
        <ns0:is>
          <ns0:t>Sim</ns0:t>
        </ns0:is>
      </ns0:c>
      <ns0:c r="AQ516" s="94" t="inlineStr">
        <ns0:is>
          <ns0:t>Olhão</ns0:t>
        </ns0:is>
      </ns0:c>
      <ns0:c r="AR516" s="94" t="inlineStr">
        <ns0:is>
          <ns0:t>BelaFormosa Price List September 2026, p. 1</ns0:t>
        </ns0:is>
      </ns0:c>
    </ns0:row>
    <ns0:row r="517" ht="72" customHeight="1">
      <ns0:c r="A517" s="94" t="inlineStr">
        <ns0:is>
          <ns0:t>BelaFormosa</ns0:t>
        </ns0:is>
      </ns0:c>
      <ns0:c r="B517" s="94" t="inlineStr">
        <ns0:is>
          <ns0:t>RF405</ns0:t>
        </ns0:is>
      </ns0:c>
      <ns0:c r="C517" s="94" t="n">
        <ns0:v>4</ns0:v>
      </ns0:c>
      <ns0:c r="D517" s="94" t="inlineStr">
        <ns0:is>
          <ns0:t>T3</ns0:t>
        </ns0:is>
      </ns0:c>
      <ns0:c r="E517" s="94"/>
      <ns0:c r="F517" s="97" t="n">
        <ns0:v>164.5</ns0:v>
      </ns0:c>
      <ns0:c r="G517" s="97" t="n">
        <ns0:v>61.5</ns0:v>
      </ns0:c>
      <ns0:c r="H517" s="97" t="n">
        <ns0:v>226.0</ns0:v>
      </ns0:c>
      <ns0:c r="I517" s="95" t="n">
        <ns0:v>2185000</ns0:v>
      </ns0:c>
      <ns0:c r="J517" s="94" t="n">
        <ns0:v>2026</ns0:v>
      </ns0:c>
      <ns0:c r="K517" s="95" t="n">
        <ns0:v>13282.674772036475</ns0:v>
      </ns0:c>
      <ns0:c r="L517" s="95" t="n">
        <ns0:v>9668.141592920354</ns0:v>
      </ns0:c>
      <ns0:c r="M517" s="94" t="inlineStr">
        <ns0:is>
          <ns0:t>Ativo</ns0:t>
        </ns0:is>
      </ns0:c>
      <ns0:c r="N517" s="94" t="inlineStr">
        <ns0:is>
          <ns0:t>BelaFormosa · Price List September 2026 · p. 6</ns0:t>
        </ns0:is>
      </ns0:c>
      <ns0:c r="O517" s="94"/>
      <ns0:c r="P517" s="94" t="inlineStr">
        <ns0:is>
          <ns0:t>2026-09</ns0:t>
        </ns0:is>
      </ns0:c>
      <ns0:c r="Q517" s="94" t="inlineStr">
        <ns0:is>
          <ns0:t>Premium local</ns0:t>
        </ns0:is>
      </ns0:c>
      <ns0:c r="R517" s="94" t="inlineStr">
        <ns0:is>
          <ns0:t>Nova construção</ns0:t>
        </ns0:is>
      </ns0:c>
      <ns0:c r="S517" s="94"/>
      <ns0:c r="T517" s="94" t="inlineStr">
        <ns0:is>
          <ns0:t>Não incluído no preço; disponibilidade por confirmar</ns0:t>
        </ns0:is>
      </ns0:c>
      <ns0:c r="U517" s="94"/>
      <ns0:c r="V517" s="94"/>
      <ns0:c r="W517" s="97" t="n">
        <ns0:v>0.9</ns0:v>
      </ns0:c>
      <ns0:c r="X517" s="94" t="inlineStr">
        <ns0:is>
          <ns0:t>A · Premium local; vistas estimadas</ns0:t>
        </ns0:is>
      </ns0:c>
      <ns0:c r="Y517" s="94" t="inlineStr">
        <ns0:is>
          <ns0:t>Média</ns0:t>
        </ns0:is>
      </ns0:c>
      <ns0:c r="Z517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517" s="94" t="inlineStr">
        <ns0:is>
          <ns0:t>Confirmar vista, orientação, disponibilidade e condições atuais.</ns0:t>
        </ns0:is>
      </ns0:c>
      <ns0:c r="AB517" s="94" t="inlineStr">
        <ns0:is>
          <ns0:t>Média</ns0:t>
        </ns0:is>
      </ns0:c>
      <ns0:c r="AJ517" s="94" t="inlineStr">
        <ns0:is>
          <ns0:t>RF</ns0:t>
        </ns0:is>
      </ns0:c>
      <ns0:c r="AK517" s="94" t="inlineStr">
        <ns0:is>
          <ns0:t>Convencional</ns0:t>
        </ns0:is>
      </ns0:c>
      <ns0:c r="AL517" s="94" t="n">
        <ns0:v>1</ns0:v>
      </ns0:c>
      <ns0:c r="AM517" s="94" t="n">
        <ns0:v>1</ns0:v>
      </ns0:c>
      <ns0:c r="AN517" s="94" t="inlineStr">
        <ns0:is>
          <ns0:t>Estimada · média</ns0:t>
        </ns0:is>
      </ns0:c>
      <ns0:c r="AO517" s="94" t="inlineStr">
        <ns0:is>
          <ns0:t>Estimativa de implantação fornecida pela gestão; piso considerado sem confirmação geométrica.</ns0:t>
        </ns0:is>
      </ns0:c>
      <ns0:c r="AP517" s="94" t="inlineStr">
        <ns0:is>
          <ns0:t>Sim</ns0:t>
        </ns0:is>
      </ns0:c>
      <ns0:c r="AQ517" s="94" t="inlineStr">
        <ns0:is>
          <ns0:t>Olhão</ns0:t>
        </ns0:is>
      </ns0:c>
      <ns0:c r="AR517" s="94" t="inlineStr">
        <ns0:is>
          <ns0:t>BelaFormosa Price List September 2026, p. 1</ns0:t>
        </ns0:is>
      </ns0:c>
    </ns0:row>
    <ns0:row r="518" ht="72" customHeight="1">
      <ns0:c r="A518" s="94" t="inlineStr">
        <ns0:is>
          <ns0:t>BelaFormosa</ns0:t>
        </ns0:is>
      </ns0:c>
      <ns0:c r="B518" s="94" t="inlineStr">
        <ns0:is>
          <ns0:t>RF406</ns0:t>
        </ns0:is>
      </ns0:c>
      <ns0:c r="C518" s="94" t="n">
        <ns0:v>4</ns0:v>
      </ns0:c>
      <ns0:c r="D518" s="94" t="inlineStr">
        <ns0:is>
          <ns0:t>T2</ns0:t>
        </ns0:is>
      </ns0:c>
      <ns0:c r="E518" s="94"/>
      <ns0:c r="F518" s="97" t="n">
        <ns0:v>100.25</ns0:v>
      </ns0:c>
      <ns0:c r="G518" s="97" t="n">
        <ns0:v>19.0</ns0:v>
      </ns0:c>
      <ns0:c r="H518" s="97" t="n">
        <ns0:v>119.25</ns0:v>
      </ns0:c>
      <ns0:c r="I518" s="95" t="n">
        <ns0:v>1250000</ns0:v>
      </ns0:c>
      <ns0:c r="J518" s="94" t="n">
        <ns0:v>2026</ns0:v>
      </ns0:c>
      <ns0:c r="K518" s="95" t="n">
        <ns0:v>12468.827930174564</ns0:v>
      </ns0:c>
      <ns0:c r="L518" s="95" t="n">
        <ns0:v>10482.180293501047</ns0:v>
      </ns0:c>
      <ns0:c r="M518" s="94" t="inlineStr">
        <ns0:is>
          <ns0:t>Ativo</ns0:t>
        </ns0:is>
      </ns0:c>
      <ns0:c r="N518" s="94" t="inlineStr">
        <ns0:is>
          <ns0:t>BelaFormosa · Price List September 2026 · p. 6</ns0:t>
        </ns0:is>
      </ns0:c>
      <ns0:c r="O518" s="94"/>
      <ns0:c r="P518" s="94" t="inlineStr">
        <ns0:is>
          <ns0:t>2026-09</ns0:t>
        </ns0:is>
      </ns0:c>
      <ns0:c r="Q518" s="94" t="inlineStr">
        <ns0:is>
          <ns0:t>Premium local</ns0:t>
        </ns0:is>
      </ns0:c>
      <ns0:c r="R518" s="94" t="inlineStr">
        <ns0:is>
          <ns0:t>Nova construção</ns0:t>
        </ns0:is>
      </ns0:c>
      <ns0:c r="S518" s="94"/>
      <ns0:c r="T518" s="94" t="inlineStr">
        <ns0:is>
          <ns0:t>Não incluído no preço; disponibilidade por confirmar</ns0:t>
        </ns0:is>
      </ns0:c>
      <ns0:c r="U518" s="94"/>
      <ns0:c r="V518" s="94"/>
      <ns0:c r="W518" s="97" t="n">
        <ns0:v>0.9</ns0:v>
      </ns0:c>
      <ns0:c r="X518" s="94" t="inlineStr">
        <ns0:is>
          <ns0:t>A · Premium local; vistas estimadas</ns0:t>
        </ns0:is>
      </ns0:c>
      <ns0:c r="Y518" s="94" t="inlineStr">
        <ns0:is>
          <ns0:t>Média</ns0:t>
        </ns0:is>
      </ns0:c>
      <ns0:c r="Z518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18" s="94" t="inlineStr">
        <ns0:is>
          <ns0:t>Confirmar vista, orientação, disponibilidade e condições atuais.</ns0:t>
        </ns0:is>
      </ns0:c>
      <ns0:c r="AB518" s="94" t="inlineStr">
        <ns0:is>
          <ns0:t>Média</ns0:t>
        </ns0:is>
      </ns0:c>
      <ns0:c r="AJ518" s="94" t="inlineStr">
        <ns0:is>
          <ns0:t>RF</ns0:t>
        </ns0:is>
      </ns0:c>
      <ns0:c r="AK518" s="94" t="inlineStr">
        <ns0:is>
          <ns0:t>Convencional</ns0:t>
        </ns0:is>
      </ns0:c>
      <ns0:c r="AL518" s="94" t="n">
        <ns0:v>2</ns0:v>
      </ns0:c>
      <ns0:c r="AM518" s="94" t="n">
        <ns0:v>3</ns0:v>
      </ns0:c>
      <ns0:c r="AN518" s="94" t="inlineStr">
        <ns0:is>
          <ns0:t>Estimada · média</ns0:t>
        </ns0:is>
      </ns0:c>
      <ns0:c r="AO518" s="94" t="inlineStr">
        <ns0:is>
          <ns0:t>Estimativa de implantação fornecida pela gestão; piso considerado sem confirmação geométrica.</ns0:t>
        </ns0:is>
      </ns0:c>
      <ns0:c r="AP518" s="94" t="inlineStr">
        <ns0:is>
          <ns0:t>Sim</ns0:t>
        </ns0:is>
      </ns0:c>
      <ns0:c r="AQ518" s="94" t="inlineStr">
        <ns0:is>
          <ns0:t>Olhão</ns0:t>
        </ns0:is>
      </ns0:c>
      <ns0:c r="AR518" s="94" t="inlineStr">
        <ns0:is>
          <ns0:t>BelaFormosa Price List September 2026, p. 1</ns0:t>
        </ns0:is>
      </ns0:c>
    </ns0:row>
    <ns0:row r="519" ht="72" customHeight="1">
      <ns0:c r="A519" s="94" t="inlineStr">
        <ns0:is>
          <ns0:t>BelaFormosa</ns0:t>
        </ns0:is>
      </ns0:c>
      <ns0:c r="B519" s="94" t="inlineStr">
        <ns0:is>
          <ns0:t>RF407</ns0:t>
        </ns0:is>
      </ns0:c>
      <ns0:c r="C519" s="94" t="n">
        <ns0:v>4</ns0:v>
      </ns0:c>
      <ns0:c r="D519" s="94" t="inlineStr">
        <ns0:is>
          <ns0:t>T2</ns0:t>
        </ns0:is>
      </ns0:c>
      <ns0:c r="E519" s="94"/>
      <ns0:c r="F519" s="97" t="n">
        <ns0:v>100.25</ns0:v>
      </ns0:c>
      <ns0:c r="G519" s="97" t="n">
        <ns0:v>19.0</ns0:v>
      </ns0:c>
      <ns0:c r="H519" s="97" t="n">
        <ns0:v>119.25</ns0:v>
      </ns0:c>
      <ns0:c r="I519" s="95" t="n">
        <ns0:v>1225000</ns0:v>
      </ns0:c>
      <ns0:c r="J519" s="94" t="n">
        <ns0:v>2026</ns0:v>
      </ns0:c>
      <ns0:c r="K519" s="95" t="n">
        <ns0:v>12219.451371571073</ns0:v>
      </ns0:c>
      <ns0:c r="L519" s="95" t="n">
        <ns0:v>10272.536687631027</ns0:v>
      </ns0:c>
      <ns0:c r="M519" s="94" t="inlineStr">
        <ns0:is>
          <ns0:t>Ativo</ns0:t>
        </ns0:is>
      </ns0:c>
      <ns0:c r="N519" s="94" t="inlineStr">
        <ns0:is>
          <ns0:t>BelaFormosa · Price List September 2026 · p. 6</ns0:t>
        </ns0:is>
      </ns0:c>
      <ns0:c r="O519" s="94"/>
      <ns0:c r="P519" s="94" t="inlineStr">
        <ns0:is>
          <ns0:t>2026-09</ns0:t>
        </ns0:is>
      </ns0:c>
      <ns0:c r="Q519" s="94" t="inlineStr">
        <ns0:is>
          <ns0:t>Premium local</ns0:t>
        </ns0:is>
      </ns0:c>
      <ns0:c r="R519" s="94" t="inlineStr">
        <ns0:is>
          <ns0:t>Nova construção</ns0:t>
        </ns0:is>
      </ns0:c>
      <ns0:c r="S519" s="94"/>
      <ns0:c r="T519" s="94" t="inlineStr">
        <ns0:is>
          <ns0:t>Não incluído no preço; disponibilidade por confirmar</ns0:t>
        </ns0:is>
      </ns0:c>
      <ns0:c r="U519" s="94"/>
      <ns0:c r="V519" s="94"/>
      <ns0:c r="W519" s="97" t="n">
        <ns0:v>0.9</ns0:v>
      </ns0:c>
      <ns0:c r="X519" s="94" t="inlineStr">
        <ns0:is>
          <ns0:t>A · Premium local; vistas estimadas</ns0:t>
        </ns0:is>
      </ns0:c>
      <ns0:c r="Y519" s="94" t="inlineStr">
        <ns0:is>
          <ns0:t>Média</ns0:t>
        </ns0:is>
      </ns0:c>
      <ns0:c r="Z519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19" s="94" t="inlineStr">
        <ns0:is>
          <ns0:t>Confirmar vista, orientação, disponibilidade e condições atuais.</ns0:t>
        </ns0:is>
      </ns0:c>
      <ns0:c r="AB519" s="94" t="inlineStr">
        <ns0:is>
          <ns0:t>Média</ns0:t>
        </ns0:is>
      </ns0:c>
      <ns0:c r="AJ519" s="94" t="inlineStr">
        <ns0:is>
          <ns0:t>RF</ns0:t>
        </ns0:is>
      </ns0:c>
      <ns0:c r="AK519" s="94" t="inlineStr">
        <ns0:is>
          <ns0:t>Convencional</ns0:t>
        </ns0:is>
      </ns0:c>
      <ns0:c r="AL519" s="94" t="n">
        <ns0:v>2</ns0:v>
      </ns0:c>
      <ns0:c r="AM519" s="94" t="n">
        <ns0:v>3</ns0:v>
      </ns0:c>
      <ns0:c r="AN519" s="94" t="inlineStr">
        <ns0:is>
          <ns0:t>Estimada · média</ns0:t>
        </ns0:is>
      </ns0:c>
      <ns0:c r="AO519" s="94" t="inlineStr">
        <ns0:is>
          <ns0:t>Estimativa de implantação fornecida pela gestão; piso considerado sem confirmação geométrica.</ns0:t>
        </ns0:is>
      </ns0:c>
      <ns0:c r="AP519" s="94" t="inlineStr">
        <ns0:is>
          <ns0:t>Sim</ns0:t>
        </ns0:is>
      </ns0:c>
      <ns0:c r="AQ519" s="94" t="inlineStr">
        <ns0:is>
          <ns0:t>Olhão</ns0:t>
        </ns0:is>
      </ns0:c>
      <ns0:c r="AR519" s="94" t="inlineStr">
        <ns0:is>
          <ns0:t>BelaFormosa Price List September 2026, p. 1</ns0:t>
        </ns0:is>
      </ns0:c>
    </ns0:row>
    <ns0:row r="520" ht="72" customHeight="1">
      <ns0:c r="A520" s="94" t="inlineStr">
        <ns0:is>
          <ns0:t>BelaFormosa</ns0:t>
        </ns0:is>
      </ns0:c>
      <ns0:c r="B520" s="94" t="inlineStr">
        <ns0:is>
          <ns0:t>RF408</ns0:t>
        </ns0:is>
      </ns0:c>
      <ns0:c r="C520" s="94" t="n">
        <ns0:v>4</ns0:v>
      </ns0:c>
      <ns0:c r="D520" s="94" t="inlineStr">
        <ns0:is>
          <ns0:t>T2</ns0:t>
        </ns0:is>
      </ns0:c>
      <ns0:c r="E520" s="94"/>
      <ns0:c r="F520" s="97" t="n">
        <ns0:v>100.25</ns0:v>
      </ns0:c>
      <ns0:c r="G520" s="97" t="n">
        <ns0:v>18.5</ns0:v>
      </ns0:c>
      <ns0:c r="H520" s="97" t="n">
        <ns0:v>118.75</ns0:v>
      </ns0:c>
      <ns0:c r="I520" s="95" t="n">
        <ns0:v>1225000</ns0:v>
      </ns0:c>
      <ns0:c r="J520" s="94" t="n">
        <ns0:v>2026</ns0:v>
      </ns0:c>
      <ns0:c r="K520" s="95" t="n">
        <ns0:v>12219.451371571073</ns0:v>
      </ns0:c>
      <ns0:c r="L520" s="95" t="n">
        <ns0:v>10315.78947368421</ns0:v>
      </ns0:c>
      <ns0:c r="M520" s="94" t="inlineStr">
        <ns0:is>
          <ns0:t>Ativo</ns0:t>
        </ns0:is>
      </ns0:c>
      <ns0:c r="N520" s="94" t="inlineStr">
        <ns0:is>
          <ns0:t>BelaFormosa · Price List September 2026 · p. 6</ns0:t>
        </ns0:is>
      </ns0:c>
      <ns0:c r="O520" s="94"/>
      <ns0:c r="P520" s="94" t="inlineStr">
        <ns0:is>
          <ns0:t>2026-09</ns0:t>
        </ns0:is>
      </ns0:c>
      <ns0:c r="Q520" s="94" t="inlineStr">
        <ns0:is>
          <ns0:t>Premium local</ns0:t>
        </ns0:is>
      </ns0:c>
      <ns0:c r="R520" s="94" t="inlineStr">
        <ns0:is>
          <ns0:t>Nova construção</ns0:t>
        </ns0:is>
      </ns0:c>
      <ns0:c r="S520" s="94"/>
      <ns0:c r="T520" s="94" t="inlineStr">
        <ns0:is>
          <ns0:t>Não incluído no preço; disponibilidade por confirmar</ns0:t>
        </ns0:is>
      </ns0:c>
      <ns0:c r="U520" s="94"/>
      <ns0:c r="V520" s="94"/>
      <ns0:c r="W520" s="97" t="n">
        <ns0:v>0.9</ns0:v>
      </ns0:c>
      <ns0:c r="X520" s="94" t="inlineStr">
        <ns0:is>
          <ns0:t>A · Premium local; vistas estimadas</ns0:t>
        </ns0:is>
      </ns0:c>
      <ns0:c r="Y520" s="94" t="inlineStr">
        <ns0:is>
          <ns0:t>Média</ns0:t>
        </ns0:is>
      </ns0:c>
      <ns0:c r="Z520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20" s="94" t="inlineStr">
        <ns0:is>
          <ns0:t>Confirmar vista, orientação, disponibilidade e condições atuais.</ns0:t>
        </ns0:is>
      </ns0:c>
      <ns0:c r="AB520" s="94" t="inlineStr">
        <ns0:is>
          <ns0:t>Média</ns0:t>
        </ns0:is>
      </ns0:c>
      <ns0:c r="AJ520" s="94" t="inlineStr">
        <ns0:is>
          <ns0:t>RF</ns0:t>
        </ns0:is>
      </ns0:c>
      <ns0:c r="AK520" s="94" t="inlineStr">
        <ns0:is>
          <ns0:t>Convencional</ns0:t>
        </ns0:is>
      </ns0:c>
      <ns0:c r="AL520" s="94" t="n">
        <ns0:v>2</ns0:v>
      </ns0:c>
      <ns0:c r="AM520" s="94" t="n">
        <ns0:v>3</ns0:v>
      </ns0:c>
      <ns0:c r="AN520" s="94" t="inlineStr">
        <ns0:is>
          <ns0:t>Estimada · média</ns0:t>
        </ns0:is>
      </ns0:c>
      <ns0:c r="AO520" s="94" t="inlineStr">
        <ns0:is>
          <ns0:t>Estimativa de implantação fornecida pela gestão; piso considerado sem confirmação geométrica.</ns0:t>
        </ns0:is>
      </ns0:c>
      <ns0:c r="AP520" s="94" t="inlineStr">
        <ns0:is>
          <ns0:t>Sim</ns0:t>
        </ns0:is>
      </ns0:c>
      <ns0:c r="AQ520" s="94" t="inlineStr">
        <ns0:is>
          <ns0:t>Olhão</ns0:t>
        </ns0:is>
      </ns0:c>
      <ns0:c r="AR520" s="94" t="inlineStr">
        <ns0:is>
          <ns0:t>BelaFormosa Price List September 2026, p. 1</ns0:t>
        </ns0:is>
      </ns0:c>
    </ns0:row>
    <ns0:row r="521" ht="72" customHeight="1">
      <ns0:c r="A521" s="94" t="inlineStr">
        <ns0:is>
          <ns0:t>BelaFormosa</ns0:t>
        </ns0:is>
      </ns0:c>
      <ns0:c r="B521" s="94" t="inlineStr">
        <ns0:is>
          <ns0:t>RF501</ns0:t>
        </ns0:is>
      </ns0:c>
      <ns0:c r="C521" s="94" t="n">
        <ns0:v>5</ns0:v>
      </ns0:c>
      <ns0:c r="D521" s="94" t="inlineStr">
        <ns0:is>
          <ns0:t>T2</ns0:t>
        </ns0:is>
      </ns0:c>
      <ns0:c r="E521" s="94"/>
      <ns0:c r="F521" s="97" t="n">
        <ns0:v>100.25</ns0:v>
      </ns0:c>
      <ns0:c r="G521" s="97" t="n">
        <ns0:v>18.5</ns0:v>
      </ns0:c>
      <ns0:c r="H521" s="97" t="n">
        <ns0:v>118.75</ns0:v>
      </ns0:c>
      <ns0:c r="I521" s="95" t="n">
        <ns0:v>1120000</ns0:v>
      </ns0:c>
      <ns0:c r="J521" s="94" t="n">
        <ns0:v>2026</ns0:v>
      </ns0:c>
      <ns0:c r="K521" s="95" t="n">
        <ns0:v>11172.069825436409</ns0:v>
      </ns0:c>
      <ns0:c r="L521" s="95" t="n">
        <ns0:v>9431.578947368422</ns0:v>
      </ns0:c>
      <ns0:c r="M521" s="94" t="inlineStr">
        <ns0:is>
          <ns0:t>Ativo</ns0:t>
        </ns0:is>
      </ns0:c>
      <ns0:c r="N521" s="94" t="inlineStr">
        <ns0:is>
          <ns0:t>BelaFormosa · Price List September 2026 · p. 7</ns0:t>
        </ns0:is>
      </ns0:c>
      <ns0:c r="O521" s="94"/>
      <ns0:c r="P521" s="94" t="inlineStr">
        <ns0:is>
          <ns0:t>2026-09</ns0:t>
        </ns0:is>
      </ns0:c>
      <ns0:c r="Q521" s="94" t="inlineStr">
        <ns0:is>
          <ns0:t>Premium local</ns0:t>
        </ns0:is>
      </ns0:c>
      <ns0:c r="R521" s="94" t="inlineStr">
        <ns0:is>
          <ns0:t>Nova construção</ns0:t>
        </ns0:is>
      </ns0:c>
      <ns0:c r="S521" s="94"/>
      <ns0:c r="T521" s="94" t="inlineStr">
        <ns0:is>
          <ns0:t>Não incluído no preço; disponibilidade por confirmar</ns0:t>
        </ns0:is>
      </ns0:c>
      <ns0:c r="U521" s="94"/>
      <ns0:c r="V521" s="94"/>
      <ns0:c r="W521" s="97" t="n">
        <ns0:v>0.9</ns0:v>
      </ns0:c>
      <ns0:c r="X521" s="94" t="inlineStr">
        <ns0:is>
          <ns0:t>A · Premium local; vistas estimadas</ns0:t>
        </ns0:is>
      </ns0:c>
      <ns0:c r="Y521" s="94" t="inlineStr">
        <ns0:is>
          <ns0:t>Média</ns0:t>
        </ns0:is>
      </ns0:c>
      <ns0:c r="Z521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21" s="94" t="inlineStr">
        <ns0:is>
          <ns0:t>Confirmar vista, orientação, disponibilidade e condições atuais.</ns0:t>
        </ns0:is>
      </ns0:c>
      <ns0:c r="AB521" s="94" t="inlineStr">
        <ns0:is>
          <ns0:t>Média</ns0:t>
        </ns0:is>
      </ns0:c>
      <ns0:c r="AJ521" s="94" t="inlineStr">
        <ns0:is>
          <ns0:t>RF</ns0:t>
        </ns0:is>
      </ns0:c>
      <ns0:c r="AK521" s="94" t="inlineStr">
        <ns0:is>
          <ns0:t>Convencional</ns0:t>
        </ns0:is>
      </ns0:c>
      <ns0:c r="AL521" s="94" t="n">
        <ns0:v>3</ns0:v>
      </ns0:c>
      <ns0:c r="AM521" s="94" t="n">
        <ns0:v>4</ns0:v>
      </ns0:c>
      <ns0:c r="AN521" s="94" t="inlineStr">
        <ns0:is>
          <ns0:t>Estimada · média</ns0:t>
        </ns0:is>
      </ns0:c>
      <ns0:c r="AO521" s="94" t="inlineStr">
        <ns0:is>
          <ns0:t>Estimativa de implantação fornecida pela gestão; piso considerado sem confirmação geométrica.</ns0:t>
        </ns0:is>
      </ns0:c>
      <ns0:c r="AP521" s="94" t="inlineStr">
        <ns0:is>
          <ns0:t>Sim</ns0:t>
        </ns0:is>
      </ns0:c>
      <ns0:c r="AQ521" s="94" t="inlineStr">
        <ns0:is>
          <ns0:t>Olhão</ns0:t>
        </ns0:is>
      </ns0:c>
      <ns0:c r="AR521" s="94" t="inlineStr">
        <ns0:is>
          <ns0:t>BelaFormosa Price List September 2026, p. 1</ns0:t>
        </ns0:is>
      </ns0:c>
    </ns0:row>
    <ns0:row r="522" ht="72" customHeight="1">
      <ns0:c r="A522" s="94" t="inlineStr">
        <ns0:is>
          <ns0:t>BelaFormosa</ns0:t>
        </ns0:is>
      </ns0:c>
      <ns0:c r="B522" s="94" t="inlineStr">
        <ns0:is>
          <ns0:t>RF502</ns0:t>
        </ns0:is>
      </ns0:c>
      <ns0:c r="C522" s="94" t="n">
        <ns0:v>5</ns0:v>
      </ns0:c>
      <ns0:c r="D522" s="94" t="inlineStr">
        <ns0:is>
          <ns0:t>T2</ns0:t>
        </ns0:is>
      </ns0:c>
      <ns0:c r="E522" s="94"/>
      <ns0:c r="F522" s="97" t="n">
        <ns0:v>100.25</ns0:v>
      </ns0:c>
      <ns0:c r="G522" s="97" t="n">
        <ns0:v>19.0</ns0:v>
      </ns0:c>
      <ns0:c r="H522" s="97" t="n">
        <ns0:v>119.25</ns0:v>
      </ns0:c>
      <ns0:c r="I522" s="95" t="n">
        <ns0:v>1130000</ns0:v>
      </ns0:c>
      <ns0:c r="J522" s="94" t="n">
        <ns0:v>2026</ns0:v>
      </ns0:c>
      <ns0:c r="K522" s="95" t="n">
        <ns0:v>11271.820448877805</ns0:v>
      </ns0:c>
      <ns0:c r="L522" s="95" t="n">
        <ns0:v>9475.890985324948</ns0:v>
      </ns0:c>
      <ns0:c r="M522" s="94" t="inlineStr">
        <ns0:is>
          <ns0:t>Ativo</ns0:t>
        </ns0:is>
      </ns0:c>
      <ns0:c r="N522" s="94" t="inlineStr">
        <ns0:is>
          <ns0:t>BelaFormosa · Price List September 2026 · p. 7</ns0:t>
        </ns0:is>
      </ns0:c>
      <ns0:c r="O522" s="94"/>
      <ns0:c r="P522" s="94" t="inlineStr">
        <ns0:is>
          <ns0:t>2026-09</ns0:t>
        </ns0:is>
      </ns0:c>
      <ns0:c r="Q522" s="94" t="inlineStr">
        <ns0:is>
          <ns0:t>Premium local</ns0:t>
        </ns0:is>
      </ns0:c>
      <ns0:c r="R522" s="94" t="inlineStr">
        <ns0:is>
          <ns0:t>Nova construção</ns0:t>
        </ns0:is>
      </ns0:c>
      <ns0:c r="S522" s="94"/>
      <ns0:c r="T522" s="94" t="inlineStr">
        <ns0:is>
          <ns0:t>Não incluído no preço; disponibilidade por confirmar</ns0:t>
        </ns0:is>
      </ns0:c>
      <ns0:c r="U522" s="94"/>
      <ns0:c r="V522" s="94"/>
      <ns0:c r="W522" s="97" t="n">
        <ns0:v>0.9</ns0:v>
      </ns0:c>
      <ns0:c r="X522" s="94" t="inlineStr">
        <ns0:is>
          <ns0:t>A · Premium local; vistas estimadas</ns0:t>
        </ns0:is>
      </ns0:c>
      <ns0:c r="Y522" s="94" t="inlineStr">
        <ns0:is>
          <ns0:t>Média</ns0:t>
        </ns0:is>
      </ns0:c>
      <ns0:c r="Z522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22" s="94" t="inlineStr">
        <ns0:is>
          <ns0:t>Confirmar vista, orientação, disponibilidade e condições atuais.</ns0:t>
        </ns0:is>
      </ns0:c>
      <ns0:c r="AB522" s="94" t="inlineStr">
        <ns0:is>
          <ns0:t>Média</ns0:t>
        </ns0:is>
      </ns0:c>
      <ns0:c r="AJ522" s="94" t="inlineStr">
        <ns0:is>
          <ns0:t>RF</ns0:t>
        </ns0:is>
      </ns0:c>
      <ns0:c r="AK522" s="94" t="inlineStr">
        <ns0:is>
          <ns0:t>Convencional</ns0:t>
        </ns0:is>
      </ns0:c>
      <ns0:c r="AL522" s="94" t="n">
        <ns0:v>3</ns0:v>
      </ns0:c>
      <ns0:c r="AM522" s="94" t="n">
        <ns0:v>4</ns0:v>
      </ns0:c>
      <ns0:c r="AN522" s="94" t="inlineStr">
        <ns0:is>
          <ns0:t>Estimada · média</ns0:t>
        </ns0:is>
      </ns0:c>
      <ns0:c r="AO522" s="94" t="inlineStr">
        <ns0:is>
          <ns0:t>Estimativa de implantação fornecida pela gestão; piso considerado sem confirmação geométrica.</ns0:t>
        </ns0:is>
      </ns0:c>
      <ns0:c r="AP522" s="94" t="inlineStr">
        <ns0:is>
          <ns0:t>Sim</ns0:t>
        </ns0:is>
      </ns0:c>
      <ns0:c r="AQ522" s="94" t="inlineStr">
        <ns0:is>
          <ns0:t>Olhão</ns0:t>
        </ns0:is>
      </ns0:c>
      <ns0:c r="AR522" s="94" t="inlineStr">
        <ns0:is>
          <ns0:t>BelaFormosa Price List September 2026, p. 1</ns0:t>
        </ns0:is>
      </ns0:c>
    </ns0:row>
    <ns0:row r="523" ht="72" customHeight="1">
      <ns0:c r="A523" s="94" t="inlineStr">
        <ns0:is>
          <ns0:t>BelaFormosa</ns0:t>
        </ns0:is>
      </ns0:c>
      <ns0:c r="B523" s="94" t="inlineStr">
        <ns0:is>
          <ns0:t>RF503</ns0:t>
        </ns0:is>
      </ns0:c>
      <ns0:c r="C523" s="94" t="n">
        <ns0:v>5</ns0:v>
      </ns0:c>
      <ns0:c r="D523" s="94" t="inlineStr">
        <ns0:is>
          <ns0:t>T2</ns0:t>
        </ns0:is>
      </ns0:c>
      <ns0:c r="E523" s="94"/>
      <ns0:c r="F523" s="97" t="n">
        <ns0:v>100.25</ns0:v>
      </ns0:c>
      <ns0:c r="G523" s="97" t="n">
        <ns0:v>19.0</ns0:v>
      </ns0:c>
      <ns0:c r="H523" s="97" t="n">
        <ns0:v>119.25</ns0:v>
      </ns0:c>
      <ns0:c r="I523" s="95" t="n">
        <ns0:v>1205000</ns0:v>
      </ns0:c>
      <ns0:c r="J523" s="94" t="n">
        <ns0:v>2026</ns0:v>
      </ns0:c>
      <ns0:c r="K523" s="95" t="n">
        <ns0:v>12019.95012468828</ns0:v>
      </ns0:c>
      <ns0:c r="L523" s="95" t="n">
        <ns0:v>10104.82180293501</ns0:v>
      </ns0:c>
      <ns0:c r="M523" s="94" t="inlineStr">
        <ns0:is>
          <ns0:t>Ativo</ns0:t>
        </ns0:is>
      </ns0:c>
      <ns0:c r="N523" s="94" t="inlineStr">
        <ns0:is>
          <ns0:t>BelaFormosa · Price List September 2026 · p. 7</ns0:t>
        </ns0:is>
      </ns0:c>
      <ns0:c r="O523" s="94"/>
      <ns0:c r="P523" s="94" t="inlineStr">
        <ns0:is>
          <ns0:t>2026-09</ns0:t>
        </ns0:is>
      </ns0:c>
      <ns0:c r="Q523" s="94" t="inlineStr">
        <ns0:is>
          <ns0:t>Premium local</ns0:t>
        </ns0:is>
      </ns0:c>
      <ns0:c r="R523" s="94" t="inlineStr">
        <ns0:is>
          <ns0:t>Nova construção</ns0:t>
        </ns0:is>
      </ns0:c>
      <ns0:c r="S523" s="94"/>
      <ns0:c r="T523" s="94" t="inlineStr">
        <ns0:is>
          <ns0:t>Não incluído no preço; disponibilidade por confirmar</ns0:t>
        </ns0:is>
      </ns0:c>
      <ns0:c r="U523" s="94"/>
      <ns0:c r="V523" s="94"/>
      <ns0:c r="W523" s="97" t="n">
        <ns0:v>0.9</ns0:v>
      </ns0:c>
      <ns0:c r="X523" s="94" t="inlineStr">
        <ns0:is>
          <ns0:t>A · Premium local; vistas estimadas</ns0:t>
        </ns0:is>
      </ns0:c>
      <ns0:c r="Y523" s="94" t="inlineStr">
        <ns0:is>
          <ns0:t>Média</ns0:t>
        </ns0:is>
      </ns0:c>
      <ns0:c r="Z523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23" s="94" t="inlineStr">
        <ns0:is>
          <ns0:t>Confirmar vista, orientação, disponibilidade e condições atuais.</ns0:t>
        </ns0:is>
      </ns0:c>
      <ns0:c r="AB523" s="94" t="inlineStr">
        <ns0:is>
          <ns0:t>Média</ns0:t>
        </ns0:is>
      </ns0:c>
      <ns0:c r="AJ523" s="94" t="inlineStr">
        <ns0:is>
          <ns0:t>RF</ns0:t>
        </ns0:is>
      </ns0:c>
      <ns0:c r="AK523" s="94" t="inlineStr">
        <ns0:is>
          <ns0:t>Convencional</ns0:t>
        </ns0:is>
      </ns0:c>
      <ns0:c r="AL523" s="94" t="n">
        <ns0:v>3</ns0:v>
      </ns0:c>
      <ns0:c r="AM523" s="94" t="n">
        <ns0:v>4</ns0:v>
      </ns0:c>
      <ns0:c r="AN523" s="94" t="inlineStr">
        <ns0:is>
          <ns0:t>Estimada · média</ns0:t>
        </ns0:is>
      </ns0:c>
      <ns0:c r="AO523" s="94" t="inlineStr">
        <ns0:is>
          <ns0:t>Estimativa de implantação fornecida pela gestão; piso considerado sem confirmação geométrica.</ns0:t>
        </ns0:is>
      </ns0:c>
      <ns0:c r="AP523" s="94" t="inlineStr">
        <ns0:is>
          <ns0:t>Sim</ns0:t>
        </ns0:is>
      </ns0:c>
      <ns0:c r="AQ523" s="94" t="inlineStr">
        <ns0:is>
          <ns0:t>Olhão</ns0:t>
        </ns0:is>
      </ns0:c>
      <ns0:c r="AR523" s="94" t="inlineStr">
        <ns0:is>
          <ns0:t>BelaFormosa Price List September 2026, p. 1</ns0:t>
        </ns0:is>
      </ns0:c>
    </ns0:row>
    <ns0:row r="524" ht="72" customHeight="1">
      <ns0:c r="A524" s="94" t="inlineStr">
        <ns0:is>
          <ns0:t>BelaFormosa</ns0:t>
        </ns0:is>
      </ns0:c>
      <ns0:c r="B524" s="94" t="inlineStr">
        <ns0:is>
          <ns0:t>RF504</ns0:t>
        </ns0:is>
      </ns0:c>
      <ns0:c r="C524" s="94" t="n">
        <ns0:v>5</ns0:v>
      </ns0:c>
      <ns0:c r="D524" s="94" t="inlineStr">
        <ns0:is>
          <ns0:t>T3</ns0:t>
        </ns0:is>
      </ns0:c>
      <ns0:c r="E524" s="94"/>
      <ns0:c r="F524" s="97" t="n">
        <ns0:v>164.5</ns0:v>
      </ns0:c>
      <ns0:c r="G524" s="97" t="n">
        <ns0:v>58.75</ns0:v>
      </ns0:c>
      <ns0:c r="H524" s="97" t="n">
        <ns0:v>223.25</ns0:v>
      </ns0:c>
      <ns0:c r="I524" s="95" t="n">
        <ns0:v>2405000</ns0:v>
      </ns0:c>
      <ns0:c r="J524" s="94" t="n">
        <ns0:v>2026</ns0:v>
      </ns0:c>
      <ns0:c r="K524" s="95" t="n">
        <ns0:v>14620.060790273556</ns0:v>
      </ns0:c>
      <ns0:c r="L524" s="95" t="n">
        <ns0:v>10772.676371780515</ns0:v>
      </ns0:c>
      <ns0:c r="M524" s="94" t="inlineStr">
        <ns0:is>
          <ns0:t>Ativo</ns0:t>
        </ns0:is>
      </ns0:c>
      <ns0:c r="N524" s="94" t="inlineStr">
        <ns0:is>
          <ns0:t>BelaFormosa · Price List September 2026 · p. 7</ns0:t>
        </ns0:is>
      </ns0:c>
      <ns0:c r="O524" s="94"/>
      <ns0:c r="P524" s="94" t="inlineStr">
        <ns0:is>
          <ns0:t>2026-09</ns0:t>
        </ns0:is>
      </ns0:c>
      <ns0:c r="Q524" s="94" t="inlineStr">
        <ns0:is>
          <ns0:t>Premium local</ns0:t>
        </ns0:is>
      </ns0:c>
      <ns0:c r="R524" s="94" t="inlineStr">
        <ns0:is>
          <ns0:t>Nova construção</ns0:t>
        </ns0:is>
      </ns0:c>
      <ns0:c r="S524" s="94"/>
      <ns0:c r="T524" s="94" t="inlineStr">
        <ns0:is>
          <ns0:t>Não incluído no preço; disponibilidade por confirmar</ns0:t>
        </ns0:is>
      </ns0:c>
      <ns0:c r="U524" s="94"/>
      <ns0:c r="V524" s="94"/>
      <ns0:c r="W524" s="97" t="n">
        <ns0:v>0.9</ns0:v>
      </ns0:c>
      <ns0:c r="X524" s="94" t="inlineStr">
        <ns0:is>
          <ns0:t>A · Premium local; vistas estimadas</ns0:t>
        </ns0:is>
      </ns0:c>
      <ns0:c r="Y524" s="94" t="inlineStr">
        <ns0:is>
          <ns0:t>Média</ns0:t>
        </ns0:is>
      </ns0:c>
      <ns0:c r="Z524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524" s="94" t="inlineStr">
        <ns0:is>
          <ns0:t>Confirmar vista, orientação, disponibilidade e condições atuais.</ns0:t>
        </ns0:is>
      </ns0:c>
      <ns0:c r="AB524" s="94" t="inlineStr">
        <ns0:is>
          <ns0:t>Média</ns0:t>
        </ns0:is>
      </ns0:c>
      <ns0:c r="AJ524" s="94" t="inlineStr">
        <ns0:is>
          <ns0:t>RF</ns0:t>
        </ns0:is>
      </ns0:c>
      <ns0:c r="AK524" s="94" t="inlineStr">
        <ns0:is>
          <ns0:t>Convencional</ns0:t>
        </ns0:is>
      </ns0:c>
      <ns0:c r="AL524" s="94" t="n">
        <ns0:v>1</ns0:v>
      </ns0:c>
      <ns0:c r="AM524" s="94" t="n">
        <ns0:v>1</ns0:v>
      </ns0:c>
      <ns0:c r="AN524" s="94" t="inlineStr">
        <ns0:is>
          <ns0:t>Estimada · média</ns0:t>
        </ns0:is>
      </ns0:c>
      <ns0:c r="AO524" s="94" t="inlineStr">
        <ns0:is>
          <ns0:t>Estimativa de implantação fornecida pela gestão; piso considerado sem confirmação geométrica.</ns0:t>
        </ns0:is>
      </ns0:c>
      <ns0:c r="AP524" s="94" t="inlineStr">
        <ns0:is>
          <ns0:t>Sim</ns0:t>
        </ns0:is>
      </ns0:c>
      <ns0:c r="AQ524" s="94" t="inlineStr">
        <ns0:is>
          <ns0:t>Olhão</ns0:t>
        </ns0:is>
      </ns0:c>
      <ns0:c r="AR524" s="94" t="inlineStr">
        <ns0:is>
          <ns0:t>BelaFormosa Price List September 2026, p. 1</ns0:t>
        </ns0:is>
      </ns0:c>
    </ns0:row>
    <ns0:row r="525" ht="72" customHeight="1">
      <ns0:c r="A525" s="94" t="inlineStr">
        <ns0:is>
          <ns0:t>BelaFormosa</ns0:t>
        </ns0:is>
      </ns0:c>
      <ns0:c r="B525" s="94" t="inlineStr">
        <ns0:is>
          <ns0:t>RF505</ns0:t>
        </ns0:is>
      </ns0:c>
      <ns0:c r="C525" s="94" t="n">
        <ns0:v>5</ns0:v>
      </ns0:c>
      <ns0:c r="D525" s="94" t="inlineStr">
        <ns0:is>
          <ns0:t>T3</ns0:t>
        </ns0:is>
      </ns0:c>
      <ns0:c r="E525" s="94"/>
      <ns0:c r="F525" s="97" t="n">
        <ns0:v>164.5</ns0:v>
      </ns0:c>
      <ns0:c r="G525" s="97" t="n">
        <ns0:v>58.75</ns0:v>
      </ns0:c>
      <ns0:c r="H525" s="97" t="n">
        <ns0:v>223.25</ns0:v>
      </ns0:c>
      <ns0:c r="I525" s="95" t="n">
        <ns0:v>2405000</ns0:v>
      </ns0:c>
      <ns0:c r="J525" s="94" t="n">
        <ns0:v>2026</ns0:v>
      </ns0:c>
      <ns0:c r="K525" s="95" t="n">
        <ns0:v>14620.060790273556</ns0:v>
      </ns0:c>
      <ns0:c r="L525" s="95" t="n">
        <ns0:v>10772.676371780515</ns0:v>
      </ns0:c>
      <ns0:c r="M525" s="94" t="inlineStr">
        <ns0:is>
          <ns0:t>Ativo</ns0:t>
        </ns0:is>
      </ns0:c>
      <ns0:c r="N525" s="94" t="inlineStr">
        <ns0:is>
          <ns0:t>BelaFormosa · Price List September 2026 · p. 7</ns0:t>
        </ns0:is>
      </ns0:c>
      <ns0:c r="O525" s="94"/>
      <ns0:c r="P525" s="94" t="inlineStr">
        <ns0:is>
          <ns0:t>2026-09</ns0:t>
        </ns0:is>
      </ns0:c>
      <ns0:c r="Q525" s="94" t="inlineStr">
        <ns0:is>
          <ns0:t>Premium local</ns0:t>
        </ns0:is>
      </ns0:c>
      <ns0:c r="R525" s="94" t="inlineStr">
        <ns0:is>
          <ns0:t>Nova construção</ns0:t>
        </ns0:is>
      </ns0:c>
      <ns0:c r="S525" s="94"/>
      <ns0:c r="T525" s="94" t="inlineStr">
        <ns0:is>
          <ns0:t>Não incluído no preço; disponibilidade por confirmar</ns0:t>
        </ns0:is>
      </ns0:c>
      <ns0:c r="U525" s="94"/>
      <ns0:c r="V525" s="94"/>
      <ns0:c r="W525" s="97" t="n">
        <ns0:v>0.9</ns0:v>
      </ns0:c>
      <ns0:c r="X525" s="94" t="inlineStr">
        <ns0:is>
          <ns0:t>A · Premium local; vistas estimadas</ns0:t>
        </ns0:is>
      </ns0:c>
      <ns0:c r="Y525" s="94" t="inlineStr">
        <ns0:is>
          <ns0:t>Média</ns0:t>
        </ns0:is>
      </ns0:c>
      <ns0:c r="Z525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525" s="94" t="inlineStr">
        <ns0:is>
          <ns0:t>Confirmar vista, orientação, disponibilidade e condições atuais.</ns0:t>
        </ns0:is>
      </ns0:c>
      <ns0:c r="AB525" s="94" t="inlineStr">
        <ns0:is>
          <ns0:t>Média</ns0:t>
        </ns0:is>
      </ns0:c>
      <ns0:c r="AJ525" s="94" t="inlineStr">
        <ns0:is>
          <ns0:t>RF</ns0:t>
        </ns0:is>
      </ns0:c>
      <ns0:c r="AK525" s="94" t="inlineStr">
        <ns0:is>
          <ns0:t>Convencional</ns0:t>
        </ns0:is>
      </ns0:c>
      <ns0:c r="AL525" s="94" t="n">
        <ns0:v>1</ns0:v>
      </ns0:c>
      <ns0:c r="AM525" s="94" t="n">
        <ns0:v>1</ns0:v>
      </ns0:c>
      <ns0:c r="AN525" s="94" t="inlineStr">
        <ns0:is>
          <ns0:t>Estimada · média</ns0:t>
        </ns0:is>
      </ns0:c>
      <ns0:c r="AO525" s="94" t="inlineStr">
        <ns0:is>
          <ns0:t>Estimativa de implantação fornecida pela gestão; piso considerado sem confirmação geométrica.</ns0:t>
        </ns0:is>
      </ns0:c>
      <ns0:c r="AP525" s="94" t="inlineStr">
        <ns0:is>
          <ns0:t>Sim</ns0:t>
        </ns0:is>
      </ns0:c>
      <ns0:c r="AQ525" s="94" t="inlineStr">
        <ns0:is>
          <ns0:t>Olhão</ns0:t>
        </ns0:is>
      </ns0:c>
      <ns0:c r="AR525" s="94" t="inlineStr">
        <ns0:is>
          <ns0:t>BelaFormosa Price List September 2026, p. 1</ns0:t>
        </ns0:is>
      </ns0:c>
    </ns0:row>
    <ns0:row r="526" ht="72" customHeight="1">
      <ns0:c r="A526" s="94" t="inlineStr">
        <ns0:is>
          <ns0:t>BelaFormosa</ns0:t>
        </ns0:is>
      </ns0:c>
      <ns0:c r="B526" s="94" t="inlineStr">
        <ns0:is>
          <ns0:t>RF506</ns0:t>
        </ns0:is>
      </ns0:c>
      <ns0:c r="C526" s="94" t="n">
        <ns0:v>5</ns0:v>
      </ns0:c>
      <ns0:c r="D526" s="94" t="inlineStr">
        <ns0:is>
          <ns0:t>T2</ns0:t>
        </ns0:is>
      </ns0:c>
      <ns0:c r="E526" s="94"/>
      <ns0:c r="F526" s="97" t="n">
        <ns0:v>100.25</ns0:v>
      </ns0:c>
      <ns0:c r="G526" s="97" t="n">
        <ns0:v>19.0</ns0:v>
      </ns0:c>
      <ns0:c r="H526" s="97" t="n">
        <ns0:v>119.25</ns0:v>
      </ns0:c>
      <ns0:c r="I526" s="95" t="n">
        <ns0:v>1375000</ns0:v>
      </ns0:c>
      <ns0:c r="J526" s="94" t="n">
        <ns0:v>2026</ns0:v>
      </ns0:c>
      <ns0:c r="K526" s="95" t="n">
        <ns0:v>13715.71072319202</ns0:v>
      </ns0:c>
      <ns0:c r="L526" s="95" t="n">
        <ns0:v>11530.398322851153</ns0:v>
      </ns0:c>
      <ns0:c r="M526" s="94" t="inlineStr">
        <ns0:is>
          <ns0:t>Ativo</ns0:t>
        </ns0:is>
      </ns0:c>
      <ns0:c r="N526" s="94" t="inlineStr">
        <ns0:is>
          <ns0:t>BelaFormosa · Price List September 2026 · p. 7</ns0:t>
        </ns0:is>
      </ns0:c>
      <ns0:c r="O526" s="94"/>
      <ns0:c r="P526" s="94" t="inlineStr">
        <ns0:is>
          <ns0:t>2026-09</ns0:t>
        </ns0:is>
      </ns0:c>
      <ns0:c r="Q526" s="94" t="inlineStr">
        <ns0:is>
          <ns0:t>Premium local</ns0:t>
        </ns0:is>
      </ns0:c>
      <ns0:c r="R526" s="94" t="inlineStr">
        <ns0:is>
          <ns0:t>Nova construção</ns0:t>
        </ns0:is>
      </ns0:c>
      <ns0:c r="S526" s="94"/>
      <ns0:c r="T526" s="94" t="inlineStr">
        <ns0:is>
          <ns0:t>Não incluído no preço; disponibilidade por confirmar</ns0:t>
        </ns0:is>
      </ns0:c>
      <ns0:c r="U526" s="94"/>
      <ns0:c r="V526" s="94"/>
      <ns0:c r="W526" s="97" t="n">
        <ns0:v>0.9</ns0:v>
      </ns0:c>
      <ns0:c r="X526" s="94" t="inlineStr">
        <ns0:is>
          <ns0:t>A · Premium local; vistas estimadas</ns0:t>
        </ns0:is>
      </ns0:c>
      <ns0:c r="Y526" s="94" t="inlineStr">
        <ns0:is>
          <ns0:t>Média</ns0:t>
        </ns0:is>
      </ns0:c>
      <ns0:c r="Z526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26" s="94" t="inlineStr">
        <ns0:is>
          <ns0:t>Confirmar vista, orientação, disponibilidade e condições atuais.</ns0:t>
        </ns0:is>
      </ns0:c>
      <ns0:c r="AB526" s="94" t="inlineStr">
        <ns0:is>
          <ns0:t>Média</ns0:t>
        </ns0:is>
      </ns0:c>
      <ns0:c r="AJ526" s="94" t="inlineStr">
        <ns0:is>
          <ns0:t>RF</ns0:t>
        </ns0:is>
      </ns0:c>
      <ns0:c r="AK526" s="94" t="inlineStr">
        <ns0:is>
          <ns0:t>Convencional</ns0:t>
        </ns0:is>
      </ns0:c>
      <ns0:c r="AL526" s="94" t="n">
        <ns0:v>2</ns0:v>
      </ns0:c>
      <ns0:c r="AM526" s="94" t="n">
        <ns0:v>3</ns0:v>
      </ns0:c>
      <ns0:c r="AN526" s="94" t="inlineStr">
        <ns0:is>
          <ns0:t>Estimada · média</ns0:t>
        </ns0:is>
      </ns0:c>
      <ns0:c r="AO526" s="94" t="inlineStr">
        <ns0:is>
          <ns0:t>Estimativa de implantação fornecida pela gestão; piso considerado sem confirmação geométrica.</ns0:t>
        </ns0:is>
      </ns0:c>
      <ns0:c r="AP526" s="94" t="inlineStr">
        <ns0:is>
          <ns0:t>Sim</ns0:t>
        </ns0:is>
      </ns0:c>
      <ns0:c r="AQ526" s="94" t="inlineStr">
        <ns0:is>
          <ns0:t>Olhão</ns0:t>
        </ns0:is>
      </ns0:c>
      <ns0:c r="AR526" s="94" t="inlineStr">
        <ns0:is>
          <ns0:t>BelaFormosa Price List September 2026, p. 1</ns0:t>
        </ns0:is>
      </ns0:c>
    </ns0:row>
    <ns0:row r="527" ht="72" customHeight="1">
      <ns0:c r="A527" s="94" t="inlineStr">
        <ns0:is>
          <ns0:t>BelaFormosa</ns0:t>
        </ns0:is>
      </ns0:c>
      <ns0:c r="B527" s="94" t="inlineStr">
        <ns0:is>
          <ns0:t>RF507</ns0:t>
        </ns0:is>
      </ns0:c>
      <ns0:c r="C527" s="94" t="n">
        <ns0:v>5</ns0:v>
      </ns0:c>
      <ns0:c r="D527" s="94" t="inlineStr">
        <ns0:is>
          <ns0:t>T2</ns0:t>
        </ns0:is>
      </ns0:c>
      <ns0:c r="E527" s="94"/>
      <ns0:c r="F527" s="97" t="n">
        <ns0:v>100.25</ns0:v>
      </ns0:c>
      <ns0:c r="G527" s="97" t="n">
        <ns0:v>19.0</ns0:v>
      </ns0:c>
      <ns0:c r="H527" s="97" t="n">
        <ns0:v>119.25</ns0:v>
      </ns0:c>
      <ns0:c r="I527" s="95" t="n">
        <ns0:v>1350000</ns0:v>
      </ns0:c>
      <ns0:c r="J527" s="94" t="n">
        <ns0:v>2026</ns0:v>
      </ns0:c>
      <ns0:c r="K527" s="95" t="n">
        <ns0:v>13466.334164588528</ns0:v>
      </ns0:c>
      <ns0:c r="L527" s="95" t="n">
        <ns0:v>11320.754716981131</ns0:v>
      </ns0:c>
      <ns0:c r="M527" s="94" t="inlineStr">
        <ns0:is>
          <ns0:t>Ativo</ns0:t>
        </ns0:is>
      </ns0:c>
      <ns0:c r="N527" s="94" t="inlineStr">
        <ns0:is>
          <ns0:t>BelaFormosa · Price List September 2026 · p. 7</ns0:t>
        </ns0:is>
      </ns0:c>
      <ns0:c r="O527" s="94"/>
      <ns0:c r="P527" s="94" t="inlineStr">
        <ns0:is>
          <ns0:t>2026-09</ns0:t>
        </ns0:is>
      </ns0:c>
      <ns0:c r="Q527" s="94" t="inlineStr">
        <ns0:is>
          <ns0:t>Premium local</ns0:t>
        </ns0:is>
      </ns0:c>
      <ns0:c r="R527" s="94" t="inlineStr">
        <ns0:is>
          <ns0:t>Nova construção</ns0:t>
        </ns0:is>
      </ns0:c>
      <ns0:c r="S527" s="94"/>
      <ns0:c r="T527" s="94" t="inlineStr">
        <ns0:is>
          <ns0:t>Não incluído no preço; disponibilidade por confirmar</ns0:t>
        </ns0:is>
      </ns0:c>
      <ns0:c r="U527" s="94"/>
      <ns0:c r="V527" s="94"/>
      <ns0:c r="W527" s="97" t="n">
        <ns0:v>0.9</ns0:v>
      </ns0:c>
      <ns0:c r="X527" s="94" t="inlineStr">
        <ns0:is>
          <ns0:t>A · Premium local; vistas estimadas</ns0:t>
        </ns0:is>
      </ns0:c>
      <ns0:c r="Y527" s="94" t="inlineStr">
        <ns0:is>
          <ns0:t>Média</ns0:t>
        </ns0:is>
      </ns0:c>
      <ns0:c r="Z527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27" s="94" t="inlineStr">
        <ns0:is>
          <ns0:t>Confirmar vista, orientação, disponibilidade e condições atuais.</ns0:t>
        </ns0:is>
      </ns0:c>
      <ns0:c r="AB527" s="94" t="inlineStr">
        <ns0:is>
          <ns0:t>Média</ns0:t>
        </ns0:is>
      </ns0:c>
      <ns0:c r="AJ527" s="94" t="inlineStr">
        <ns0:is>
          <ns0:t>RF</ns0:t>
        </ns0:is>
      </ns0:c>
      <ns0:c r="AK527" s="94" t="inlineStr">
        <ns0:is>
          <ns0:t>Convencional</ns0:t>
        </ns0:is>
      </ns0:c>
      <ns0:c r="AL527" s="94" t="n">
        <ns0:v>2</ns0:v>
      </ns0:c>
      <ns0:c r="AM527" s="94" t="n">
        <ns0:v>3</ns0:v>
      </ns0:c>
      <ns0:c r="AN527" s="94" t="inlineStr">
        <ns0:is>
          <ns0:t>Estimada · média</ns0:t>
        </ns0:is>
      </ns0:c>
      <ns0:c r="AO527" s="94" t="inlineStr">
        <ns0:is>
          <ns0:t>Estimativa de implantação fornecida pela gestão; piso considerado sem confirmação geométrica.</ns0:t>
        </ns0:is>
      </ns0:c>
      <ns0:c r="AP527" s="94" t="inlineStr">
        <ns0:is>
          <ns0:t>Sim</ns0:t>
        </ns0:is>
      </ns0:c>
      <ns0:c r="AQ527" s="94" t="inlineStr">
        <ns0:is>
          <ns0:t>Olhão</ns0:t>
        </ns0:is>
      </ns0:c>
      <ns0:c r="AR527" s="94" t="inlineStr">
        <ns0:is>
          <ns0:t>BelaFormosa Price List September 2026, p. 1</ns0:t>
        </ns0:is>
      </ns0:c>
    </ns0:row>
    <ns0:row r="528" ht="72" customHeight="1">
      <ns0:c r="A528" s="94" t="inlineStr">
        <ns0:is>
          <ns0:t>BelaFormosa</ns0:t>
        </ns0:is>
      </ns0:c>
      <ns0:c r="B528" s="94" t="inlineStr">
        <ns0:is>
          <ns0:t>RF508</ns0:t>
        </ns0:is>
      </ns0:c>
      <ns0:c r="C528" s="94" t="n">
        <ns0:v>5</ns0:v>
      </ns0:c>
      <ns0:c r="D528" s="94" t="inlineStr">
        <ns0:is>
          <ns0:t>T2</ns0:t>
        </ns0:is>
      </ns0:c>
      <ns0:c r="E528" s="94"/>
      <ns0:c r="F528" s="97" t="n">
        <ns0:v>100.25</ns0:v>
      </ns0:c>
      <ns0:c r="G528" s="97" t="n">
        <ns0:v>18.5</ns0:v>
      </ns0:c>
      <ns0:c r="H528" s="97" t="n">
        <ns0:v>118.75</ns0:v>
      </ns0:c>
      <ns0:c r="I528" s="95" t="n">
        <ns0:v>1350000</ns0:v>
      </ns0:c>
      <ns0:c r="J528" s="94" t="n">
        <ns0:v>2026</ns0:v>
      </ns0:c>
      <ns0:c r="K528" s="95" t="n">
        <ns0:v>13466.334164588528</ns0:v>
      </ns0:c>
      <ns0:c r="L528" s="95" t="n">
        <ns0:v>11368.421052631578</ns0:v>
      </ns0:c>
      <ns0:c r="M528" s="94" t="inlineStr">
        <ns0:is>
          <ns0:t>Ativo</ns0:t>
        </ns0:is>
      </ns0:c>
      <ns0:c r="N528" s="94" t="inlineStr">
        <ns0:is>
          <ns0:t>BelaFormosa · Price List September 2026 · p. 7</ns0:t>
        </ns0:is>
      </ns0:c>
      <ns0:c r="O528" s="94"/>
      <ns0:c r="P528" s="94" t="inlineStr">
        <ns0:is>
          <ns0:t>2026-09</ns0:t>
        </ns0:is>
      </ns0:c>
      <ns0:c r="Q528" s="94" t="inlineStr">
        <ns0:is>
          <ns0:t>Premium local</ns0:t>
        </ns0:is>
      </ns0:c>
      <ns0:c r="R528" s="94" t="inlineStr">
        <ns0:is>
          <ns0:t>Nova construção</ns0:t>
        </ns0:is>
      </ns0:c>
      <ns0:c r="S528" s="94"/>
      <ns0:c r="T528" s="94" t="inlineStr">
        <ns0:is>
          <ns0:t>Não incluído no preço; disponibilidade por confirmar</ns0:t>
        </ns0:is>
      </ns0:c>
      <ns0:c r="U528" s="94"/>
      <ns0:c r="V528" s="94"/>
      <ns0:c r="W528" s="97" t="n">
        <ns0:v>0.9</ns0:v>
      </ns0:c>
      <ns0:c r="X528" s="94" t="inlineStr">
        <ns0:is>
          <ns0:t>A · Premium local; vistas estimadas</ns0:t>
        </ns0:is>
      </ns0:c>
      <ns0:c r="Y528" s="94" t="inlineStr">
        <ns0:is>
          <ns0:t>Média</ns0:t>
        </ns0:is>
      </ns0:c>
      <ns0:c r="Z528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28" s="94" t="inlineStr">
        <ns0:is>
          <ns0:t>Confirmar vista, orientação, disponibilidade e condições atuais.</ns0:t>
        </ns0:is>
      </ns0:c>
      <ns0:c r="AB528" s="94" t="inlineStr">
        <ns0:is>
          <ns0:t>Média</ns0:t>
        </ns0:is>
      </ns0:c>
      <ns0:c r="AJ528" s="94" t="inlineStr">
        <ns0:is>
          <ns0:t>RF</ns0:t>
        </ns0:is>
      </ns0:c>
      <ns0:c r="AK528" s="94" t="inlineStr">
        <ns0:is>
          <ns0:t>Convencional</ns0:t>
        </ns0:is>
      </ns0:c>
      <ns0:c r="AL528" s="94" t="n">
        <ns0:v>2</ns0:v>
      </ns0:c>
      <ns0:c r="AM528" s="94" t="n">
        <ns0:v>3</ns0:v>
      </ns0:c>
      <ns0:c r="AN528" s="94" t="inlineStr">
        <ns0:is>
          <ns0:t>Estimada · média</ns0:t>
        </ns0:is>
      </ns0:c>
      <ns0:c r="AO528" s="94" t="inlineStr">
        <ns0:is>
          <ns0:t>Estimativa de implantação fornecida pela gestão; piso considerado sem confirmação geométrica.</ns0:t>
        </ns0:is>
      </ns0:c>
      <ns0:c r="AP528" s="94" t="inlineStr">
        <ns0:is>
          <ns0:t>Sim</ns0:t>
        </ns0:is>
      </ns0:c>
      <ns0:c r="AQ528" s="94" t="inlineStr">
        <ns0:is>
          <ns0:t>Olhão</ns0:t>
        </ns0:is>
      </ns0:c>
      <ns0:c r="AR528" s="94" t="inlineStr">
        <ns0:is>
          <ns0:t>BelaFormosa Price List September 2026, p. 1</ns0:t>
        </ns0:is>
      </ns0:c>
    </ns0:row>
    <ns0:row r="529" ht="72" customHeight="1">
      <ns0:c r="A529" s="94" t="inlineStr">
        <ns0:is>
          <ns0:t>BelaFormosa</ns0:t>
        </ns0:is>
      </ns0:c>
      <ns0:c r="B529" s="94" t="inlineStr">
        <ns0:is>
          <ns0:t>RF601</ns0:t>
        </ns0:is>
      </ns0:c>
      <ns0:c r="C529" s="94" t="n">
        <ns0:v>6</ns0:v>
      </ns0:c>
      <ns0:c r="D529" s="94" t="inlineStr">
        <ns0:is>
          <ns0:t>T2 Rooftop</ns0:t>
        </ns0:is>
      </ns0:c>
      <ns0:c r="E529" s="94"/>
      <ns0:c r="F529" s="97" t="n">
        <ns0:v>100.25</ns0:v>
      </ns0:c>
      <ns0:c r="G529" s="97" t="n">
        <ns0:v>117.5</ns0:v>
      </ns0:c>
      <ns0:c r="H529" s="97" t="n">
        <ns0:v>217.75</ns0:v>
      </ns0:c>
      <ns0:c r="I529" s="95" t="n">
        <ns0:v>1750000</ns0:v>
      </ns0:c>
      <ns0:c r="J529" s="94" t="n">
        <ns0:v>2026</ns0:v>
      </ns0:c>
      <ns0:c r="K529" s="95" t="n">
        <ns0:v>17456.35910224439</ns0:v>
      </ns0:c>
      <ns0:c r="L529" s="95" t="n">
        <ns0:v>8036.739380022962</ns0:v>
      </ns0:c>
      <ns0:c r="M529" s="94" t="inlineStr">
        <ns0:is>
          <ns0:t>Ativo</ns0:t>
        </ns0:is>
      </ns0:c>
      <ns0:c r="N529" s="94" t="inlineStr">
        <ns0:is>
          <ns0:t>BelaFormosa · Price List September 2026 · p. 7</ns0:t>
        </ns0:is>
      </ns0:c>
      <ns0:c r="O529" s="94"/>
      <ns0:c r="P529" s="94" t="inlineStr">
        <ns0:is>
          <ns0:t>2026-09</ns0:t>
        </ns0:is>
      </ns0:c>
      <ns0:c r="Q529" s="94" t="inlineStr">
        <ns0:is>
          <ns0:t>Premium local</ns0:t>
        </ns0:is>
      </ns0:c>
      <ns0:c r="R529" s="94" t="inlineStr">
        <ns0:is>
          <ns0:t>Nova construção</ns0:t>
        </ns0:is>
      </ns0:c>
      <ns0:c r="S529" s="94"/>
      <ns0:c r="T529" s="94" t="inlineStr">
        <ns0:is>
          <ns0:t>Não incluído no preço; disponibilidade por confirmar</ns0:t>
        </ns0:is>
      </ns0:c>
      <ns0:c r="U529" s="94"/>
      <ns0:c r="V529" s="94"/>
      <ns0:c r="W529" s="97" t="n">
        <ns0:v>0.9</ns0:v>
      </ns0:c>
      <ns0:c r="X529" s="94" t="inlineStr">
        <ns0:is>
          <ns0:t>A · Premium local; vistas estimadas</ns0:t>
        </ns0:is>
      </ns0:c>
      <ns0:c r="Y529" s="94" t="inlineStr">
        <ns0:is>
          <ns0:t>Média</ns0:t>
        </ns0:is>
      </ns0:c>
      <ns0:c r="Z529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29" s="94" t="inlineStr">
        <ns0:is>
          <ns0:t>Confirmar vista, orientação, disponibilidade e condições atuais.</ns0:t>
        </ns0:is>
      </ns0:c>
      <ns0:c r="AB529" s="94" t="inlineStr">
        <ns0:is>
          <ns0:t>Média</ns0:t>
        </ns0:is>
      </ns0:c>
      <ns0:c r="AJ529" s="94" t="inlineStr">
        <ns0:is>
          <ns0:t>RF</ns0:t>
        </ns0:is>
      </ns0:c>
      <ns0:c r="AK529" s="94" t="inlineStr">
        <ns0:is>
          <ns0:t>Rooftop</ns0:t>
        </ns0:is>
      </ns0:c>
      <ns0:c r="AL529" s="94" t="n">
        <ns0:v>3</ns0:v>
      </ns0:c>
      <ns0:c r="AM529" s="94" t="n">
        <ns0:v>4</ns0:v>
      </ns0:c>
      <ns0:c r="AN529" s="94" t="inlineStr">
        <ns0:is>
          <ns0:t>Estimada · média</ns0:t>
        </ns0:is>
      </ns0:c>
      <ns0:c r="AO529" s="94" t="inlineStr">
        <ns0:is>
          <ns0:t>Estimativa de implantação fornecida pela gestão; piso considerado sem confirmação geométrica.</ns0:t>
        </ns0:is>
      </ns0:c>
      <ns0:c r="AP529" s="94" t="inlineStr">
        <ns0:is>
          <ns0:t>Sim</ns0:t>
        </ns0:is>
      </ns0:c>
      <ns0:c r="AQ529" s="94" t="inlineStr">
        <ns0:is>
          <ns0:t>Olhão</ns0:t>
        </ns0:is>
      </ns0:c>
      <ns0:c r="AR529" s="94" t="inlineStr">
        <ns0:is>
          <ns0:t>BelaFormosa Price List September 2026, p. 1</ns0:t>
        </ns0:is>
      </ns0:c>
    </ns0:row>
    <ns0:row r="530" ht="72" customHeight="1">
      <ns0:c r="A530" s="94" t="inlineStr">
        <ns0:is>
          <ns0:t>BelaFormosa</ns0:t>
        </ns0:is>
      </ns0:c>
      <ns0:c r="B530" s="94" t="inlineStr">
        <ns0:is>
          <ns0:t>RF602</ns0:t>
        </ns0:is>
      </ns0:c>
      <ns0:c r="C530" s="94" t="n">
        <ns0:v>6</ns0:v>
      </ns0:c>
      <ns0:c r="D530" s="94" t="inlineStr">
        <ns0:is>
          <ns0:t>T2 Rooftop</ns0:t>
        </ns0:is>
      </ns0:c>
      <ns0:c r="E530" s="94"/>
      <ns0:c r="F530" s="97" t="n">
        <ns0:v>100.25</ns0:v>
      </ns0:c>
      <ns0:c r="G530" s="97" t="n">
        <ns0:v>107.25</ns0:v>
      </ns0:c>
      <ns0:c r="H530" s="97" t="n">
        <ns0:v>207.5</ns0:v>
      </ns0:c>
      <ns0:c r="I530" s="95" t="n">
        <ns0:v>1800000</ns0:v>
      </ns0:c>
      <ns0:c r="J530" s="94" t="n">
        <ns0:v>2026</ns0:v>
      </ns0:c>
      <ns0:c r="K530" s="95" t="n">
        <ns0:v>17955.11221945137</ns0:v>
      </ns0:c>
      <ns0:c r="L530" s="95" t="n">
        <ns0:v>8674.698795180722</ns0:v>
      </ns0:c>
      <ns0:c r="M530" s="94" t="inlineStr">
        <ns0:is>
          <ns0:t>Ativo</ns0:t>
        </ns0:is>
      </ns0:c>
      <ns0:c r="N530" s="94" t="inlineStr">
        <ns0:is>
          <ns0:t>BelaFormosa · Price List September 2026 · p. 7</ns0:t>
        </ns0:is>
      </ns0:c>
      <ns0:c r="O530" s="94"/>
      <ns0:c r="P530" s="94" t="inlineStr">
        <ns0:is>
          <ns0:t>2026-09</ns0:t>
        </ns0:is>
      </ns0:c>
      <ns0:c r="Q530" s="94" t="inlineStr">
        <ns0:is>
          <ns0:t>Premium local</ns0:t>
        </ns0:is>
      </ns0:c>
      <ns0:c r="R530" s="94" t="inlineStr">
        <ns0:is>
          <ns0:t>Nova construção</ns0:t>
        </ns0:is>
      </ns0:c>
      <ns0:c r="S530" s="94"/>
      <ns0:c r="T530" s="94" t="inlineStr">
        <ns0:is>
          <ns0:t>Não incluído no preço; disponibilidade por confirmar</ns0:t>
        </ns0:is>
      </ns0:c>
      <ns0:c r="U530" s="94"/>
      <ns0:c r="V530" s="94"/>
      <ns0:c r="W530" s="97" t="n">
        <ns0:v>0.9</ns0:v>
      </ns0:c>
      <ns0:c r="X530" s="94" t="inlineStr">
        <ns0:is>
          <ns0:t>A · Premium local; vistas estimadas</ns0:t>
        </ns0:is>
      </ns0:c>
      <ns0:c r="Y530" s="94" t="inlineStr">
        <ns0:is>
          <ns0:t>Média</ns0:t>
        </ns0:is>
      </ns0:c>
      <ns0:c r="Z530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30" s="94" t="inlineStr">
        <ns0:is>
          <ns0:t>Confirmar vista, orientação, disponibilidade e condições atuais.</ns0:t>
        </ns0:is>
      </ns0:c>
      <ns0:c r="AB530" s="94" t="inlineStr">
        <ns0:is>
          <ns0:t>Média</ns0:t>
        </ns0:is>
      </ns0:c>
      <ns0:c r="AJ530" s="94" t="inlineStr">
        <ns0:is>
          <ns0:t>RF</ns0:t>
        </ns0:is>
      </ns0:c>
      <ns0:c r="AK530" s="94" t="inlineStr">
        <ns0:is>
          <ns0:t>Rooftop</ns0:t>
        </ns0:is>
      </ns0:c>
      <ns0:c r="AL530" s="94" t="n">
        <ns0:v>3</ns0:v>
      </ns0:c>
      <ns0:c r="AM530" s="94" t="n">
        <ns0:v>4</ns0:v>
      </ns0:c>
      <ns0:c r="AN530" s="94" t="inlineStr">
        <ns0:is>
          <ns0:t>Estimada · média</ns0:t>
        </ns0:is>
      </ns0:c>
      <ns0:c r="AO530" s="94" t="inlineStr">
        <ns0:is>
          <ns0:t>Estimativa de implantação fornecida pela gestão; piso considerado sem confirmação geométrica.</ns0:t>
        </ns0:is>
      </ns0:c>
      <ns0:c r="AP530" s="94" t="inlineStr">
        <ns0:is>
          <ns0:t>Sim</ns0:t>
        </ns0:is>
      </ns0:c>
      <ns0:c r="AQ530" s="94" t="inlineStr">
        <ns0:is>
          <ns0:t>Olhão</ns0:t>
        </ns0:is>
      </ns0:c>
      <ns0:c r="AR530" s="94" t="inlineStr">
        <ns0:is>
          <ns0:t>BelaFormosa Price List September 2026, p. 1</ns0:t>
        </ns0:is>
      </ns0:c>
    </ns0:row>
    <ns0:row r="531" ht="72" customHeight="1">
      <ns0:c r="A531" s="94" t="inlineStr">
        <ns0:is>
          <ns0:t>BelaFormosa</ns0:t>
        </ns0:is>
      </ns0:c>
      <ns0:c r="B531" s="94" t="inlineStr">
        <ns0:is>
          <ns0:t>RF603</ns0:t>
        </ns0:is>
      </ns0:c>
      <ns0:c r="C531" s="94" t="n">
        <ns0:v>6</ns0:v>
      </ns0:c>
      <ns0:c r="D531" s="94" t="inlineStr">
        <ns0:is>
          <ns0:t>T2 Rooftop</ns0:t>
        </ns0:is>
      </ns0:c>
      <ns0:c r="E531" s="94"/>
      <ns0:c r="F531" s="97" t="n">
        <ns0:v>100.25</ns0:v>
      </ns0:c>
      <ns0:c r="G531" s="97" t="n">
        <ns0:v>107.25</ns0:v>
      </ns0:c>
      <ns0:c r="H531" s="97" t="n">
        <ns0:v>207.5</ns0:v>
      </ns0:c>
      <ns0:c r="I531" s="95" t="n">
        <ns0:v>1850000</ns0:v>
      </ns0:c>
      <ns0:c r="J531" s="94" t="n">
        <ns0:v>2026</ns0:v>
      </ns0:c>
      <ns0:c r="K531" s="95" t="n">
        <ns0:v>18453.865336658353</ns0:v>
      </ns0:c>
      <ns0:c r="L531" s="95" t="n">
        <ns0:v>8915.66265060241</ns0:v>
      </ns0:c>
      <ns0:c r="M531" s="94" t="inlineStr">
        <ns0:is>
          <ns0:t>Ativo</ns0:t>
        </ns0:is>
      </ns0:c>
      <ns0:c r="N531" s="94" t="inlineStr">
        <ns0:is>
          <ns0:t>BelaFormosa · Price List September 2026 · p. 7</ns0:t>
        </ns0:is>
      </ns0:c>
      <ns0:c r="O531" s="94"/>
      <ns0:c r="P531" s="94" t="inlineStr">
        <ns0:is>
          <ns0:t>2026-09</ns0:t>
        </ns0:is>
      </ns0:c>
      <ns0:c r="Q531" s="94" t="inlineStr">
        <ns0:is>
          <ns0:t>Premium local</ns0:t>
        </ns0:is>
      </ns0:c>
      <ns0:c r="R531" s="94" t="inlineStr">
        <ns0:is>
          <ns0:t>Nova construção</ns0:t>
        </ns0:is>
      </ns0:c>
      <ns0:c r="S531" s="94"/>
      <ns0:c r="T531" s="94" t="inlineStr">
        <ns0:is>
          <ns0:t>Não incluído no preço; disponibilidade por confirmar</ns0:t>
        </ns0:is>
      </ns0:c>
      <ns0:c r="U531" s="94"/>
      <ns0:c r="V531" s="94"/>
      <ns0:c r="W531" s="97" t="n">
        <ns0:v>0.9</ns0:v>
      </ns0:c>
      <ns0:c r="X531" s="94" t="inlineStr">
        <ns0:is>
          <ns0:t>A · Premium local; vistas estimadas</ns0:t>
        </ns0:is>
      </ns0:c>
      <ns0:c r="Y531" s="94" t="inlineStr">
        <ns0:is>
          <ns0:t>Média</ns0:t>
        </ns0:is>
      </ns0:c>
      <ns0:c r="Z531" s="94" t="inlineStr">
        <ns0:is>
          <ns0:t>Preço pedido, não transação. Garagem/arrecadação não incluídas. Desconto de 5% mencionado na fonte não aplicado automaticamente. Tipologia de planta: D. Posição lateral; intervalo preliminar 3–4, sem confirmação por altura.</ns0:t>
        </ns0:is>
      </ns0:c>
      <ns0:c r="AA531" s="94" t="inlineStr">
        <ns0:is>
          <ns0:t>Confirmar vista, orientação, disponibilidade e condições atuais.</ns0:t>
        </ns0:is>
      </ns0:c>
      <ns0:c r="AB531" s="94" t="inlineStr">
        <ns0:is>
          <ns0:t>Média</ns0:t>
        </ns0:is>
      </ns0:c>
      <ns0:c r="AJ531" s="94" t="inlineStr">
        <ns0:is>
          <ns0:t>RF</ns0:t>
        </ns0:is>
      </ns0:c>
      <ns0:c r="AK531" s="94" t="inlineStr">
        <ns0:is>
          <ns0:t>Rooftop</ns0:t>
        </ns0:is>
      </ns0:c>
      <ns0:c r="AL531" s="94" t="n">
        <ns0:v>3</ns0:v>
      </ns0:c>
      <ns0:c r="AM531" s="94" t="n">
        <ns0:v>4</ns0:v>
      </ns0:c>
      <ns0:c r="AN531" s="94" t="inlineStr">
        <ns0:is>
          <ns0:t>Estimada · média</ns0:t>
        </ns0:is>
      </ns0:c>
      <ns0:c r="AO531" s="94" t="inlineStr">
        <ns0:is>
          <ns0:t>Estimativa de implantação fornecida pela gestão; piso considerado sem confirmação geométrica.</ns0:t>
        </ns0:is>
      </ns0:c>
      <ns0:c r="AP531" s="94" t="inlineStr">
        <ns0:is>
          <ns0:t>Sim</ns0:t>
        </ns0:is>
      </ns0:c>
      <ns0:c r="AQ531" s="94" t="inlineStr">
        <ns0:is>
          <ns0:t>Olhão</ns0:t>
        </ns0:is>
      </ns0:c>
      <ns0:c r="AR531" s="94" t="inlineStr">
        <ns0:is>
          <ns0:t>BelaFormosa Price List September 2026, p. 1</ns0:t>
        </ns0:is>
      </ns0:c>
    </ns0:row>
    <ns0:row r="532" ht="72" customHeight="1">
      <ns0:c r="A532" s="94" t="inlineStr">
        <ns0:is>
          <ns0:t>BelaFormosa</ns0:t>
        </ns0:is>
      </ns0:c>
      <ns0:c r="B532" s="94" t="inlineStr">
        <ns0:is>
          <ns0:t>RF604</ns0:t>
        </ns0:is>
      </ns0:c>
      <ns0:c r="C532" s="94" t="n">
        <ns0:v>6</ns0:v>
      </ns0:c>
      <ns0:c r="D532" s="94" t="inlineStr">
        <ns0:is>
          <ns0:t>T3 Rooftop</ns0:t>
        </ns0:is>
      </ns0:c>
      <ns0:c r="E532" s="94"/>
      <ns0:c r="F532" s="97" t="n">
        <ns0:v>164.5</ns0:v>
      </ns0:c>
      <ns0:c r="G532" s="97" t="n">
        <ns0:v>258.5</ns0:v>
      </ns0:c>
      <ns0:c r="H532" s="97" t="n">
        <ns0:v>423.0</ns0:v>
      </ns0:c>
      <ns0:c r="I532" s="95" t="n">
        <ns0:v>4600000</ns0:v>
      </ns0:c>
      <ns0:c r="J532" s="94" t="n">
        <ns0:v>2026</ns0:v>
      </ns0:c>
      <ns0:c r="K532" s="95" t="n">
        <ns0:v>27963.52583586626</ns0:v>
      </ns0:c>
      <ns0:c r="L532" s="95" t="n">
        <ns0:v>10874.704491725768</ns0:v>
      </ns0:c>
      <ns0:c r="M532" s="94" t="inlineStr">
        <ns0:is>
          <ns0:t>Ativo</ns0:t>
        </ns0:is>
      </ns0:c>
      <ns0:c r="N532" s="94" t="inlineStr">
        <ns0:is>
          <ns0:t>BelaFormosa · Price List September 2026 · p. 7</ns0:t>
        </ns0:is>
      </ns0:c>
      <ns0:c r="O532" s="94"/>
      <ns0:c r="P532" s="94" t="inlineStr">
        <ns0:is>
          <ns0:t>2026-09</ns0:t>
        </ns0:is>
      </ns0:c>
      <ns0:c r="Q532" s="94" t="inlineStr">
        <ns0:is>
          <ns0:t>Premium local</ns0:t>
        </ns0:is>
      </ns0:c>
      <ns0:c r="R532" s="94" t="inlineStr">
        <ns0:is>
          <ns0:t>Nova construção</ns0:t>
        </ns0:is>
      </ns0:c>
      <ns0:c r="S532" s="94"/>
      <ns0:c r="T532" s="94" t="inlineStr">
        <ns0:is>
          <ns0:t>Não incluído no preço; disponibilidade por confirmar</ns0:t>
        </ns0:is>
      </ns0:c>
      <ns0:c r="U532" s="94"/>
      <ns0:c r="V532" s="94"/>
      <ns0:c r="W532" s="97" t="n">
        <ns0:v>0.9</ns0:v>
      </ns0:c>
      <ns0:c r="X532" s="94" t="inlineStr">
        <ns0:is>
          <ns0:t>A · Premium local; vistas estimadas</ns0:t>
        </ns0:is>
      </ns0:c>
      <ns0:c r="Y532" s="94" t="inlineStr">
        <ns0:is>
          <ns0:t>Média</ns0:t>
        </ns0:is>
      </ns0:c>
      <ns0:c r="Z532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532" s="94" t="inlineStr">
        <ns0:is>
          <ns0:t>Confirmar vista, orientação, disponibilidade e condições atuais.</ns0:t>
        </ns0:is>
      </ns0:c>
      <ns0:c r="AB532" s="94" t="inlineStr">
        <ns0:is>
          <ns0:t>Média</ns0:t>
        </ns0:is>
      </ns0:c>
      <ns0:c r="AJ532" s="94" t="inlineStr">
        <ns0:is>
          <ns0:t>RF</ns0:t>
        </ns0:is>
      </ns0:c>
      <ns0:c r="AK532" s="94" t="inlineStr">
        <ns0:is>
          <ns0:t>Rooftop</ns0:t>
        </ns0:is>
      </ns0:c>
      <ns0:c r="AL532" s="94" t="n">
        <ns0:v>1</ns0:v>
      </ns0:c>
      <ns0:c r="AM532" s="94" t="n">
        <ns0:v>1</ns0:v>
      </ns0:c>
      <ns0:c r="AN532" s="94" t="inlineStr">
        <ns0:is>
          <ns0:t>Estimada · média</ns0:t>
        </ns0:is>
      </ns0:c>
      <ns0:c r="AO532" s="94" t="inlineStr">
        <ns0:is>
          <ns0:t>Estimativa de implantação fornecida pela gestão; piso considerado sem confirmação geométrica.</ns0:t>
        </ns0:is>
      </ns0:c>
      <ns0:c r="AP532" s="94" t="inlineStr">
        <ns0:is>
          <ns0:t>Sim</ns0:t>
        </ns0:is>
      </ns0:c>
      <ns0:c r="AQ532" s="94" t="inlineStr">
        <ns0:is>
          <ns0:t>Olhão</ns0:t>
        </ns0:is>
      </ns0:c>
      <ns0:c r="AR532" s="94" t="inlineStr">
        <ns0:is>
          <ns0:t>BelaFormosa Price List September 2026, p. 1</ns0:t>
        </ns0:is>
      </ns0:c>
    </ns0:row>
    <ns0:row r="533" ht="72" customHeight="1">
      <ns0:c r="A533" s="94" t="inlineStr">
        <ns0:is>
          <ns0:t>BelaFormosa</ns0:t>
        </ns0:is>
      </ns0:c>
      <ns0:c r="B533" s="94" t="inlineStr">
        <ns0:is>
          <ns0:t>RF605</ns0:t>
        </ns0:is>
      </ns0:c>
      <ns0:c r="C533" s="94" t="n">
        <ns0:v>6</ns0:v>
      </ns0:c>
      <ns0:c r="D533" s="94" t="inlineStr">
        <ns0:is>
          <ns0:t>T3 Rooftop</ns0:t>
        </ns0:is>
      </ns0:c>
      <ns0:c r="E533" s="94"/>
      <ns0:c r="F533" s="97" t="n">
        <ns0:v>164.5</ns0:v>
      </ns0:c>
      <ns0:c r="G533" s="97" t="n">
        <ns0:v>258.5</ns0:v>
      </ns0:c>
      <ns0:c r="H533" s="97" t="n">
        <ns0:v>423.0</ns0:v>
      </ns0:c>
      <ns0:c r="I533" s="95" t="n">
        <ns0:v>4600000</ns0:v>
      </ns0:c>
      <ns0:c r="J533" s="94" t="n">
        <ns0:v>2026</ns0:v>
      </ns0:c>
      <ns0:c r="K533" s="95" t="n">
        <ns0:v>27963.52583586626</ns0:v>
      </ns0:c>
      <ns0:c r="L533" s="95" t="n">
        <ns0:v>10874.704491725768</ns0:v>
      </ns0:c>
      <ns0:c r="M533" s="94" t="inlineStr">
        <ns0:is>
          <ns0:t>Ativo</ns0:t>
        </ns0:is>
      </ns0:c>
      <ns0:c r="N533" s="94" t="inlineStr">
        <ns0:is>
          <ns0:t>BelaFormosa · Price List September 2026 · p. 7</ns0:t>
        </ns0:is>
      </ns0:c>
      <ns0:c r="O533" s="94"/>
      <ns0:c r="P533" s="94" t="inlineStr">
        <ns0:is>
          <ns0:t>2026-09</ns0:t>
        </ns0:is>
      </ns0:c>
      <ns0:c r="Q533" s="94" t="inlineStr">
        <ns0:is>
          <ns0:t>Premium local</ns0:t>
        </ns0:is>
      </ns0:c>
      <ns0:c r="R533" s="94" t="inlineStr">
        <ns0:is>
          <ns0:t>Nova construção</ns0:t>
        </ns0:is>
      </ns0:c>
      <ns0:c r="S533" s="94"/>
      <ns0:c r="T533" s="94" t="inlineStr">
        <ns0:is>
          <ns0:t>Não incluído no preço; disponibilidade por confirmar</ns0:t>
        </ns0:is>
      </ns0:c>
      <ns0:c r="U533" s="94"/>
      <ns0:c r="V533" s="94"/>
      <ns0:c r="W533" s="97" t="n">
        <ns0:v>0.9</ns0:v>
      </ns0:c>
      <ns0:c r="X533" s="94" t="inlineStr">
        <ns0:is>
          <ns0:t>A · Premium local; vistas estimadas</ns0:t>
        </ns0:is>
      </ns0:c>
      <ns0:c r="Y533" s="94" t="inlineStr">
        <ns0:is>
          <ns0:t>Média</ns0:t>
        </ns0:is>
      </ns0:c>
      <ns0:c r="Z533" s="94" t="inlineStr">
        <ns0:is>
          <ns0:t>Preço pedido, não transação. Garagem/arrecadação não incluídas. Desconto de 5% mencionado na fonte não aplicado automaticamente. Tipologia de planta: F. Posição frontal 4/5; estimativa de exposição à Ria, não confirmada por altura.</ns0:t>
        </ns0:is>
      </ns0:c>
      <ns0:c r="AA533" s="94" t="inlineStr">
        <ns0:is>
          <ns0:t>Confirmar vista, orientação, disponibilidade e condições atuais.</ns0:t>
        </ns0:is>
      </ns0:c>
      <ns0:c r="AB533" s="94" t="inlineStr">
        <ns0:is>
          <ns0:t>Média</ns0:t>
        </ns0:is>
      </ns0:c>
      <ns0:c r="AJ533" s="94" t="inlineStr">
        <ns0:is>
          <ns0:t>RF</ns0:t>
        </ns0:is>
      </ns0:c>
      <ns0:c r="AK533" s="94" t="inlineStr">
        <ns0:is>
          <ns0:t>Rooftop</ns0:t>
        </ns0:is>
      </ns0:c>
      <ns0:c r="AL533" s="94" t="n">
        <ns0:v>1</ns0:v>
      </ns0:c>
      <ns0:c r="AM533" s="94" t="n">
        <ns0:v>1</ns0:v>
      </ns0:c>
      <ns0:c r="AN533" s="94" t="inlineStr">
        <ns0:is>
          <ns0:t>Estimada · média</ns0:t>
        </ns0:is>
      </ns0:c>
      <ns0:c r="AO533" s="94" t="inlineStr">
        <ns0:is>
          <ns0:t>Estimativa de implantação fornecida pela gestão; piso considerado sem confirmação geométrica.</ns0:t>
        </ns0:is>
      </ns0:c>
      <ns0:c r="AP533" s="94" t="inlineStr">
        <ns0:is>
          <ns0:t>Sim</ns0:t>
        </ns0:is>
      </ns0:c>
      <ns0:c r="AQ533" s="94" t="inlineStr">
        <ns0:is>
          <ns0:t>Olhão</ns0:t>
        </ns0:is>
      </ns0:c>
      <ns0:c r="AR533" s="94" t="inlineStr">
        <ns0:is>
          <ns0:t>BelaFormosa Price List September 2026, p. 1</ns0:t>
        </ns0:is>
      </ns0:c>
    </ns0:row>
    <ns0:row r="534" ht="72" customHeight="1">
      <ns0:c r="A534" s="94" t="inlineStr">
        <ns0:is>
          <ns0:t>BelaFormosa</ns0:t>
        </ns0:is>
      </ns0:c>
      <ns0:c r="B534" s="94" t="inlineStr">
        <ns0:is>
          <ns0:t>RF606</ns0:t>
        </ns0:is>
      </ns0:c>
      <ns0:c r="C534" s="94" t="n">
        <ns0:v>6</ns0:v>
      </ns0:c>
      <ns0:c r="D534" s="94" t="inlineStr">
        <ns0:is>
          <ns0:t>T2 Rooftop</ns0:t>
        </ns0:is>
      </ns0:c>
      <ns0:c r="E534" s="94"/>
      <ns0:c r="F534" s="97" t="n">
        <ns0:v>100.25</ns0:v>
      </ns0:c>
      <ns0:c r="G534" s="97" t="n">
        <ns0:v>107.25</ns0:v>
      </ns0:c>
      <ns0:c r="H534" s="97" t="n">
        <ns0:v>207.5</ns0:v>
      </ns0:c>
      <ns0:c r="I534" s="95" t="n">
        <ns0:v>2200000</ns0:v>
      </ns0:c>
      <ns0:c r="J534" s="94" t="n">
        <ns0:v>2026</ns0:v>
      </ns0:c>
      <ns0:c r="K534" s="95" t="n">
        <ns0:v>21945.13715710723</ns0:v>
      </ns0:c>
      <ns0:c r="L534" s="95" t="n">
        <ns0:v>10602.409638554216</ns0:v>
      </ns0:c>
      <ns0:c r="M534" s="94" t="inlineStr">
        <ns0:is>
          <ns0:t>Ativo</ns0:t>
        </ns0:is>
      </ns0:c>
      <ns0:c r="N534" s="94" t="inlineStr">
        <ns0:is>
          <ns0:t>BelaFormosa · Price List September 2026 · p. 7</ns0:t>
        </ns0:is>
      </ns0:c>
      <ns0:c r="O534" s="94"/>
      <ns0:c r="P534" s="94" t="inlineStr">
        <ns0:is>
          <ns0:t>2026-09</ns0:t>
        </ns0:is>
      </ns0:c>
      <ns0:c r="Q534" s="94" t="inlineStr">
        <ns0:is>
          <ns0:t>Premium local</ns0:t>
        </ns0:is>
      </ns0:c>
      <ns0:c r="R534" s="94" t="inlineStr">
        <ns0:is>
          <ns0:t>Nova construção</ns0:t>
        </ns0:is>
      </ns0:c>
      <ns0:c r="S534" s="94"/>
      <ns0:c r="T534" s="94" t="inlineStr">
        <ns0:is>
          <ns0:t>Não incluído no preço; disponibilidade por confirmar</ns0:t>
        </ns0:is>
      </ns0:c>
      <ns0:c r="U534" s="94"/>
      <ns0:c r="V534" s="94"/>
      <ns0:c r="W534" s="97" t="n">
        <ns0:v>0.9</ns0:v>
      </ns0:c>
      <ns0:c r="X534" s="94" t="inlineStr">
        <ns0:is>
          <ns0:t>A · Premium local; vistas estimadas</ns0:t>
        </ns0:is>
      </ns0:c>
      <ns0:c r="Y534" s="94" t="inlineStr">
        <ns0:is>
          <ns0:t>Média</ns0:t>
        </ns0:is>
      </ns0:c>
      <ns0:c r="Z534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34" s="94" t="inlineStr">
        <ns0:is>
          <ns0:t>Confirmar vista, orientação, disponibilidade e condições atuais.</ns0:t>
        </ns0:is>
      </ns0:c>
      <ns0:c r="AB534" s="94" t="inlineStr">
        <ns0:is>
          <ns0:t>Média</ns0:t>
        </ns0:is>
      </ns0:c>
      <ns0:c r="AJ534" s="94" t="inlineStr">
        <ns0:is>
          <ns0:t>RF</ns0:t>
        </ns0:is>
      </ns0:c>
      <ns0:c r="AK534" s="94" t="inlineStr">
        <ns0:is>
          <ns0:t>Rooftop</ns0:t>
        </ns0:is>
      </ns0:c>
      <ns0:c r="AL534" s="94" t="n">
        <ns0:v>2</ns0:v>
      </ns0:c>
      <ns0:c r="AM534" s="94" t="n">
        <ns0:v>3</ns0:v>
      </ns0:c>
      <ns0:c r="AN534" s="94" t="inlineStr">
        <ns0:is>
          <ns0:t>Estimada · média</ns0:t>
        </ns0:is>
      </ns0:c>
      <ns0:c r="AO534" s="94" t="inlineStr">
        <ns0:is>
          <ns0:t>Estimativa de implantação fornecida pela gestão; piso considerado sem confirmação geométrica.</ns0:t>
        </ns0:is>
      </ns0:c>
      <ns0:c r="AP534" s="94" t="inlineStr">
        <ns0:is>
          <ns0:t>Sim</ns0:t>
        </ns0:is>
      </ns0:c>
      <ns0:c r="AQ534" s="94" t="inlineStr">
        <ns0:is>
          <ns0:t>Olhão</ns0:t>
        </ns0:is>
      </ns0:c>
      <ns0:c r="AR534" s="94" t="inlineStr">
        <ns0:is>
          <ns0:t>BelaFormosa Price List September 2026, p. 1</ns0:t>
        </ns0:is>
      </ns0:c>
    </ns0:row>
    <ns0:row r="535" ht="72" customHeight="1">
      <ns0:c r="A535" s="94" t="inlineStr">
        <ns0:is>
          <ns0:t>BelaFormosa</ns0:t>
        </ns0:is>
      </ns0:c>
      <ns0:c r="B535" s="94" t="inlineStr">
        <ns0:is>
          <ns0:t>RF607</ns0:t>
        </ns0:is>
      </ns0:c>
      <ns0:c r="C535" s="94" t="n">
        <ns0:v>6</ns0:v>
      </ns0:c>
      <ns0:c r="D535" s="94" t="inlineStr">
        <ns0:is>
          <ns0:t>T2 Rooftop</ns0:t>
        </ns0:is>
      </ns0:c>
      <ns0:c r="E535" s="94"/>
      <ns0:c r="F535" s="97" t="n">
        <ns0:v>100.25</ns0:v>
      </ns0:c>
      <ns0:c r="G535" s="97" t="n">
        <ns0:v>107.25</ns0:v>
      </ns0:c>
      <ns0:c r="H535" s="97" t="n">
        <ns0:v>207.5</ns0:v>
      </ns0:c>
      <ns0:c r="I535" s="95" t="n">
        <ns0:v>2180000</ns0:v>
      </ns0:c>
      <ns0:c r="J535" s="94" t="n">
        <ns0:v>2026</ns0:v>
      </ns0:c>
      <ns0:c r="K535" s="95" t="n">
        <ns0:v>21745.63591022444</ns0:v>
      </ns0:c>
      <ns0:c r="L535" s="95" t="n">
        <ns0:v>10506.024096385541</ns0:v>
      </ns0:c>
      <ns0:c r="M535" s="94" t="inlineStr">
        <ns0:is>
          <ns0:t>Ativo</ns0:t>
        </ns0:is>
      </ns0:c>
      <ns0:c r="N535" s="94" t="inlineStr">
        <ns0:is>
          <ns0:t>BelaFormosa · Price List September 2026 · p. 7</ns0:t>
        </ns0:is>
      </ns0:c>
      <ns0:c r="O535" s="94"/>
      <ns0:c r="P535" s="94" t="inlineStr">
        <ns0:is>
          <ns0:t>2026-09</ns0:t>
        </ns0:is>
      </ns0:c>
      <ns0:c r="Q535" s="94" t="inlineStr">
        <ns0:is>
          <ns0:t>Premium local</ns0:t>
        </ns0:is>
      </ns0:c>
      <ns0:c r="R535" s="94" t="inlineStr">
        <ns0:is>
          <ns0:t>Nova construção</ns0:t>
        </ns0:is>
      </ns0:c>
      <ns0:c r="S535" s="94"/>
      <ns0:c r="T535" s="94" t="inlineStr">
        <ns0:is>
          <ns0:t>Não incluído no preço; disponibilidade por confirmar</ns0:t>
        </ns0:is>
      </ns0:c>
      <ns0:c r="U535" s="94"/>
      <ns0:c r="V535" s="94"/>
      <ns0:c r="W535" s="97" t="n">
        <ns0:v>0.9</ns0:v>
      </ns0:c>
      <ns0:c r="X535" s="94" t="inlineStr">
        <ns0:is>
          <ns0:t>A · Premium local; vistas estimadas</ns0:t>
        </ns0:is>
      </ns0:c>
      <ns0:c r="Y535" s="94" t="inlineStr">
        <ns0:is>
          <ns0:t>Média</ns0:t>
        </ns0:is>
      </ns0:c>
      <ns0:c r="Z535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35" s="94" t="inlineStr">
        <ns0:is>
          <ns0:t>Confirmar vista, orientação, disponibilidade e condições atuais.</ns0:t>
        </ns0:is>
      </ns0:c>
      <ns0:c r="AB535" s="94" t="inlineStr">
        <ns0:is>
          <ns0:t>Média</ns0:t>
        </ns0:is>
      </ns0:c>
      <ns0:c r="AJ535" s="94" t="inlineStr">
        <ns0:is>
          <ns0:t>RF</ns0:t>
        </ns0:is>
      </ns0:c>
      <ns0:c r="AK535" s="94" t="inlineStr">
        <ns0:is>
          <ns0:t>Rooftop</ns0:t>
        </ns0:is>
      </ns0:c>
      <ns0:c r="AL535" s="94" t="n">
        <ns0:v>2</ns0:v>
      </ns0:c>
      <ns0:c r="AM535" s="94" t="n">
        <ns0:v>3</ns0:v>
      </ns0:c>
      <ns0:c r="AN535" s="94" t="inlineStr">
        <ns0:is>
          <ns0:t>Estimada · média</ns0:t>
        </ns0:is>
      </ns0:c>
      <ns0:c r="AO535" s="94" t="inlineStr">
        <ns0:is>
          <ns0:t>Estimativa de implantação fornecida pela gestão; piso considerado sem confirmação geométrica.</ns0:t>
        </ns0:is>
      </ns0:c>
      <ns0:c r="AP535" s="94" t="inlineStr">
        <ns0:is>
          <ns0:t>Sim</ns0:t>
        </ns0:is>
      </ns0:c>
      <ns0:c r="AQ535" s="94" t="inlineStr">
        <ns0:is>
          <ns0:t>Olhão</ns0:t>
        </ns0:is>
      </ns0:c>
      <ns0:c r="AR535" s="94" t="inlineStr">
        <ns0:is>
          <ns0:t>BelaFormosa Price List September 2026, p. 1</ns0:t>
        </ns0:is>
      </ns0:c>
    </ns0:row>
    <ns0:row r="536" ht="72" customHeight="1">
      <ns0:c r="A536" s="94" t="inlineStr">
        <ns0:is>
          <ns0:t>BelaFormosa</ns0:t>
        </ns0:is>
      </ns0:c>
      <ns0:c r="B536" s="94" t="inlineStr">
        <ns0:is>
          <ns0:t>RF608</ns0:t>
        </ns0:is>
      </ns0:c>
      <ns0:c r="C536" s="94" t="n">
        <ns0:v>6</ns0:v>
      </ns0:c>
      <ns0:c r="D536" s="94" t="inlineStr">
        <ns0:is>
          <ns0:t>T2 Rooftop</ns0:t>
        </ns0:is>
      </ns0:c>
      <ns0:c r="E536" s="94"/>
      <ns0:c r="F536" s="97" t="n">
        <ns0:v>100.25</ns0:v>
      </ns0:c>
      <ns0:c r="G536" s="97" t="n">
        <ns0:v>117.5</ns0:v>
      </ns0:c>
      <ns0:c r="H536" s="97" t="n">
        <ns0:v>217.75</ns0:v>
      </ns0:c>
      <ns0:c r="I536" s="95" t="n">
        <ns0:v>2170000</ns0:v>
      </ns0:c>
      <ns0:c r="J536" s="94" t="n">
        <ns0:v>2026</ns0:v>
      </ns0:c>
      <ns0:c r="K536" s="95" t="n">
        <ns0:v>21645.885286783043</ns0:v>
      </ns0:c>
      <ns0:c r="L536" s="95" t="n">
        <ns0:v>9965.556831228472</ns0:v>
      </ns0:c>
      <ns0:c r="M536" s="94" t="inlineStr">
        <ns0:is>
          <ns0:t>Ativo</ns0:t>
        </ns0:is>
      </ns0:c>
      <ns0:c r="N536" s="94" t="inlineStr">
        <ns0:is>
          <ns0:t>BelaFormosa · Price List September 2026 · p. 7</ns0:t>
        </ns0:is>
      </ns0:c>
      <ns0:c r="O536" s="94"/>
      <ns0:c r="P536" s="94" t="inlineStr">
        <ns0:is>
          <ns0:t>2026-09</ns0:t>
        </ns0:is>
      </ns0:c>
      <ns0:c r="Q536" s="94" t="inlineStr">
        <ns0:is>
          <ns0:t>Premium local</ns0:t>
        </ns0:is>
      </ns0:c>
      <ns0:c r="R536" s="94" t="inlineStr">
        <ns0:is>
          <ns0:t>Nova construção</ns0:t>
        </ns0:is>
      </ns0:c>
      <ns0:c r="S536" s="94"/>
      <ns0:c r="T536" s="94" t="inlineStr">
        <ns0:is>
          <ns0:t>Não incluído no preço; disponibilidade por confirmar</ns0:t>
        </ns0:is>
      </ns0:c>
      <ns0:c r="U536" s="94"/>
      <ns0:c r="V536" s="94"/>
      <ns0:c r="W536" s="97" t="n">
        <ns0:v>0.9</ns0:v>
      </ns0:c>
      <ns0:c r="X536" s="94" t="inlineStr">
        <ns0:is>
          <ns0:t>A · Premium local; vistas estimadas</ns0:t>
        </ns0:is>
      </ns0:c>
      <ns0:c r="Y536" s="94" t="inlineStr">
        <ns0:is>
          <ns0:t>Média</ns0:t>
        </ns0:is>
      </ns0:c>
      <ns0:c r="Z536" s="94" t="inlineStr">
        <ns0:is>
          <ns0:t>Preço pedido, não transação. Garagem/arrecadação não incluídas. Desconto de 5% mencionado na fonte não aplicado automaticamente. Tipologia de planta: D. Posição interior frontal; intervalo preliminar 2–3, sem confirmação por altura.</ns0:t>
        </ns0:is>
      </ns0:c>
      <ns0:c r="AA536" s="94" t="inlineStr">
        <ns0:is>
          <ns0:t>Confirmar vista, orientação, disponibilidade e condições atuais.</ns0:t>
        </ns0:is>
      </ns0:c>
      <ns0:c r="AB536" s="94" t="inlineStr">
        <ns0:is>
          <ns0:t>Média</ns0:t>
        </ns0:is>
      </ns0:c>
      <ns0:c r="AJ536" s="94" t="inlineStr">
        <ns0:is>
          <ns0:t>RF</ns0:t>
        </ns0:is>
      </ns0:c>
      <ns0:c r="AK536" s="94" t="inlineStr">
        <ns0:is>
          <ns0:t>Rooftop</ns0:t>
        </ns0:is>
      </ns0:c>
      <ns0:c r="AL536" s="94" t="n">
        <ns0:v>2</ns0:v>
      </ns0:c>
      <ns0:c r="AM536" s="94" t="n">
        <ns0:v>3</ns0:v>
      </ns0:c>
      <ns0:c r="AN536" s="94" t="inlineStr">
        <ns0:is>
          <ns0:t>Estimada · média</ns0:t>
        </ns0:is>
      </ns0:c>
      <ns0:c r="AO536" s="94" t="inlineStr">
        <ns0:is>
          <ns0:t>Estimativa de implantação fornecida pela gestão; piso considerado sem confirmação geométrica.</ns0:t>
        </ns0:is>
      </ns0:c>
      <ns0:c r="AP536" s="94" t="inlineStr">
        <ns0:is>
          <ns0:t>Sim</ns0:t>
        </ns0:is>
      </ns0:c>
      <ns0:c r="AQ536" s="94" t="inlineStr">
        <ns0:is>
          <ns0:t>Olhão</ns0:t>
        </ns0:is>
      </ns0:c>
      <ns0:c r="AR536" s="94" t="inlineStr">
        <ns0:is>
          <ns0:t>BelaFormosa Price List September 2026, p. 1</ns0:t>
        </ns0:is>
      </ns0:c>
    </ns0:row>
  </ns0:sheetData>
  <ns0:conditionalFormatting sqref="X2:X331">
    <ns0:cfRule type="expression" dxfId="6" priority="2">
      <ns0:formula>LEFT($X2,1)="A"</ns0:formula>
    </ns0:cfRule>
    <ns0:cfRule type="expression" dxfId="5" priority="3">
      <ns0:formula>LEFT($X2,1)="C"</ns0:formula>
    </ns0:cfRule>
  </ns0:conditionalFormatting>
  <ns0:conditionalFormatting sqref="AB2:AB331">
    <ns0:cfRule type="expression" dxfId="4" priority="1">
      <ns0:formula>$AB2="Alta"</ns0:formula>
    </ns0:cfRule>
  </ns0:conditionalFormatting>
  <ns0:dataValidations count="4">
    <ns0:dataValidation type="list" sqref="M2:M306">
      <ns0:formula1>"Projeto,Ativo,Rever,Histórico,Reservado,Vendido"</ns0:formula1>
    </ns0:dataValidation>
    <ns0:dataValidation type="list" sqref="Q2:Q306">
      <ns0:formula1>"Projeto,Premium waterfront/marina,Benchmark local,Histórico,A classificar"</ns0:formula1>
    </ns0:dataValidation>
    <ns0:dataValidation type="list" sqref="T2:U306">
      <ns0:formula1>"Sim,Não,A confirmar"</ns0:formula1>
    </ns0:dataValidation>
    <ns0:dataValidation type="list" sqref="R2:R174 R176:R306">
      <ns0:formula1>"Nova construção,Usado recente,Usado,A confirmar"</ns0:formula1>
    </ns0:dataValidation>
  </ns0:dataValidations>
  <ns0:pageMargins left="0.7" right="0.7" top="0.75" bottom="0.75" header="0.3" footer="0.3"/>
  <ns0:tableParts count="1">
    <ns0:tablePart ns1:id="R25b6baa583634dbb"/>
  </ns0:tableParts>
</ns0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80" customWidth="1"/>
  </x:cols>
  <x:sheetData>
    <x:row r="1">
      <x:c r="A1" s="2" t="s">
        <x:v>316</x:v>
      </x:c>
    </x:row>
    <x:row r="2">
      <x:c r="A2" s="3"/>
    </x:row>
    <x:row r="3">
      <x:c r="A3" s="2" t="s">
        <x:v>317</x:v>
      </x:c>
    </x:row>
    <x:row r="4">
      <x:c r="A4" s="3" t="s">
        <x:v>318</x:v>
      </x:c>
    </x:row>
    <x:row r="5">
      <x:c r="A5" s="3" t="s">
        <x:v>319</x:v>
      </x:c>
    </x:row>
    <x:row r="6">
      <x:c r="A6" s="3" t="s">
        <x:v>320</x:v>
      </x:c>
    </x:row>
    <x:row r="7">
      <x:c r="A7" s="3"/>
    </x:row>
    <x:row r="8">
      <x:c r="A8" s="2" t="s">
        <x:v>321</x:v>
      </x:c>
    </x:row>
    <x:row r="9" ht="28.799999237060547">
      <x:c r="A9" s="2" t="s">
        <x:v>322</x:v>
      </x:c>
    </x:row>
    <x:row r="10">
      <x:c r="A10" s="2" t="s">
        <x:v>323</x:v>
      </x:c>
    </x:row>
    <x:row r="11">
      <x:c r="A11" s="2" t="s">
        <x:v>324</x:v>
      </x:c>
    </x:row>
    <x:row r="12">
      <x:c r="A12" s="2" t="s">
        <x:v>325</x:v>
      </x:c>
    </x:row>
    <x:row r="13">
      <x:c r="A13" s="2" t="s">
        <x:v>326</x:v>
      </x:c>
    </x:row>
    <x:row r="14">
      <x:c r="A14" s="2" t="s">
        <x:v>327</x:v>
      </x:c>
    </x:row>
    <x:row r="15">
      <x:c r="A15" s="2" t="s">
        <x:v>328</x:v>
      </x:c>
    </x:row>
    <x:row r="16">
      <x:c r="A16" s="2" t="s">
        <x:v>329</x:v>
      </x:c>
    </x:row>
    <x:row r="17">
      <x:c r="A17" s="2" t="s">
        <x:v>330</x:v>
      </x:c>
    </x:row>
    <x:row r="18">
      <x:c r="A18" s="3"/>
    </x:row>
    <x:row r="19">
      <x:c r="A19" s="2" t="s">
        <x:v>331</x:v>
      </x:c>
    </x:row>
    <x:row r="20">
      <x:c r="A20" s="3" t="s">
        <x:v>332</x:v>
      </x:c>
    </x:row>
    <x:row r="21">
      <x:c r="A21" s="3" t="s">
        <x:v>333</x:v>
      </x:c>
    </x:row>
    <x:row r="22">
      <x:c r="A22" s="3" t="s">
        <x:v>334</x:v>
      </x:c>
    </x:row>
    <x:row r="23">
      <x:c r="A23" s="3"/>
    </x:row>
    <x:row r="24">
      <x:c r="A24" s="2" t="s">
        <x:v>335</x:v>
      </x:c>
    </x:row>
    <x:row r="25">
      <x:c r="A25" s="3" t="s">
        <x:v>336</x:v>
      </x:c>
    </x:row>
    <x:row r="26">
      <x:c r="A26" s="3" t="s">
        <x:v>337</x:v>
      </x:c>
    </x:row>
    <x:row r="27">
      <x:c r="A27" s="3" t="s">
        <x:v>338</x:v>
      </x:c>
    </x:row>
    <x:row r="28">
      <x:c r="A28" s="3" t="s">
        <x:v>339</x:v>
      </x:c>
    </x:row>
    <x:row r="29">
      <x:c r="A29" s="3" t="s">
        <x:v>340</x:v>
      </x:c>
    </x:row>
    <x:row r="30">
      <x:c r="A30" s="3"/>
    </x:row>
    <x:row r="31">
      <x:c r="A31" s="2" t="s">
        <x:v>341</x:v>
      </x:c>
    </x:row>
    <x:row r="32">
      <x:c r="A32" s="2" t="s">
        <x:v>342</x:v>
      </x:c>
    </x:row>
    <x:row r="33">
      <x:c r="A33" s="2" t="s">
        <x:v>343</x:v>
      </x:c>
    </x:row>
    <x:row r="34">
      <x:c r="A34" s="2" t="s">
        <x:v>344</x:v>
      </x:c>
    </x:row>
    <x:row r="35">
      <x:c r="A35" s="2" t="s">
        <x:v>345</x:v>
      </x:c>
    </x:row>
    <x:row r="36" ht="28.799999237060547">
      <x:c r="A36" s="2" t="s">
        <x:v>346</x:v>
      </x:c>
    </x:row>
  </x:sheetData>
  <x:pageMargins left="0.7" right="0.7" top="0.75" bottom="0.75" header="0.3" footer="0.3"/>
</x:worksheet>
</file>

<file path=xl/worksheets/sheet3.xml><?xml version="1.0" encoding="utf-8"?>
<ns0:worksheet xmlns:ns0="http://schemas.openxmlformats.org/spreadsheetml/2006/main">
  <ns0:sheetFormatPr defaultRowHeight="14.399999618530273"/>
  <ns0:cols>
    <ns0:col min="1" max="1" width="36" customWidth="1"/>
    <ns0:col min="2" max="2" width="22" customWidth="1"/>
    <ns0:col min="3" max="3" width="24" customWidth="1"/>
    <ns0:col min="4" max="4" width="18" customWidth="1"/>
    <ns0:col min="5" max="5" width="18" customWidth="1"/>
    <ns0:col min="6" max="6" width="85" customWidth="1"/>
  </ns0:cols>
  <ns0:sheetData>
    <ns0:row r="1" ht="21">
      <ns0:c r="A1" s="104" t="s">
        <ns0:v>347</ns0:v>
      </ns0:c>
      <ns0:c r="B1" s="74"/>
      <ns0:c r="C1" s="74"/>
      <ns0:c r="D1" s="74"/>
      <ns0:c r="E1" s="74"/>
      <ns0:c r="F1" s="74"/>
      <ns0:c r="G1" s="74"/>
      <ns0:c r="H1" s="74"/>
    </ns0:row>
    <ns0:row r="2">
      <ns0:c r="A2" s="74"/>
      <ns0:c r="B2" s="74"/>
      <ns0:c r="C2" s="74"/>
      <ns0:c r="D2" s="74"/>
      <ns0:c r="E2" s="74"/>
      <ns0:c r="F2" s="74"/>
      <ns0:c r="G2" s="74"/>
      <ns0:c r="H2" s="74"/>
    </ns0:row>
    <ns0:row r="3">
      <ns0:c r="A3" s="105" t="s">
        <ns0:v>348</ns0:v>
      </ns0:c>
      <ns0:c r="B3" s="105" t="s">
        <ns0:v>349</ns0:v>
      </ns0:c>
      <ns0:c r="C3" s="105" t="s">
        <ns0:v>350</ns0:v>
      </ns0:c>
      <ns0:c r="D3" s="74"/>
      <ns0:c r="E3" s="74"/>
      <ns0:c r="F3" s="74"/>
      <ns0:c r="G3" s="74"/>
      <ns0:c r="H3" s="74"/>
    </ns0:row>
    <ns0:row r="4" ht="44" customHeight="1">
      <ns0:c r="A4" s="94" t="str">
        <ns0:v>Total de linhas</ns0:v>
      </ns0:c>
      <ns0:c r="B4" s="94" t="n">
        <ns0:v>535</ns0:v>
      </ns0:c>
      <ns0:c r="C4" s="94" t="str">
        <ns0:v>Inclui The View e concorrentes</ns0:v>
      </ns0:c>
      <ns0:c r="D4" s="94"/>
      <ns0:c r="E4" s="94"/>
      <ns0:c r="F4" s="94"/>
      <ns0:c r="G4" s="94"/>
      <ns0:c r="H4" s="94"/>
    </ns0:row>
    <ns0:row r="5" ht="44" customHeight="1">
      <ns0:c r="A5" s="94" t="str">
        <ns0:v>Frações The View</ns0:v>
      </ns0:c>
      <ns0:c r="B5" s="94" t="n">
        <ns0:v>39</ns0:v>
      </ns0:c>
      <ns0:c r="C5" s="94" t="str">
        <ns0:v>Projeto próprio</ns0:v>
      </ns0:c>
      <ns0:c r="D5" s="94"/>
      <ns0:c r="E5" s="94"/>
      <ns0:c r="F5" s="94"/>
      <ns0:c r="G5" s="94"/>
      <ns0:c r="H5" s="94"/>
    </ns0:row>
    <ns0:row r="6" ht="44" customHeight="1">
      <ns0:c r="A6" s="94" t="str">
        <ns0:v>Frações concorrentes</ns0:v>
      </ns0:c>
      <ns0:c r="B6" s="94" t="n">
        <ns0:v>496</ns0:v>
      </ns0:c>
      <ns0:c r="C6" s="94" t="str">
        <ns0:v>Base competitiva atual</ns0:v>
      </ns0:c>
      <ns0:c r="D6" s="94"/>
      <ns0:c r="E6" s="94"/>
      <ns0:c r="F6" s="94"/>
      <ns0:c r="G6" s="94"/>
      <ns0:c r="H6" s="94"/>
    </ns0:row>
    <ns0:row r="7" ht="44" customHeight="1">
      <ns0:c r="A7" s="94" t="str">
        <ns0:v>Linhas 2024</ns0:v>
      </ns0:c>
      <ns0:c r="B7" s="94" t="n">
        <ns0:v>103</ns0:v>
      </ns0:c>
      <ns0:c r="C7" s="94" t="str">
        <ns0:v>Histórico com peso temporal 0,20</ns0:v>
      </ns0:c>
      <ns0:c r="D7" s="94"/>
      <ns0:c r="E7" s="94"/>
      <ns0:c r="F7" s="94"/>
      <ns0:c r="G7" s="94"/>
      <ns0:c r="H7" s="94"/>
    </ns0:row>
    <ns0:row r="8" ht="44" customHeight="1">
      <ns0:c r="A8" s="94" t="str">
        <ns0:v>Linhas 2026</ns0:v>
      </ns0:c>
      <ns0:c r="B8" s="94" t="n">
        <ns0:v>432</ns0:v>
      </ns0:c>
      <ns0:c r="C8" s="94" t="str">
        <ns0:v>Base mais atual</ns0:v>
      </ns0:c>
      <ns0:c r="D8" s="94"/>
      <ns0:c r="E8" s="94"/>
      <ns0:c r="F8" s="94"/>
      <ns0:c r="G8" s="94"/>
      <ns0:c r="H8" s="94"/>
    </ns0:row>
    <ns0:row r="9" ht="80" customHeight="1">
      <ns0:c r="A9" s="94" t="str">
        <ns0:v>Empreendimentos concorrentes</ns0:v>
      </ns0:c>
      <ns0:c r="B9" s="94" t="n">
        <ns0:v>9</ns0:v>
      </ns0:c>
      <ns0:c r="C9" s="94" t="inlineStr">
        <ns0:is>
          <ns0:t>BelaFormosa integrado; oito fontes concorrenciais anteriores preservadas.</ns0:t>
        </ns0:is>
      </ns0:c>
      <ns0:c r="D9" s="94"/>
      <ns0:c r="E9" s="94"/>
      <ns0:c r="F9" s="94"/>
      <ns0:c r="G9" s="94"/>
      <ns0:c r="H9" s="94"/>
    </ns0:row>
    <ns0:row r="10">
      <ns0:c r="A10" s="74"/>
      <ns0:c r="B10" s="74"/>
      <ns0:c r="C10" s="74"/>
      <ns0:c r="D10" s="74"/>
      <ns0:c r="E10" s="74"/>
      <ns0:c r="F10" s="74"/>
      <ns0:c r="G10" s="74"/>
      <ns0:c r="H10" s="74"/>
    </ns0:row>
    <ns0:row r="11">
      <ns0:c r="A11" s="74"/>
      <ns0:c r="B11" s="74"/>
      <ns0:c r="C11" s="74"/>
      <ns0:c r="D11" s="74"/>
      <ns0:c r="E11" s="74"/>
      <ns0:c r="F11" s="74"/>
      <ns0:c r="G11" s="74"/>
      <ns0:c r="H11" s="74"/>
    </ns0:row>
    <ns0:row r="12" ht="36" customHeight="1">
      <ns0:c r="A12" s="105" t="str">
        <ns0:v>Empreendimento</ns0:v>
      </ns0:c>
      <ns0:c r="B12" s="105" t="str">
        <ns0:v>Linhas</ns0:v>
      </ns0:c>
      <ns0:c r="C12" s="105" t="str">
        <ns0:v>Mediana €/m² total</ns0:v>
      </ns0:c>
      <ns0:c r="D12" s="105" t="str">
        <ns0:v>Mín. €/m²</ns0:v>
      </ns0:c>
      <ns0:c r="E12" s="105" t="str">
        <ns0:v>Máx. €/m²</ns0:v>
      </ns0:c>
      <ns0:c r="F12" s="105" t="str">
        <ns0:v>Diagnóstico</ns0:v>
      </ns0:c>
      <ns0:c r="G12" s="74"/>
      <ns0:c r="H12" s="74"/>
    </ns0:row>
    <ns0:row r="13" ht="44" customHeight="1">
      <ns0:c r="A13" s="94" t="str">
        <ns0:v>Aura Living</ns0:v>
      </ns0:c>
      <ns0:c r="B13" s="94" t="n">
        <ns0:v>27</ns0:v>
      </ns0:c>
      <ns0:c r="C13" s="95" t="n">
        <ns0:v>5561</ns0:v>
      </ns0:c>
      <ns0:c r="D13" s="95" t="n">
        <ns0:v>4173</ns0:v>
      </ns0:c>
      <ns0:c r="E13" s="95" t="n">
        <ns0:v>9380</ns0:v>
      </ns0:c>
      <ns0:c r="F13" s="94" t="str">
        <ns0:v>Benchmark complementar; peso estratégico 0,50.</ns0:v>
      </ns0:c>
      <ns0:c r="G13" s="94"/>
      <ns0:c r="H13" s="94"/>
    </ns0:row>
    <ns0:row r="14" ht="44" customHeight="1">
      <ns0:c r="A14" s="94" t="str">
        <ns0:v>Del Mar Waterfront</ns0:v>
      </ns0:c>
      <ns0:c r="B14" s="94" t="n">
        <ns0:v>47</ns0:v>
      </ns0:c>
      <ns0:c r="C14" s="95" t="n">
        <ns0:v>5508</ns0:v>
      </ns0:c>
      <ns0:c r="D14" s="95" t="n">
        <ns0:v>3714</ns0:v>
      </ns0:c>
      <ns0:c r="E14" s="95" t="n">
        <ns0:v>8618</ns0:v>
      </ns0:c>
      <ns0:c r="F14" s="94" t="str">
        <ns0:v>Principal benchmark premium; oferta 2026 enriquecida e linhas não confirmadas marcadas para validação.</ns0:v>
      </ns0:c>
      <ns0:c r="G14" s="94"/>
      <ns0:c r="H14" s="94"/>
    </ns0:row>
    <ns0:row r="15" ht="44" customHeight="1">
      <ns0:c r="A15" s="94" t="str">
        <ns0:v>EVO Lux Garden</ns0:v>
      </ns0:c>
      <ns0:c r="B15" s="94" t="n">
        <ns0:v>77</ns0:v>
      </ns0:c>
      <ns0:c r="C15" s="95" t="n">
        <ns0:v>3969</ns0:v>
      </ns0:c>
      <ns0:c r="D15" s="95" t="n">
        <ns0:v>2278</ns0:v>
      </ns0:c>
      <ns0:c r="E15" s="95" t="n">
        <ns0:v>4926</ns0:v>
      </ns0:c>
      <ns0:c r="F15" s="94" t="str">
        <ns0:v>Comparável mecânico relevante; manter diversidade visual para não dominar os resultados.</ns0:v>
      </ns0:c>
      <ns0:c r="G15" s="94"/>
      <ns0:c r="H15" s="94"/>
    </ns0:row>
    <ns0:row r="16" ht="44" customHeight="1">
      <ns0:c r="A16" s="94" t="str">
        <ns0:v>Le Parc</ns0:v>
      </ns0:c>
      <ns0:c r="B16" s="94" t="n">
        <ns0:v>59</ns0:v>
      </ns0:c>
      <ns0:c r="C16" s="95" t="n">
        <ns0:v>3202</ns0:v>
      </ns0:c>
      <ns0:c r="D16" s="95" t="n">
        <ns0:v>2116</ns0:v>
      </ns0:c>
      <ns0:c r="E16" s="95" t="n">
        <ns0:v>4585</ns0:v>
      </ns0:c>
      <ns0:c r="F16" s="94" t="str">
        <ns0:v>Benchmark local secundário; peso 0,35 ativo e 0,20 histórico.</ns0:v>
      </ns0:c>
      <ns0:c r="G16" s="94"/>
      <ns0:c r="H16" s="94"/>
    </ns0:row>
    <ns0:row r="17" ht="44" customHeight="1">
      <ns0:c r="A17" s="94" t="str">
        <ns0:v>Palácio BR Avenida</ns0:v>
      </ns0:c>
      <ns0:c r="B17" s="94" t="n">
        <ns0:v>31</ns0:v>
      </ns0:c>
      <ns0:c r="C17" s="95" t="n">
        <ns0:v>4222</ns0:v>
      </ns0:c>
      <ns0:c r="D17" s="95" t="n">
        <ns0:v>3709</ns0:v>
      </ns0:c>
      <ns0:c r="E17" s="95" t="n">
        <ns0:v>5030</ns0:v>
      </ns0:c>
      <ns0:c r="F17" s="94" t="str">
        <ns0:v>Referência existente; manter até nova revisão específica.</ns0:v>
      </ns0:c>
      <ns0:c r="G17" s="94"/>
      <ns0:c r="H17" s="94"/>
    </ns0:row>
    <ns0:row r="18" ht="44" customHeight="1">
      <ns0:c r="A18" s="94" t="str">
        <ns0:v>Plessis Luxury Residence</ns0:v>
      </ns0:c>
      <ns0:c r="B18" s="94" t="n">
        <ns0:v>6</ns0:v>
      </ns0:c>
      <ns0:c r="C18" s="95" t="n">
        <ns0:v>4138</ns0:v>
      </ns0:c>
      <ns0:c r="D18" s="95" t="n">
        <ns0:v>2794</ns0:v>
      </ns0:c>
      <ns0:c r="E18" s="95" t="n">
        <ns0:v>5633</ns0:v>
      </ns0:c>
      <ns0:c r="F18" s="94" t="str">
        <ns0:v>Novo benchmark premium regional; peso 0,75; várias áreas públicas são brutas totais.</ns0:v>
      </ns0:c>
      <ns0:c r="G18" s="94"/>
      <ns0:c r="H18" s="94"/>
    </ns0:row>
    <ns0:row r="19" ht="44" customHeight="1">
      <ns0:c r="A19" s="94" t="str">
        <ns0:v>Prestige V</ns0:v>
      </ns0:c>
      <ns0:c r="B19" s="94" t="n">
        <ns0:v>8</ns0:v>
      </ns0:c>
      <ns0:c r="C19" s="95" t="n">
        <ns0:v>4105</ns0:v>
      </ns0:c>
      <ns0:c r="D19" s="95" t="n">
        <ns0:v>3475</ns0:v>
      </ns0:c>
      <ns0:c r="E19" s="95" t="n">
        <ns0:v>4377</ns0:v>
      </ns0:c>
      <ns0:c r="F19" s="94" t="str">
        <ns0:v>Novo benchmark estratégico Ria/Fuseta; peso 0,85; fontes detalhadas T2/T3.</ns0:v>
      </ns0:c>
      <ns0:c r="G19" s="94"/>
      <ns0:c r="H19" s="94"/>
    </ns0:row>
    <ns0:row r="20" ht="44" customHeight="1">
      <ns0:c r="A20" s="94" t="str">
        <ns0:v>Saramago Condomínio</ns0:v>
      </ns0:c>
      <ns0:c r="B20" s="94" t="n">
        <ns0:v>25</ns0:v>
      </ns0:c>
      <ns0:c r="C20" s="95" t="n">
        <ns0:v>3487</ns0:v>
      </ns0:c>
      <ns0:c r="D20" s="95" t="n">
        <ns0:v>2893</ns0:v>
      </ns0:c>
      <ns0:c r="E20" s="95" t="n">
        <ns0:v>4413</ns0:v>
      </ns0:c>
      <ns0:c r="F20" s="94" t="str">
        <ns0:v>Benchmark local/contextual existente.</ns0:v>
      </ns0:c>
      <ns0:c r="G20" s="94"/>
      <ns0:c r="H20" s="94"/>
    </ns0:row>
    <ns0:row r="21" ht="44" customHeight="1">
      <ns0:c r="A21" s="94" t="str">
        <ns0:v>The View</ns0:v>
      </ns0:c>
      <ns0:c r="B21" s="94" t="n">
        <ns0:v>39</ns0:v>
      </ns0:c>
      <ns0:c r="C21" s="95" t="n">
        <ns0:v>4089</ns0:v>
      </ns0:c>
      <ns0:c r="D21" s="95" t="n">
        <ns0:v>3599</ns0:v>
      </ns0:c>
      <ns0:c r="E21" s="95" t="n">
        <ns0:v>6674</ns0:v>
      </ns0:c>
      <ns0:c r="F21" s="94" t="str">
        <ns0:v>Projeto próprio.</ns0:v>
      </ns0:c>
      <ns0:c r="G21" s="94"/>
      <ns0:c r="H21" s="94"/>
    </ns0:row>
    <ns0:row r="22" ht="44" customHeight="1">
      <ns0:c r="A22" s="94" t="inlineStr">
        <ns0:is>
          <ns0:t>BelaFormosa</ns0:t>
        </ns0:is>
      </ns0:c>
      <ns0:c r="B22" s="94" t="n">
        <ns0:v>216</ns0:v>
      </ns0:c>
      <ns0:c r="C22" s="95" t="n">
        <ns0:v>7710</ns0:v>
      </ns0:c>
      <ns0:c r="D22" s="95" t="n">
        <ns0:v>3010</ns0:v>
      </ns0:c>
      <ns0:c r="E22" s="95" t="n">
        <ns0:v>11530</ns0:v>
      </ns0:c>
      <ns0:c r="F22" s="94" t="inlineStr">
        <ns0:is>
          <ns0:t>Lista setembro 2026; 20 reservas, não vendas; vistas estimadas; estacionamento não incluído.</ns0:t>
        </ns0:is>
      </ns0:c>
      <ns0:c r="G22" s="94"/>
      <ns0:c r="H22" s="94"/>
    </ns0:row>
    <ns0:row r="23">
      <ns0:c r="A23" s="74"/>
      <ns0:c r="B23" s="74"/>
      <ns0:c r="C23" s="74"/>
      <ns0:c r="D23" s="74"/>
      <ns0:c r="E23" s="74"/>
      <ns0:c r="F23" s="74"/>
      <ns0:c r="G23" s="74"/>
      <ns0:c r="H23" s="74"/>
    </ns0:row>
    <ns0:row r="24" ht="80" customHeight="1">
      <ns0:c r="A24" s="94" t="inlineStr">
        <ns0:is>
          <ns0:t>Total recomendado The View</ns0:t>
        </ns0:is>
      </ns0:c>
      <ns0:c r="B24" s="95" t="n">
        <ns0:v>29675000</ns0:v>
      </ns0:c>
      <ns0:c r="C24" s="94" t="inlineStr">
        <ns0:is>
          <ns0:t>Análise independente · outubro 2026; não altera PVP ou preços comerciais atuais.</ns0:t>
        </ns0:is>
      </ns0:c>
      <ns0:c r="D24" s="94"/>
      <ns0:c r="E24" s="94"/>
      <ns0:c r="F24" s="94"/>
      <ns0:c r="G24" s="94"/>
      <ns0:c r="H24" s="94"/>
    </ns0:row>
    <ns0:row r="25">
      <ns0:c r="A25" s="74"/>
      <ns0:c r="B25" s="74"/>
      <ns0:c r="C25" s="74"/>
      <ns0:c r="D25" s="74"/>
      <ns0:c r="E25" s="74"/>
      <ns0:c r="F25" s="74"/>
      <ns0:c r="G25" s="74"/>
      <ns0:c r="H25" s="74"/>
    </ns0:row>
    <ns0:row r="26">
      <ns0:c r="A26" s="74"/>
      <ns0:c r="B26" s="74"/>
      <ns0:c r="C26" s="74"/>
      <ns0:c r="D26" s="74"/>
      <ns0:c r="E26" s="74"/>
      <ns0:c r="F26" s="74"/>
      <ns0:c r="G26" s="74"/>
      <ns0:c r="H26" s="74"/>
    </ns0:row>
    <ns0:row r="27">
      <ns0:c r="A27" s="74"/>
      <ns0:c r="B27" s="74"/>
      <ns0:c r="C27" s="74"/>
      <ns0:c r="D27" s="74"/>
      <ns0:c r="E27" s="74"/>
      <ns0:c r="F27" s="74"/>
      <ns0:c r="G27" s="74"/>
      <ns0:c r="H27" s="74"/>
    </ns0:row>
    <ns0:row r="28">
      <ns0:c r="A28" s="74"/>
      <ns0:c r="B28" s="74"/>
      <ns0:c r="C28" s="74"/>
      <ns0:c r="D28" s="74"/>
      <ns0:c r="E28" s="74"/>
      <ns0:c r="F28" s="74"/>
      <ns0:c r="G28" s="74"/>
      <ns0:c r="H28" s="74"/>
    </ns0:row>
    <ns0:row r="29">
      <ns0:c r="A29" s="74"/>
      <ns0:c r="B29" s="74"/>
      <ns0:c r="C29" s="74"/>
      <ns0:c r="D29" s="74"/>
      <ns0:c r="E29" s="74"/>
      <ns0:c r="F29" s="74"/>
      <ns0:c r="G29" s="74"/>
      <ns0:c r="H29" s="74"/>
    </ns0:row>
    <ns0:row r="30">
      <ns0:c r="A30" s="74"/>
      <ns0:c r="B30" s="74"/>
      <ns0:c r="C30" s="74"/>
      <ns0:c r="D30" s="74"/>
      <ns0:c r="E30" s="74"/>
      <ns0:c r="F30" s="74"/>
      <ns0:c r="G30" s="74"/>
      <ns0:c r="H30" s="74"/>
    </ns0:row>
  </ns0:sheetData>
  <ns0:mergeCells>
    <ns0:mergeCell ref="A1:H1"/>
  </ns0:mergeCells>
  <ns0:pageMargins left="0.7" right="0.7" top="0.75" bottom="0.75" header="0.3" footer="0.3"/>
</ns0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26" customWidth="1"/>
    <x:col min="2" max="3" width="42" customWidth="1"/>
    <x:col min="4" max="4" width="36" customWidth="1"/>
    <x:col min="5" max="6" width="26" customWidth="1"/>
  </x:cols>
  <x:sheetData>
    <x:row r="1" ht="21">
      <x:c r="A1" s="104" t="s">
        <x:v>351</x:v>
      </x:c>
      <x:c r="B1" s="74"/>
      <x:c r="C1" s="74"/>
      <x:c r="D1" s="74"/>
      <x:c r="E1" s="74"/>
      <x:c r="F1" s="74"/>
      <x:c r="G1" s="74"/>
      <x:c r="H1" s="74"/>
    </x:row>
    <x:row r="2">
      <x:c r="A2" s="74"/>
      <x:c r="B2" s="74"/>
      <x:c r="C2" s="74"/>
      <x:c r="D2" s="74"/>
      <x:c r="E2" s="74"/>
      <x:c r="F2" s="74"/>
      <x:c r="G2" s="74"/>
      <x:c r="H2" s="74"/>
    </x:row>
    <x:row r="3">
      <x:c r="A3" s="110" t="s">
        <x:v>352</x:v>
      </x:c>
      <x:c r="B3" s="110" t="s">
        <x:v>353</x:v>
      </x:c>
      <x:c r="C3" s="110" t="s">
        <x:v>354</x:v>
      </x:c>
      <x:c r="D3" s="110" t="s">
        <x:v>355</x:v>
      </x:c>
      <x:c r="E3" s="110" t="s">
        <x:v>356</x:v>
      </x:c>
      <x:c r="F3" s="110" t="s">
        <x:v>357</x:v>
      </x:c>
      <x:c r="G3" s="74"/>
      <x:c r="H3" s="74"/>
    </x:row>
    <x:row r="4" ht="28.799999237060547">
      <x:c r="A4" s="90" t="s">
        <x:v>358</x:v>
      </x:c>
      <x:c r="B4" s="90" t="s">
        <x:v>359</x:v>
      </x:c>
      <x:c r="C4" s="90" t="s">
        <x:v>360</x:v>
      </x:c>
      <x:c r="D4" s="90" t="s">
        <x:v>361</x:v>
      </x:c>
      <x:c r="E4" s="90"/>
      <x:c r="F4" s="90" t="str">
        <x:v>Em curso</x:v>
      </x:c>
      <x:c r="G4" s="74"/>
      <x:c r="H4" s="74"/>
    </x:row>
    <x:row r="5" ht="28.799999237060547">
      <x:c r="A5" s="90" t="s">
        <x:v>358</x:v>
      </x:c>
      <x:c r="B5" s="90" t="s">
        <x:v>362</x:v>
      </x:c>
      <x:c r="C5" s="90" t="s">
        <x:v>363</x:v>
      </x:c>
      <x:c r="D5" s="90" t="s">
        <x:v>364</x:v>
      </x:c>
      <x:c r="E5" s="90"/>
      <x:c r="F5" s="90" t="str">
        <x:v>Em curso</x:v>
      </x:c>
      <x:c r="G5" s="74"/>
      <x:c r="H5" s="74"/>
    </x:row>
    <x:row r="6" ht="28.799999237060547">
      <x:c r="A6" s="90" t="s">
        <x:v>358</x:v>
      </x:c>
      <x:c r="B6" s="90" t="s">
        <x:v>365</x:v>
      </x:c>
      <x:c r="C6" s="90" t="s">
        <x:v>366</x:v>
      </x:c>
      <x:c r="D6" s="90" t="s">
        <x:v>367</x:v>
      </x:c>
      <x:c r="E6" s="90"/>
      <x:c r="F6" s="90" t="str">
        <x:v>Concluído</x:v>
      </x:c>
      <x:c r="G6" s="74"/>
      <x:c r="H6" s="74"/>
    </x:row>
    <x:row r="7">
      <x:c r="A7" s="90" t="s">
        <x:v>368</x:v>
      </x:c>
      <x:c r="B7" s="90" t="s">
        <x:v>369</x:v>
      </x:c>
      <x:c r="C7" s="90" t="s">
        <x:v>370</x:v>
      </x:c>
      <x:c r="D7" s="90" t="s">
        <x:v>371</x:v>
      </x:c>
      <x:c r="E7" s="90"/>
      <x:c r="F7" s="90" t="str">
        <x:v>Em curso</x:v>
      </x:c>
      <x:c r="G7" s="74"/>
      <x:c r="H7" s="74"/>
    </x:row>
    <x:row r="8">
      <x:c r="A8" s="90" t="s">
        <x:v>368</x:v>
      </x:c>
      <x:c r="B8" s="90" t="s">
        <x:v>372</x:v>
      </x:c>
      <x:c r="C8" s="90" t="s">
        <x:v>373</x:v>
      </x:c>
      <x:c r="D8" s="90" t="s">
        <x:v>374</x:v>
      </x:c>
      <x:c r="E8" s="90"/>
      <x:c r="F8" s="90" t="str">
        <x:v>Em curso</x:v>
      </x:c>
      <x:c r="G8" s="74"/>
      <x:c r="H8" s="74"/>
    </x:row>
    <x:row r="9" ht="28.799999237060547">
      <x:c r="A9" s="90" t="s">
        <x:v>368</x:v>
      </x:c>
      <x:c r="B9" s="90" t="s">
        <x:v>375</x:v>
      </x:c>
      <x:c r="C9" s="90" t="s">
        <x:v>376</x:v>
      </x:c>
      <x:c r="D9" s="90" t="s">
        <x:v>377</x:v>
      </x:c>
      <x:c r="E9" s="90"/>
      <x:c r="F9" s="90" t="str">
        <x:v>Por fazer</x:v>
      </x:c>
      <x:c r="G9" s="74"/>
      <x:c r="H9" s="74"/>
    </x:row>
    <x:row r="10">
      <x:c r="A10" s="90" t="s">
        <x:v>378</x:v>
      </x:c>
      <x:c r="B10" s="90" t="s">
        <x:v>379</x:v>
      </x:c>
      <x:c r="C10" s="90" t="s">
        <x:v>380</x:v>
      </x:c>
      <x:c r="D10" s="90" t="s">
        <x:v>381</x:v>
      </x:c>
      <x:c r="E10" s="90"/>
      <x:c r="F10" s="90" t="s">
        <x:v>382</x:v>
      </x:c>
      <x:c r="G10" s="74"/>
      <x:c r="H10" s="74"/>
    </x:row>
    <x:row r="11">
      <x:c r="A11" s="74"/>
      <x:c r="B11" s="74" t="str">
        <x:v>Revalidar Prestige V, Plessis e Del Mar trimestralmente</x:v>
      </x:c>
      <x:c r="C11" s="74" t="str">
        <x:v>Atualizar preço, status, fonte e disponibilidade; preservar histórico</x:v>
      </x:c>
      <x:c r="D11" s="74" t="str">
        <x:v>Evita compset ativo desatualizado</x:v>
      </x:c>
      <x:c r="E11" s="74"/>
      <x:c r="F11" s="74" t="str">
        <x:v>Novo</x:v>
      </x:c>
      <x:c r="G11" s="74"/>
      <x:c r="H11" s="74"/>
    </x:row>
    <x:row r="12">
      <x:c r="A12" s="74"/>
      <x:c r="B12" s="74"/>
      <x:c r="C12" s="74"/>
      <x:c r="D12" s="74"/>
      <x:c r="E12" s="74"/>
      <x:c r="F12" s="74"/>
      <x:c r="G12" s="74"/>
      <x:c r="H12" s="74"/>
    </x:row>
    <x:row r="13">
      <x:c r="A13" s="74"/>
      <x:c r="B13" s="74"/>
      <x:c r="C13" s="74"/>
      <x:c r="D13" s="74"/>
      <x:c r="E13" s="74"/>
      <x:c r="F13" s="74"/>
      <x:c r="G13" s="74"/>
      <x:c r="H13" s="74"/>
    </x:row>
    <x:row r="14">
      <x:c r="A14" s="74"/>
      <x:c r="B14" s="74"/>
      <x:c r="C14" s="74"/>
      <x:c r="D14" s="74"/>
      <x:c r="E14" s="74"/>
      <x:c r="F14" s="74"/>
      <x:c r="G14" s="74"/>
      <x:c r="H14" s="74"/>
    </x:row>
  </x:sheetData>
  <x:mergeCells>
    <x:mergeCell ref="A1:F1"/>
  </x:mergeCells>
  <x:dataValidations count="1">
    <x:dataValidation type="list" sqref="F4:F10">
      <x:formula1>"Por fazer,Em progresso,Concluído"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12" customWidth="1"/>
    <x:col min="2" max="2" width="28" customWidth="1"/>
    <x:col min="3" max="3" width="18" customWidth="1"/>
    <x:col min="4" max="4" width="24" customWidth="1"/>
    <x:col min="5" max="5" width="18" customWidth="1"/>
    <x:col min="6" max="6" width="14" customWidth="1"/>
    <x:col min="7" max="7" width="18" customWidth="1"/>
    <x:col min="8" max="8" width="24" customWidth="1"/>
    <x:col min="9" max="9" width="22" customWidth="1"/>
    <x:col min="10" max="10" width="12" customWidth="1"/>
    <x:col min="11" max="11" width="14" customWidth="1"/>
    <x:col min="12" max="12" width="38" customWidth="1"/>
    <x:col min="13" max="14" width="42" customWidth="1"/>
  </x:cols>
  <x:sheetData>
    <x:row r="1" ht="28.799999237060547">
      <x:c r="A1" s="70" t="s">
        <x:v>352</x:v>
      </x:c>
      <x:c r="B1" s="70" t="s">
        <x:v>383</x:v>
      </x:c>
      <x:c r="C1" s="70" t="s">
        <x:v>384</x:v>
      </x:c>
      <x:c r="D1" s="70" t="s">
        <x:v>385</x:v>
      </x:c>
      <x:c r="E1" s="70" t="s">
        <x:v>386</x:v>
      </x:c>
      <x:c r="F1" s="70" t="s">
        <x:v>387</x:v>
      </x:c>
      <x:c r="G1" s="70" t="s">
        <x:v>388</x:v>
      </x:c>
      <x:c r="H1" s="70" t="s">
        <x:v>389</x:v>
      </x:c>
      <x:c r="I1" s="70" t="s">
        <x:v>390</x:v>
      </x:c>
      <x:c r="J1" s="70" t="s">
        <x:v>391</x:v>
      </x:c>
      <x:c r="K1" s="70" t="s">
        <x:v>392</x:v>
      </x:c>
      <x:c r="L1" s="70" t="s">
        <x:v>393</x:v>
      </x:c>
      <x:c r="M1" s="70" t="s">
        <x:v>394</x:v>
      </x:c>
      <x:c r="N1" s="70" t="s">
        <x:v>395</x:v>
      </x:c>
    </x:row>
    <x:row r="2" ht="57.599998474121094">
      <x:c r="A2" s="90" t="s">
        <x:v>358</x:v>
      </x:c>
      <x:c r="B2" s="90" t="s">
        <x:v>396</x:v>
      </x:c>
      <x:c r="C2" s="90" t="s">
        <x:v>0</x:v>
      </x:c>
      <x:c r="D2" s="90" t="s">
        <x:v>397</x:v>
      </x:c>
      <x:c r="E2" s="90" t="s">
        <x:v>398</x:v>
      </x:c>
      <x:c r="F2" s="90" t="s">
        <x:v>399</x:v>
      </x:c>
      <x:c r="G2" s="90" t="s">
        <x:v>400</x:v>
      </x:c>
      <x:c r="H2" s="90" t="s">
        <x:v>238</x:v>
      </x:c>
      <x:c r="I2" s="90" t="s">
        <x:v>401</x:v>
      </x:c>
      <x:c r="J2" s="91">
        <x:v>0.95</x:v>
      </x:c>
      <x:c r="K2" s="90" t="s">
        <x:v>402</x:v>
      </x:c>
      <x:c r="L2" s="90" t="s">
        <x:v>403</x:v>
      </x:c>
      <x:c r="M2" s="90" t="s">
        <x:v>404</x:v>
      </x:c>
      <x:c r="N2" s="90" t="s">
        <x:v>405</x:v>
      </x:c>
    </x:row>
    <x:row r="3" ht="43.20000076293945">
      <x:c r="A3" s="90" t="s">
        <x:v>358</x:v>
      </x:c>
      <x:c r="B3" s="90" t="s">
        <x:v>406</x:v>
      </x:c>
      <x:c r="C3" s="90" t="s">
        <x:v>0</x:v>
      </x:c>
      <x:c r="D3" s="90" t="s">
        <x:v>407</x:v>
      </x:c>
      <x:c r="E3" s="90" t="s">
        <x:v>408</x:v>
      </x:c>
      <x:c r="F3" s="90" t="s">
        <x:v>409</x:v>
      </x:c>
      <x:c r="G3" s="90" t="s">
        <x:v>410</x:v>
      </x:c>
      <x:c r="H3" s="90" t="s">
        <x:v>238</x:v>
      </x:c>
      <x:c r="I3" s="90" t="s">
        <x:v>401</x:v>
      </x:c>
      <x:c r="J3" s="91">
        <x:v>0.9</x:v>
      </x:c>
      <x:c r="K3" s="90" t="s">
        <x:v>402</x:v>
      </x:c>
      <x:c r="L3" s="90" t="s">
        <x:v>411</x:v>
      </x:c>
      <x:c r="M3" s="90" t="s">
        <x:v>412</x:v>
      </x:c>
      <x:c r="N3" s="90" t="s">
        <x:v>413</x:v>
      </x:c>
    </x:row>
    <x:row r="4" ht="43.20000076293945">
      <x:c r="A4" s="90" t="s">
        <x:v>358</x:v>
      </x:c>
      <x:c r="B4" s="90" t="s">
        <x:v>176</x:v>
      </x:c>
      <x:c r="C4" s="90" t="s">
        <x:v>0</x:v>
      </x:c>
      <x:c r="D4" s="90" t="s">
        <x:v>414</x:v>
      </x:c>
      <x:c r="E4" s="90" t="s">
        <x:v>415</x:v>
      </x:c>
      <x:c r="F4" s="90" t="s">
        <x:v>416</x:v>
      </x:c>
      <x:c r="G4" s="90" t="s">
        <x:v>417</x:v>
      </x:c>
      <x:c r="H4" s="90" t="s">
        <x:v>418</x:v>
      </x:c>
      <x:c r="I4" s="90" t="s">
        <x:v>419</x:v>
      </x:c>
      <x:c r="J4" s="91">
        <x:v>0.75</x:v>
      </x:c>
      <x:c r="K4" s="90" t="s">
        <x:v>402</x:v>
      </x:c>
      <x:c r="L4" s="90" t="s">
        <x:v>420</x:v>
      </x:c>
      <x:c r="M4" s="90" t="s">
        <x:v>421</x:v>
      </x:c>
      <x:c r="N4" s="90" t="s">
        <x:v>422</x:v>
      </x:c>
    </x:row>
    <x:row r="5" ht="43.20000076293945">
      <x:c r="A5" s="90" t="str">
        <x:v>Alta</x:v>
      </x:c>
      <x:c r="B5" s="90" t="str">
        <x:v>Plessis Luxury Residence</x:v>
      </x:c>
      <x:c r="C5" s="90" t="str">
        <x:v>Empreendimento</x:v>
      </x:c>
      <x:c r="D5" s="90" t="str">
        <x:v>Pechão, Olhão; vistas Ria Formosa/salinas</x:v>
      </x:c>
      <x:c r="E5" s="90" t="str">
        <x:v>T2, T3 e T4; penthouses</x:v>
      </x:c>
      <x:c r="F5" s="90" t="str">
        <x:v>473.000 €</x:v>
      </x:c>
      <x:c r="G5" s="90" t="str">
        <x:v>37 apartamentos; 90-247 m² publicados</x:v>
      </x:c>
      <x:c r="H5" s="90" t="str">
        <x:v>Premium regional / lifestyle</x:v>
      </x:c>
      <x:c r="I5" s="90" t="str">
        <x:v>B · Benchmark premium regional</x:v>
      </x:c>
      <x:c r="J5" s="91" t="n">
        <x:v>0.75</x:v>
      </x:c>
      <x:c r="K5" s="90" t="str">
        <x:v>Ativo</x:v>
      </x:c>
      <x:c r="L5" s="90" t="str">
        <x:v>Manter unidades reais no Dados; completar ABP/exterior quando fontes discriminarem áreas</x:v>
      </x:c>
      <x:c r="M5" s="90" t="str">
        <x:v>https://www.idealista.pt/empreendimento/35108138/</x:v>
      </x:c>
      <x:c r="N5" s="90" t="str">
        <x:v>Atualizado com oferta pública 2026. Bom benchmark premium regional, mas com localização inferior à Marina/Waterfront.</x:v>
      </x:c>
    </x:row>
    <x:row r="6" ht="43.20000076293945">
      <x:c r="A6" s="90" t="s">
        <x:v>368</x:v>
      </x:c>
      <x:c r="B6" s="90" t="s">
        <x:v>423</x:v>
      </x:c>
      <x:c r="C6" s="90" t="s">
        <x:v>424</x:v>
      </x:c>
      <x:c r="D6" s="90" t="s">
        <x:v>425</x:v>
      </x:c>
      <x:c r="E6" s="90" t="s">
        <x:v>426</x:v>
      </x:c>
      <x:c r="F6" s="90" t="s">
        <x:v>427</x:v>
      </x:c>
      <x:c r="G6" s="90" t="s">
        <x:v>428</x:v>
      </x:c>
      <x:c r="H6" s="90" t="s">
        <x:v>429</x:v>
      </x:c>
      <x:c r="I6" s="90" t="s">
        <x:v>419</x:v>
      </x:c>
      <x:c r="J6" s="91">
        <x:v>0.6</x:v>
      </x:c>
      <x:c r="K6" s="90" t="s">
        <x:v>402</x:v>
      </x:c>
      <x:c r="L6" s="90" t="s">
        <x:v>430</x:v>
      </x:c>
      <x:c r="M6" s="90" t="s">
        <x:v>412</x:v>
      </x:c>
      <x:c r="N6" s="90" t="s">
        <x:v>431</x:v>
      </x:c>
    </x:row>
    <x:row r="7" ht="57.599998474121094">
      <x:c r="A7" s="90" t="s">
        <x:v>368</x:v>
      </x:c>
      <x:c r="B7" s="90" t="s">
        <x:v>432</x:v>
      </x:c>
      <x:c r="C7" s="90" t="s">
        <x:v>433</x:v>
      </x:c>
      <x:c r="D7" s="90" t="s">
        <x:v>434</x:v>
      </x:c>
      <x:c r="E7" s="90" t="s">
        <x:v>435</x:v>
      </x:c>
      <x:c r="F7" s="90" t="s">
        <x:v>436</x:v>
      </x:c>
      <x:c r="G7" s="90" t="s">
        <x:v>433</x:v>
      </x:c>
      <x:c r="H7" s="90" t="s">
        <x:v>437</x:v>
      </x:c>
      <x:c r="I7" s="90" t="s">
        <x:v>419</x:v>
      </x:c>
      <x:c r="J7" s="91">
        <x:v>0.55000000000000004</x:v>
      </x:c>
      <x:c r="K7" s="90" t="s">
        <x:v>402</x:v>
      </x:c>
      <x:c r="L7" s="90" t="s">
        <x:v>438</x:v>
      </x:c>
      <x:c r="M7" s="90" t="s">
        <x:v>439</x:v>
      </x:c>
      <x:c r="N7" s="90" t="s">
        <x:v>440</x:v>
      </x:c>
    </x:row>
    <x:row r="8" ht="43.20000076293945">
      <x:c r="A8" s="90" t="s">
        <x:v>378</x:v>
      </x:c>
      <x:c r="B8" s="90" t="s">
        <x:v>441</x:v>
      </x:c>
      <x:c r="C8" s="90" t="s">
        <x:v>442</x:v>
      </x:c>
      <x:c r="D8" s="90" t="s">
        <x:v>443</x:v>
      </x:c>
      <x:c r="E8" s="90" t="s">
        <x:v>444</x:v>
      </x:c>
      <x:c r="F8" s="90" t="s">
        <x:v>445</x:v>
      </x:c>
      <x:c r="G8" s="90" t="s">
        <x:v>446</x:v>
      </x:c>
      <x:c r="H8" s="90" t="s">
        <x:v>447</x:v>
      </x:c>
      <x:c r="I8" s="90" t="s">
        <x:v>448</x:v>
      </x:c>
      <x:c r="J8" s="91">
        <x:v>0.45</x:v>
      </x:c>
      <x:c r="K8" s="90" t="s">
        <x:v>402</x:v>
      </x:c>
      <x:c r="L8" s="90" t="s">
        <x:v>449</x:v>
      </x:c>
      <x:c r="M8" s="90" t="s">
        <x:v>450</x:v>
      </x:c>
      <x:c r="N8" s="90" t="s">
        <x:v>451</x:v>
      </x:c>
    </x:row>
    <x:row r="9" ht="43.20000076293945">
      <x:c r="A9" s="90" t="s">
        <x:v>378</x:v>
      </x:c>
      <x:c r="B9" s="90" t="s">
        <x:v>452</x:v>
      </x:c>
      <x:c r="C9" s="90" t="s">
        <x:v>453</x:v>
      </x:c>
      <x:c r="D9" s="90" t="s">
        <x:v>454</x:v>
      </x:c>
      <x:c r="E9" s="90" t="s">
        <x:v>455</x:v>
      </x:c>
      <x:c r="F9" s="90" t="s">
        <x:v>456</x:v>
      </x:c>
      <x:c r="G9" s="90" t="s">
        <x:v>457</x:v>
      </x:c>
      <x:c r="H9" s="90" t="s">
        <x:v>458</x:v>
      </x:c>
      <x:c r="I9" s="90" t="s">
        <x:v>448</x:v>
      </x:c>
      <x:c r="J9" s="91">
        <x:v>0.35</x:v>
      </x:c>
      <x:c r="K9" s="90" t="s">
        <x:v>402</x:v>
      </x:c>
      <x:c r="L9" s="90" t="s">
        <x:v>459</x:v>
      </x:c>
      <x:c r="M9" s="90" t="s">
        <x:v>460</x:v>
      </x:c>
      <x:c r="N9" s="90" t="s">
        <x:v>461</x:v>
      </x:c>
    </x:row>
    <x:row r="10">
      <x:c r="A10" s="74" t="str">
        <x:v>Alta</x:v>
      </x:c>
      <x:c r="B10" s="74" t="str">
        <x:v>Prestige V</x:v>
      </x:c>
      <x:c r="C10" s="74" t="str">
        <x:v>Empreendimento</x:v>
      </x:c>
      <x:c r="D10" s="74" t="str">
        <x:v>Fuseta, a poucos metros da Ria Formosa</x:v>
      </x:c>
      <x:c r="E10" s="74" t="str">
        <x:v>T2 e T3</x:v>
      </x:c>
      <x:c r="F10" s="74" t="str">
        <x:v>605.850 €</x:v>
      </x:c>
      <x:c r="G10" s="74" t="str">
        <x:v>18 apartamentos + 6 moradias; apartamentos ~145-186 m² na leitura interior+exterior</x:v>
      </x:c>
      <x:c r="H10" s="74" t="str">
        <x:v>Premium Ria/lifestyle</x:v>
      </x:c>
      <x:c r="I10" s="74" t="str">
        <x:v>A · Benchmark estratégico</x:v>
      </x:c>
      <x:c r="J10" s="74" t="n">
        <x:v>0.85</x:v>
      </x:c>
      <x:c r="K10" s="74" t="str">
        <x:v>Ativo</x:v>
      </x:c>
      <x:c r="L10" s="74" t="str">
        <x:v>Manter apenas apartamentos T2/T3 comparáveis; rever preços e disponibilidade trimestralmente</x:v>
      </x:c>
      <x:c r="M10" s="74" t="str">
        <x:v>https://www.idealista.pt/imovel/35323572/empreendimento/35323517/</x:v>
      </x:c>
      <x:c r="N10" s="74" t="str">
        <x:v>Novo benchmark estratégico 2026. Produto premium com piscina privativa e proximidade à Ria; não é waterfront Marina de Olhão.</x:v>
      </x:c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</x:row>
  </x:sheetData>
  <x:conditionalFormatting sqref="A2:A9">
    <x:cfRule type="expression" dxfId="3" priority="1">
      <x:formula>$A2="Alta"</x:formula>
    </x:cfRule>
    <x:cfRule type="expression" dxfId="2" priority="2">
      <x:formula>$A2="Média"</x:formula>
    </x:cfRule>
    <x:cfRule type="expression" dxfId="1" priority="3">
      <x:formula>$A2="Baixa"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18" customWidth="1"/>
    <x:col min="2" max="2" width="36" customWidth="1"/>
    <x:col min="3" max="3" width="16" customWidth="1"/>
    <x:col min="4" max="4" width="14" customWidth="1"/>
    <x:col min="5" max="5" width="38" customWidth="1"/>
    <x:col min="6" max="6" width="28" customWidth="1"/>
  </x:cols>
  <x:sheetData>
    <x:row r="1" ht="28.799999237060547">
      <x:c r="A1" s="70" t="s">
        <x:v>462</x:v>
      </x:c>
      <x:c r="B1" s="70" t="s">
        <x:v>463</x:v>
      </x:c>
      <x:c r="C1" s="70" t="s">
        <x:v>464</x:v>
      </x:c>
      <x:c r="D1" s="70" t="s">
        <x:v>465</x:v>
      </x:c>
      <x:c r="E1" s="70" t="s">
        <x:v>466</x:v>
      </x:c>
      <x:c r="F1" s="70" t="s">
        <x:v>467</x:v>
      </x:c>
    </x:row>
    <x:row r="2" ht="28.799999237060547">
      <x:c r="A2" s="90" t="s">
        <x:v>385</x:v>
      </x:c>
      <x:c r="B2" s="90" t="s">
        <x:v>468</x:v>
      </x:c>
      <x:c r="C2" s="90">
        <x:v>1</x:v>
      </x:c>
      <x:c r="D2" s="90" t="s">
        <x:v>29</x:v>
      </x:c>
      <x:c r="E2" s="90" t="s">
        <x:v>469</x:v>
      </x:c>
      <x:c r="F2" s="90" t="s">
        <x:v>470</x:v>
      </x:c>
    </x:row>
    <x:row r="3" ht="28.799999237060547">
      <x:c r="A3" s="90" t="s">
        <x:v>385</x:v>
      </x:c>
      <x:c r="B3" s="90" t="s">
        <x:v>471</x:v>
      </x:c>
      <x:c r="C3" s="90">
        <x:v>0.7</x:v>
      </x:c>
      <x:c r="D3" s="90" t="s">
        <x:v>33</x:v>
      </x:c>
      <x:c r="E3" s="90" t="s">
        <x:v>472</x:v>
      </x:c>
      <x:c r="F3" s="90" t="s">
        <x:v>176</x:v>
      </x:c>
    </x:row>
    <x:row r="4" ht="28.799999237060547">
      <x:c r="A4" s="90" t="s">
        <x:v>385</x:v>
      </x:c>
      <x:c r="B4" s="90" t="s">
        <x:v>473</x:v>
      </x:c>
      <x:c r="C4" s="90">
        <x:v>0.35</x:v>
      </x:c>
      <x:c r="D4" s="90" t="s">
        <x:v>474</x:v>
      </x:c>
      <x:c r="E4" s="90" t="s">
        <x:v>475</x:v>
      </x:c>
      <x:c r="F4" s="90" t="s">
        <x:v>452</x:v>
      </x:c>
    </x:row>
    <x:row r="5">
      <x:c r="A5" s="90" t="s">
        <x:v>476</x:v>
      </x:c>
      <x:c r="B5" s="90" t="s">
        <x:v>477</x:v>
      </x:c>
      <x:c r="C5" s="90">
        <x:v>1</x:v>
      </x:c>
      <x:c r="D5" s="90" t="s">
        <x:v>478</x:v>
      </x:c>
      <x:c r="E5" s="90" t="s">
        <x:v>479</x:v>
      </x:c>
      <x:c r="F5" s="90" t="s">
        <x:v>480</x:v>
      </x:c>
    </x:row>
    <x:row r="6">
      <x:c r="A6" s="90" t="str">
        <x:v>Atualidade</x:v>
      </x:c>
      <x:c r="B6" s="90" t="str">
        <x:v>2024 ou dados históricos</x:v>
      </x:c>
      <x:c r="C6" s="90" t="n">
        <x:v>0.2</x:v>
      </x:c>
      <x:c r="D6" s="90" t="str">
        <x:v>C</x:v>
      </x:c>
      <x:c r="E6" s="90" t="str">
        <x:v>Manter para histórico/contexto; não deve puxar a recomendação atual sozinho.</x:v>
      </x:c>
      <x:c r="F6" s="90" t="str">
        <x:v>Dados 2024</x:v>
      </x:c>
    </x:row>
    <x:row r="7" ht="28.799999237060547">
      <x:c r="A7" s="90" t="s">
        <x:v>481</x:v>
      </x:c>
      <x:c r="B7" s="90" t="s">
        <x:v>482</x:v>
      </x:c>
      <x:c r="C7" s="90">
        <x:v>0.9</x:v>
      </x:c>
      <x:c r="D7" s="90" t="s">
        <x:v>478</x:v>
      </x:c>
      <x:c r="E7" s="90" t="s">
        <x:v>483</x:v>
      </x:c>
      <x:c r="F7" s="90" t="s">
        <x:v>484</x:v>
      </x:c>
    </x:row>
    <x:row r="8" ht="28.799999237060547">
      <x:c r="A8" s="90" t="s">
        <x:v>481</x:v>
      </x:c>
      <x:c r="B8" s="90" t="s">
        <x:v>485</x:v>
      </x:c>
      <x:c r="C8" s="90">
        <x:v>0.5</x:v>
      </x:c>
      <x:c r="D8" s="90" t="s">
        <x:v>486</x:v>
      </x:c>
      <x:c r="E8" s="90" t="s">
        <x:v>487</x:v>
      </x:c>
      <x:c r="F8" s="90" t="s">
        <x:v>488</x:v>
      </x:c>
    </x:row>
    <x:row r="9" ht="28.799999237060547">
      <x:c r="A9" s="90" t="s">
        <x:v>489</x:v>
      </x:c>
      <x:c r="B9" s="90" t="s">
        <x:v>490</x:v>
      </x:c>
      <x:c r="C9" s="90">
        <x:v>1</x:v>
      </x:c>
      <x:c r="D9" s="90" t="s">
        <x:v>478</x:v>
      </x:c>
      <x:c r="E9" s="90" t="s">
        <x:v>491</x:v>
      </x:c>
      <x:c r="F9" s="90" t="s">
        <x:v>492</x:v>
      </x:c>
    </x:row>
    <x:row r="10">
      <x:c r="A10" s="90" t="s">
        <x:v>489</x:v>
      </x:c>
      <x:c r="B10" s="90" t="s">
        <x:v>493</x:v>
      </x:c>
      <x:c r="C10" s="90">
        <x:v>0.4</x:v>
      </x:c>
      <x:c r="D10" s="90" t="s">
        <x:v>474</x:v>
      </x:c>
      <x:c r="E10" s="90" t="s">
        <x:v>494</x:v>
      </x:c>
      <x:c r="F10" s="90" t="s">
        <x:v>495</x:v>
      </x:c>
    </x:row>
    <x:row r="11">
      <x:c r="A11" s="74" t="str">
        <x:v>Atualidade</x:v>
      </x:c>
      <x:c r="B11" s="74" t="str">
        <x:v>2025</x:v>
      </x:c>
      <x:c r="C11" s="74" t="n">
        <x:v>0.6</x:v>
      </x:c>
      <x:c r="D11" s="74" t="str">
        <x:v>B/C</x:v>
      </x:c>
      <x:c r="E11" s="74" t="str">
        <x:v>Pode apoiar a leitura, mas abaixo de oferta ativa 2026.</x:v>
      </x:c>
      <x:c r="F11" s="74" t="str">
        <x:v>Registo validado de 2025</x:v>
      </x:c>
    </x:row>
    <x:row r="12">
      <x:c r="A12" s="74" t="str">
        <x:v>Compset 2026</x:v>
      </x:c>
      <x:c r="B12" s="74" t="str">
        <x:v>Del Mar Waterfront ativo</x:v>
      </x:c>
      <x:c r="C12" s="74" t="n">
        <x:v>1</x:v>
      </x:c>
      <x:c r="D12" s="74" t="str">
        <x:v>A</x:v>
      </x:c>
      <x:c r="E12" s="74" t="str">
        <x:v>Principal benchmark premium waterfront/marina.</x:v>
      </x:c>
      <x:c r="F12" s="74" t="str">
        <x:v>Del Mar</x:v>
      </x:c>
    </x:row>
    <x:row r="13">
      <x:c r="A13" s="74" t="str">
        <x:v>Compset 2026</x:v>
      </x:c>
      <x:c r="B13" s="74" t="str">
        <x:v>Prestige V</x:v>
      </x:c>
      <x:c r="C13" s="74" t="n">
        <x:v>0.85</x:v>
      </x:c>
      <x:c r="D13" s="74" t="str">
        <x:v>A</x:v>
      </x:c>
      <x:c r="E13" s="74" t="str">
        <x:v>Benchmark estratégico premium Ria/lifestyle.</x:v>
      </x:c>
      <x:c r="F13" s="74" t="str">
        <x:v>Prestige V</x:v>
      </x:c>
    </x:row>
    <x:row r="14">
      <x:c r="A14" s="74" t="str">
        <x:v>Compset 2026</x:v>
      </x:c>
      <x:c r="B14" s="74" t="str">
        <x:v>Plessis Luxury Residence</x:v>
      </x:c>
      <x:c r="C14" s="74" t="n">
        <x:v>0.75</x:v>
      </x:c>
      <x:c r="D14" s="74" t="str">
        <x:v>B</x:v>
      </x:c>
      <x:c r="E14" s="74" t="str">
        <x:v>Benchmark premium regional; localização menos direta.</x:v>
      </x:c>
      <x:c r="F14" s="74" t="str">
        <x:v>Plessis</x:v>
      </x:c>
    </x:row>
    <x:row r="15">
      <x:c r="A15" s="74" t="str">
        <x:v>Compset 2026</x:v>
      </x:c>
      <x:c r="B15" s="74" t="str">
        <x:v>Aura Living</x:v>
      </x:c>
      <x:c r="C15" s="74" t="n">
        <x:v>0.5</x:v>
      </x:c>
      <x:c r="D15" s="74" t="str">
        <x:v>B</x:v>
      </x:c>
      <x:c r="E15" s="74" t="str">
        <x:v>Benchmark complementar / piso inferior de mercado.</x:v>
      </x:c>
      <x:c r="F15" s="74" t="str">
        <x:v>Aura</x:v>
      </x:c>
    </x:row>
    <x:row r="16">
      <x:c r="A16" s="74" t="str">
        <x:v>Compset 2026</x:v>
      </x:c>
      <x:c r="B16" s="74" t="str">
        <x:v>Le Parc ativo</x:v>
      </x:c>
      <x:c r="C16" s="74" t="n">
        <x:v>0.35</x:v>
      </x:c>
      <x:c r="D16" s="74" t="str">
        <x:v>C</x:v>
      </x:c>
      <x:c r="E16" s="74" t="str">
        <x:v>Benchmark local secundário/contextual.</x:v>
      </x:c>
      <x:c r="F16" s="74" t="str">
        <x:v>Le Parc</x:v>
      </x:c>
    </x:row>
    <x:row r="17">
      <x:c r="A17" s="74"/>
      <x:c r="B17" s="74"/>
      <x:c r="C17" s="74"/>
      <x:c r="D17" s="74"/>
      <x:c r="E17" s="74"/>
      <x:c r="F17" s="74"/>
    </x:row>
    <x:row r="18">
      <x:c r="A18" s="74"/>
      <x:c r="B18" s="74"/>
      <x:c r="C18" s="74"/>
      <x:c r="D18" s="74"/>
      <x:c r="E18" s="74"/>
      <x:c r="F18" s="7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2" width="22" customWidth="1"/>
    <x:col min="3" max="3" width="9.33203125" customWidth="1"/>
    <x:col min="4" max="5" width="22" customWidth="1"/>
    <x:col min="6" max="6" width="3.21875" customWidth="1"/>
    <x:col min="7" max="7" width="13.5546875" customWidth="1"/>
    <x:col min="8" max="8" width="8.21875" customWidth="1"/>
    <x:col min="9" max="9" width="7.77734375" customWidth="1"/>
    <x:col min="10" max="10" width="12.33203125" customWidth="1"/>
    <x:col min="11" max="11" width="17.44140625" customWidth="1"/>
    <x:col min="12" max="12" width="17.6640625" customWidth="1"/>
    <x:col min="13" max="14" width="22" customWidth="1"/>
    <x:col min="15" max="15" width="38" customWidth="1"/>
    <x:col min="16" max="16" width="15.88671875" customWidth="1"/>
    <x:col min="17" max="18" width="22" customWidth="1"/>
    <x:col min="19" max="19" width="12.5546875" customWidth="1"/>
    <x:col min="20" max="21" width="9.33203125" customWidth="1"/>
    <x:col min="22" max="22" width="17.88671875" customWidth="1"/>
    <x:col min="23" max="23" width="13.77734375" customWidth="1"/>
    <x:col min="24" max="25" width="22" customWidth="1"/>
    <x:col min="26" max="27" width="38" customWidth="1"/>
    <x:col min="28" max="28" width="22" customWidth="1"/>
    <x:col min="30" max="30" width="6" customWidth="1"/>
    <x:col min="31" max="31" width="62" customWidth="1"/>
  </x:cols>
  <x:sheetData>
    <x:row r="1" ht="24" customHeight="1">
      <x:c r="A1" s="70" t="s">
        <x:v>0</x:v>
      </x:c>
      <x:c r="B1" s="70" t="s">
        <x:v>1</x:v>
      </x:c>
      <x:c r="C1" s="70" t="s">
        <x:v>2</x:v>
      </x:c>
      <x:c r="D1" s="70" t="s">
        <x:v>3</x:v>
      </x:c>
      <x:c r="E1" s="70" t="s">
        <x:v>4</x:v>
      </x:c>
      <x:c r="F1" s="70" t="s">
        <x:v>5</x:v>
      </x:c>
      <x:c r="G1" s="70" t="s">
        <x:v>6</x:v>
      </x:c>
      <x:c r="H1" s="70" t="s">
        <x:v>7</x:v>
      </x:c>
      <x:c r="I1" s="70" t="s">
        <x:v>8</x:v>
      </x:c>
      <x:c r="J1" s="70" t="s">
        <x:v>9</x:v>
      </x:c>
      <x:c r="K1" s="70" t="s">
        <x:v>10</x:v>
      </x:c>
      <x:c r="L1" s="70" t="s">
        <x:v>11</x:v>
      </x:c>
      <x:c r="M1" s="70" t="s">
        <x:v>12</x:v>
      </x:c>
      <x:c r="N1" s="70" t="s">
        <x:v>13</x:v>
      </x:c>
      <x:c r="O1" s="70" t="s">
        <x:v>14</x:v>
      </x:c>
      <x:c r="P1" s="70" t="s">
        <x:v>15</x:v>
      </x:c>
      <x:c r="Q1" s="70" t="s">
        <x:v>16</x:v>
      </x:c>
      <x:c r="R1" s="70" t="s">
        <x:v>17</x:v>
      </x:c>
      <x:c r="S1" s="70" t="s">
        <x:v>18</x:v>
      </x:c>
      <x:c r="T1" s="70" t="s">
        <x:v>19</x:v>
      </x:c>
      <x:c r="U1" s="70" t="s">
        <x:v>20</x:v>
      </x:c>
      <x:c r="V1" s="70" t="s">
        <x:v>21</x:v>
      </x:c>
      <x:c r="W1" s="70" t="s">
        <x:v>22</x:v>
      </x:c>
      <x:c r="X1" s="70" t="s">
        <x:v>23</x:v>
      </x:c>
      <x:c r="Y1" s="70" t="s">
        <x:v>24</x:v>
      </x:c>
      <x:c r="Z1" s="70" t="s">
        <x:v>25</x:v>
      </x:c>
      <x:c r="AA1" s="70" t="s">
        <x:v>26</x:v>
      </x:c>
      <x:c r="AB1" s="70" t="s">
        <x:v>27</x:v>
      </x:c>
      <x:c r="AD1" s="29" t="s">
        <x:v>496</x:v>
      </x:c>
      <x:c r="AE1" s="29"/>
      <x:c r="AF1" s="29"/>
      <x:c r="AG1" s="29"/>
      <x:c r="AH1" s="29"/>
    </x:row>
    <x:row r="2" ht="43.20000076293945">
      <x:c r="A2" s="94" t="s">
        <x:v>396</x:v>
      </x:c>
      <x:c r="B2" s="94" t="s">
        <x:v>497</x:v>
      </x:c>
      <x:c r="C2" s="94" t="s">
        <x:v>428</x:v>
      </x:c>
      <x:c r="D2" s="94" t="s">
        <x:v>498</x:v>
      </x:c>
      <x:c r="E2" s="94" t="s">
        <x:v>499</x:v>
      </x:c>
      <x:c r="F2" s="94"/>
      <x:c r="G2" s="94"/>
      <x:c r="H2" s="94"/>
      <x:c r="I2" s="95">
        <x:v>690000</x:v>
      </x:c>
      <x:c r="J2" s="94">
        <x:v>2026</x:v>
      </x:c>
      <x:c r="K2" s="95" t="str">
        <x:f t="shared" ref="K2:K9" si="0">IF(OR(F2="",I2=""),"",I2/F2)</x:f>
      </x:c>
      <x:c r="L2" s="95" t="str">
        <x:f t="shared" ref="L2:L9" si="1">IF(OR(H2="",I2=""),"",I2/H2)</x:f>
      </x:c>
      <x:c r="M2" s="94" t="s">
        <x:v>500</x:v>
      </x:c>
      <x:c r="N2" s="94" t="s">
        <x:v>501</x:v>
      </x:c>
      <x:c r="O2" s="94" t="s">
        <x:v>404</x:v>
      </x:c>
      <x:c r="P2" s="96">
        <x:v>46149</x:v>
      </x:c>
      <x:c r="Q2" s="94" t="s">
        <x:v>238</x:v>
      </x:c>
      <x:c r="R2" s="94" t="s">
        <x:v>32</x:v>
      </x:c>
      <x:c r="S2" s="94"/>
      <x:c r="T2" s="94" t="s">
        <x:v>502</x:v>
      </x:c>
      <x:c r="U2" s="94" t="s">
        <x:v>502</x:v>
      </x:c>
      <x:c r="V2" s="94"/>
      <x:c r="W2" s="97">
        <x:v>0.95</x:v>
      </x:c>
      <x:c r="X2" s="94" t="s">
        <x:v>401</x:v>
      </x:c>
      <x:c r="Y2" s="94" t="s">
        <x:v>368</x:v>
      </x:c>
      <x:c r="Z2" s="94" t="s">
        <x:v>503</x:v>
      </x:c>
      <x:c r="AA2" s="94" t="s">
        <x:v>504</x:v>
      </x:c>
      <x:c r="AB2" s="94" t="s">
        <x:v>358</x:v>
      </x:c>
      <x:c r="AD2" s="12" t="s">
        <x:v>505</x:v>
      </x:c>
      <x:c r="AE2" s="12" t="s">
        <x:v>506</x:v>
      </x:c>
    </x:row>
    <x:row r="3" ht="43.20000076293945">
      <x:c r="A3" s="94" t="s">
        <x:v>406</x:v>
      </x:c>
      <x:c r="B3" s="94" t="s">
        <x:v>507</x:v>
      </x:c>
      <x:c r="C3" s="94" t="s">
        <x:v>428</x:v>
      </x:c>
      <x:c r="D3" s="94" t="s">
        <x:v>508</x:v>
      </x:c>
      <x:c r="E3" s="94" t="s">
        <x:v>509</x:v>
      </x:c>
      <x:c r="F3" s="94"/>
      <x:c r="G3" s="94"/>
      <x:c r="H3" s="94"/>
      <x:c r="I3" s="95">
        <x:v>720000</x:v>
      </x:c>
      <x:c r="J3" s="94">
        <x:v>2026</x:v>
      </x:c>
      <x:c r="K3" s="95" t="str">
        <x:f t="shared" si="0"/>
      </x:c>
      <x:c r="L3" s="95" t="str">
        <x:f t="shared" si="1"/>
      </x:c>
      <x:c r="M3" s="94" t="s">
        <x:v>500</x:v>
      </x:c>
      <x:c r="N3" s="94" t="s">
        <x:v>510</x:v>
      </x:c>
      <x:c r="O3" s="94" t="s">
        <x:v>412</x:v>
      </x:c>
      <x:c r="P3" s="96">
        <x:v>46149</x:v>
      </x:c>
      <x:c r="Q3" s="94" t="s">
        <x:v>238</x:v>
      </x:c>
      <x:c r="R3" s="94" t="s">
        <x:v>32</x:v>
      </x:c>
      <x:c r="S3" s="94"/>
      <x:c r="T3" s="94" t="s">
        <x:v>502</x:v>
      </x:c>
      <x:c r="U3" s="94" t="s">
        <x:v>502</x:v>
      </x:c>
      <x:c r="V3" s="94"/>
      <x:c r="W3" s="97">
        <x:v>0.9</x:v>
      </x:c>
      <x:c r="X3" s="94" t="s">
        <x:v>401</x:v>
      </x:c>
      <x:c r="Y3" s="94" t="s">
        <x:v>368</x:v>
      </x:c>
      <x:c r="Z3" s="94" t="s">
        <x:v>511</x:v>
      </x:c>
      <x:c r="AA3" s="94" t="s">
        <x:v>512</x:v>
      </x:c>
      <x:c r="AB3" s="94" t="s">
        <x:v>358</x:v>
      </x:c>
      <x:c r="AD3" s="12" t="s">
        <x:v>513</x:v>
      </x:c>
      <x:c r="AE3" s="12" t="s">
        <x:v>514</x:v>
      </x:c>
    </x:row>
    <x:row r="4" ht="28.799999237060547">
      <x:c r="A4" s="94" t="s">
        <x:v>176</x:v>
      </x:c>
      <x:c r="B4" s="94" t="s">
        <x:v>515</x:v>
      </x:c>
      <x:c r="C4" s="94" t="s">
        <x:v>428</x:v>
      </x:c>
      <x:c r="D4" s="94" t="s">
        <x:v>516</x:v>
      </x:c>
      <x:c r="E4" s="94" t="s">
        <x:v>428</x:v>
      </x:c>
      <x:c r="F4" s="94"/>
      <x:c r="G4" s="94"/>
      <x:c r="H4" s="94"/>
      <x:c r="I4" s="95">
        <x:v>535500</x:v>
      </x:c>
      <x:c r="J4" s="94">
        <x:v>2026</x:v>
      </x:c>
      <x:c r="K4" s="95" t="str">
        <x:f t="shared" si="0"/>
      </x:c>
      <x:c r="L4" s="95" t="str">
        <x:f t="shared" si="1"/>
      </x:c>
      <x:c r="M4" s="94" t="s">
        <x:v>500</x:v>
      </x:c>
      <x:c r="N4" s="94" t="s">
        <x:v>510</x:v>
      </x:c>
      <x:c r="O4" s="94" t="s">
        <x:v>421</x:v>
      </x:c>
      <x:c r="P4" s="96">
        <x:v>46149</x:v>
      </x:c>
      <x:c r="Q4" s="94" t="s">
        <x:v>418</x:v>
      </x:c>
      <x:c r="R4" s="94" t="s">
        <x:v>32</x:v>
      </x:c>
      <x:c r="S4" s="94"/>
      <x:c r="T4" s="94" t="s">
        <x:v>502</x:v>
      </x:c>
      <x:c r="U4" s="94" t="s">
        <x:v>502</x:v>
      </x:c>
      <x:c r="V4" s="94">
        <x:v>300</x:v>
      </x:c>
      <x:c r="W4" s="97">
        <x:v>0.75</x:v>
      </x:c>
      <x:c r="X4" s="94" t="s">
        <x:v>419</x:v>
      </x:c>
      <x:c r="Y4" s="94" t="s">
        <x:v>368</x:v>
      </x:c>
      <x:c r="Z4" s="94" t="s">
        <x:v>517</x:v>
      </x:c>
      <x:c r="AA4" s="94" t="s">
        <x:v>518</x:v>
      </x:c>
      <x:c r="AB4" s="94" t="s">
        <x:v>358</x:v>
      </x:c>
      <x:c r="AD4" s="12" t="s">
        <x:v>519</x:v>
      </x:c>
      <x:c r="AE4" s="12" t="s">
        <x:v>520</x:v>
      </x:c>
    </x:row>
    <x:row r="5" ht="43.20000076293945">
      <x:c r="A5" s="94" t="str">
        <x:v>Plessis Luxury Residence</x:v>
      </x:c>
      <x:c r="B5" s="94" t="str">
        <x:v>CAND-004</x:v>
      </x:c>
      <x:c r="C5" s="94" t="str">
        <x:v>R/C a 2</x:v>
      </x:c>
      <x:c r="D5" s="94" t="str">
        <x:v>T2 / T3 / T4</x:v>
      </x:c>
      <x:c r="E5" s="94" t="str">
        <x:v>Ria Formosa / salinas</x:v>
      </x:c>
      <x:c r="F5" s="94"/>
      <x:c r="G5" s="94"/>
      <x:c r="H5" s="94"/>
      <x:c r="I5" s="95" t="n">
        <x:v>473000</x:v>
      </x:c>
      <x:c r="J5" s="94" t="n">
        <x:v>2026</x:v>
      </x:c>
      <x:c r="K5" s="95">
        <x:f t="shared" si="0"/>
      </x:c>
      <x:c r="L5" s="95">
        <x:f t="shared" si="1"/>
      </x:c>
      <x:c r="M5" s="94" t="str">
        <x:v>Candidato / Ativo</x:v>
      </x:c>
      <x:c r="N5" s="94" t="str">
        <x:v>Idealista</x:v>
      </x:c>
      <x:c r="O5" s="94" t="str">
        <x:v>https://www.idealista.pt/empreendimento/35108138/</x:v>
      </x:c>
      <x:c r="P5" s="98" t="n">
        <x:v>46295</x:v>
      </x:c>
      <x:c r="Q5" s="94" t="str">
        <x:v>Premium regional / lifestyle</x:v>
      </x:c>
      <x:c r="R5" s="94" t="str">
        <x:v>Nova construção</x:v>
      </x:c>
      <x:c r="S5" s="94" t="n">
        <x:v>2026</x:v>
      </x:c>
      <x:c r="T5" s="94" t="str">
        <x:v>Sim</x:v>
      </x:c>
      <x:c r="U5" s="94" t="str">
        <x:v>Sim</x:v>
      </x:c>
      <x:c r="V5" s="94"/>
      <x:c r="W5" s="97" t="n">
        <x:v>0.75</x:v>
      </x:c>
      <x:c r="X5" s="94" t="str">
        <x:v>B · Benchmark premium regional</x:v>
      </x:c>
      <x:c r="Y5" s="94" t="str">
        <x:v>Média</x:v>
      </x:c>
      <x:c r="Z5" s="94" t="str">
        <x:v>Já existem unidades reais adicionadas à folha Dados; várias fontes só publicam área bruta total.</x:v>
      </x:c>
      <x:c r="AA5" s="94" t="str">
        <x:v>Completar ABP/exterior por fração quando houver ficha técnica pública.</x:v>
      </x:c>
      <x:c r="AB5" s="94" t="str">
        <x:v>Média</x:v>
      </x:c>
      <x:c r="AD5" s="12" t="s">
        <x:v>521</x:v>
      </x:c>
      <x:c r="AE5" s="12" t="s">
        <x:v>522</x:v>
      </x:c>
    </x:row>
    <x:row r="6" ht="43.20000076293945">
      <x:c r="A6" s="94" t="s">
        <x:v>423</x:v>
      </x:c>
      <x:c r="B6" s="94" t="s">
        <x:v>523</x:v>
      </x:c>
      <x:c r="C6" s="94" t="s">
        <x:v>428</x:v>
      </x:c>
      <x:c r="D6" s="94" t="s">
        <x:v>524</x:v>
      </x:c>
      <x:c r="E6" s="94" t="s">
        <x:v>428</x:v>
      </x:c>
      <x:c r="F6" s="94"/>
      <x:c r="G6" s="94"/>
      <x:c r="H6" s="94"/>
      <x:c r="I6" s="95">
        <x:v>415000</x:v>
      </x:c>
      <x:c r="J6" s="94">
        <x:v>2026</x:v>
      </x:c>
      <x:c r="K6" s="95" t="str">
        <x:f t="shared" si="0"/>
      </x:c>
      <x:c r="L6" s="95" t="str">
        <x:f t="shared" si="1"/>
      </x:c>
      <x:c r="M6" s="94" t="s">
        <x:v>525</x:v>
      </x:c>
      <x:c r="N6" s="94" t="s">
        <x:v>510</x:v>
      </x:c>
      <x:c r="O6" s="94" t="s">
        <x:v>412</x:v>
      </x:c>
      <x:c r="P6" s="98">
        <x:v>46149</x:v>
      </x:c>
      <x:c r="Q6" s="94" t="s">
        <x:v>429</x:v>
      </x:c>
      <x:c r="R6" s="94" t="s">
        <x:v>32</x:v>
      </x:c>
      <x:c r="S6" s="94"/>
      <x:c r="T6" s="94" t="s">
        <x:v>428</x:v>
      </x:c>
      <x:c r="U6" s="94" t="s">
        <x:v>428</x:v>
      </x:c>
      <x:c r="V6" s="94"/>
      <x:c r="W6" s="97">
        <x:v>0.6</x:v>
      </x:c>
      <x:c r="X6" s="94" t="s">
        <x:v>419</x:v>
      </x:c>
      <x:c r="Y6" s="94" t="s">
        <x:v>378</x:v>
      </x:c>
      <x:c r="Z6" s="94" t="s">
        <x:v>526</x:v>
      </x:c>
      <x:c r="AA6" s="94" t="s">
        <x:v>527</x:v>
      </x:c>
      <x:c r="AB6" s="94" t="s">
        <x:v>368</x:v>
      </x:c>
      <x:c r="AD6" s="12" t="s">
        <x:v>528</x:v>
      </x:c>
      <x:c r="AE6" s="12" t="s">
        <x:v>529</x:v>
      </x:c>
    </x:row>
    <x:row r="7" ht="43.20000076293945">
      <x:c r="A7" s="94" t="s">
        <x:v>432</x:v>
      </x:c>
      <x:c r="B7" s="94" t="s">
        <x:v>530</x:v>
      </x:c>
      <x:c r="C7" s="94" t="s">
        <x:v>428</x:v>
      </x:c>
      <x:c r="D7" s="94" t="s">
        <x:v>531</x:v>
      </x:c>
      <x:c r="E7" s="94" t="s">
        <x:v>532</x:v>
      </x:c>
      <x:c r="F7" s="94"/>
      <x:c r="G7" s="94"/>
      <x:c r="H7" s="94"/>
      <x:c r="I7" s="95">
        <x:v>335000</x:v>
      </x:c>
      <x:c r="J7" s="94">
        <x:v>2026</x:v>
      </x:c>
      <x:c r="K7" s="95" t="str">
        <x:f t="shared" si="0"/>
      </x:c>
      <x:c r="L7" s="95" t="str">
        <x:f t="shared" si="1"/>
      </x:c>
      <x:c r="M7" s="94" t="s">
        <x:v>533</x:v>
      </x:c>
      <x:c r="N7" s="94" t="s">
        <x:v>501</x:v>
      </x:c>
      <x:c r="O7" s="94" t="s">
        <x:v>439</x:v>
      </x:c>
      <x:c r="P7" s="98">
        <x:v>46149</x:v>
      </x:c>
      <x:c r="Q7" s="94" t="s">
        <x:v>437</x:v>
      </x:c>
      <x:c r="R7" s="94" t="s">
        <x:v>534</x:v>
      </x:c>
      <x:c r="S7" s="94"/>
      <x:c r="T7" s="94" t="s">
        <x:v>428</x:v>
      </x:c>
      <x:c r="U7" s="94" t="s">
        <x:v>428</x:v>
      </x:c>
      <x:c r="V7" s="94"/>
      <x:c r="W7" s="97">
        <x:v>0.55000000000000004</x:v>
      </x:c>
      <x:c r="X7" s="94" t="s">
        <x:v>419</x:v>
      </x:c>
      <x:c r="Y7" s="94" t="s">
        <x:v>378</x:v>
      </x:c>
      <x:c r="Z7" s="94" t="s">
        <x:v>535</x:v>
      </x:c>
      <x:c r="AA7" s="94" t="s">
        <x:v>536</x:v>
      </x:c>
      <x:c r="AB7" s="94" t="s">
        <x:v>368</x:v>
      </x:c>
      <x:c r="AD7" s="12" t="s">
        <x:v>537</x:v>
      </x:c>
      <x:c r="AE7" s="12" t="s">
        <x:v>538</x:v>
      </x:c>
    </x:row>
    <x:row r="8" ht="43.20000076293945">
      <x:c r="A8" s="94" t="s">
        <x:v>441</x:v>
      </x:c>
      <x:c r="B8" s="94" t="s">
        <x:v>539</x:v>
      </x:c>
      <x:c r="C8" s="94" t="s">
        <x:v>428</x:v>
      </x:c>
      <x:c r="D8" s="94" t="s">
        <x:v>428</x:v>
      </x:c>
      <x:c r="E8" s="94" t="s">
        <x:v>428</x:v>
      </x:c>
      <x:c r="F8" s="94"/>
      <x:c r="G8" s="94"/>
      <x:c r="H8" s="94"/>
      <x:c r="I8" s="95">
        <x:v>335000</x:v>
      </x:c>
      <x:c r="J8" s="94">
        <x:v>2026</x:v>
      </x:c>
      <x:c r="K8" s="95" t="str">
        <x:f t="shared" si="0"/>
      </x:c>
      <x:c r="L8" s="95" t="str">
        <x:f t="shared" si="1"/>
      </x:c>
      <x:c r="M8" s="94" t="s">
        <x:v>500</x:v>
      </x:c>
      <x:c r="N8" s="94" t="s">
        <x:v>501</x:v>
      </x:c>
      <x:c r="O8" s="94" t="s">
        <x:v>450</x:v>
      </x:c>
      <x:c r="P8" s="98">
        <x:v>46149</x:v>
      </x:c>
      <x:c r="Q8" s="94" t="s">
        <x:v>447</x:v>
      </x:c>
      <x:c r="R8" s="94" t="s">
        <x:v>540</x:v>
      </x:c>
      <x:c r="S8" s="94"/>
      <x:c r="T8" s="94" t="s">
        <x:v>428</x:v>
      </x:c>
      <x:c r="U8" s="94" t="s">
        <x:v>428</x:v>
      </x:c>
      <x:c r="V8" s="94"/>
      <x:c r="W8" s="97">
        <x:v>0.45</x:v>
      </x:c>
      <x:c r="X8" s="94" t="s">
        <x:v>448</x:v>
      </x:c>
      <x:c r="Y8" s="94" t="s">
        <x:v>378</x:v>
      </x:c>
      <x:c r="Z8" s="94" t="s">
        <x:v>541</x:v>
      </x:c>
      <x:c r="AA8" s="94" t="s">
        <x:v>542</x:v>
      </x:c>
      <x:c r="AB8" s="94" t="s">
        <x:v>378</x:v>
      </x:c>
    </x:row>
    <x:row r="9" ht="43.20000076293945">
      <x:c r="A9" s="94" t="s">
        <x:v>452</x:v>
      </x:c>
      <x:c r="B9" s="94" t="s">
        <x:v>543</x:v>
      </x:c>
      <x:c r="C9" s="94" t="s">
        <x:v>428</x:v>
      </x:c>
      <x:c r="D9" s="94" t="s">
        <x:v>544</x:v>
      </x:c>
      <x:c r="E9" s="94" t="s">
        <x:v>545</x:v>
      </x:c>
      <x:c r="F9" s="94"/>
      <x:c r="G9" s="94"/>
      <x:c r="H9" s="94"/>
      <x:c r="I9" s="95">
        <x:v>860000</x:v>
      </x:c>
      <x:c r="J9" s="94">
        <x:v>2026</x:v>
      </x:c>
      <x:c r="K9" s="95" t="str">
        <x:f t="shared" si="0"/>
      </x:c>
      <x:c r="L9" s="95" t="str">
        <x:f t="shared" si="1"/>
      </x:c>
      <x:c r="M9" s="94" t="s">
        <x:v>546</x:v>
      </x:c>
      <x:c r="N9" s="94" t="s">
        <x:v>501</x:v>
      </x:c>
      <x:c r="O9" s="94" t="s">
        <x:v>460</x:v>
      </x:c>
      <x:c r="P9" s="98">
        <x:v>46149</x:v>
      </x:c>
      <x:c r="Q9" s="94" t="s">
        <x:v>458</x:v>
      </x:c>
      <x:c r="R9" s="94" t="s">
        <x:v>32</x:v>
      </x:c>
      <x:c r="S9" s="94"/>
      <x:c r="T9" s="94" t="s">
        <x:v>502</x:v>
      </x:c>
      <x:c r="U9" s="94" t="s">
        <x:v>502</x:v>
      </x:c>
      <x:c r="V9" s="94"/>
      <x:c r="W9" s="97">
        <x:v>0.35</x:v>
      </x:c>
      <x:c r="X9" s="94" t="s">
        <x:v>448</x:v>
      </x:c>
      <x:c r="Y9" s="94" t="s">
        <x:v>378</x:v>
      </x:c>
      <x:c r="Z9" s="94" t="s">
        <x:v>547</x:v>
      </x:c>
      <x:c r="AA9" s="94" t="s">
        <x:v>548</x:v>
      </x:c>
      <x:c r="AB9" s="94" t="s">
        <x:v>378</x:v>
      </x:c>
    </x:row>
    <x:row r="10">
      <x:c r="A10" s="74" t="str">
        <x:v>Prestige V</x:v>
      </x:c>
      <x:c r="B10" s="74" t="str">
        <x:v>CAND-009</x:v>
      </x:c>
      <x:c r="C10" s="74" t="n">
        <x:v>1</x:v>
      </x:c>
      <x:c r="D10" s="74" t="str">
        <x:v>T2 / T3</x:v>
      </x:c>
      <x:c r="E10" s="74" t="str">
        <x:v>Ria Formosa / Fuseta</x:v>
      </x:c>
      <x:c r="F10" s="74"/>
      <x:c r="G10" s="74"/>
      <x:c r="H10" s="74"/>
      <x:c r="I10" s="74" t="n">
        <x:v>605850</x:v>
      </x:c>
      <x:c r="J10" s="74" t="n">
        <x:v>2026</x:v>
      </x:c>
      <x:c r="K10" s="74"/>
      <x:c r="L10" s="74"/>
      <x:c r="M10" s="74" t="str">
        <x:v>Candidato / Ativo</x:v>
      </x:c>
      <x:c r="N10" s="74" t="str">
        <x:v>Idealista / CasaCerta</x:v>
      </x:c>
      <x:c r="O10" s="74" t="str">
        <x:v>https://www.idealista.pt/imovel/35323572/empreendimento/35323517/</x:v>
      </x:c>
      <x:c r="P10" s="75" t="n">
        <x:v>46295</x:v>
      </x:c>
      <x:c r="Q10" s="74" t="str">
        <x:v>Premium Ria/lifestyle</x:v>
      </x:c>
      <x:c r="R10" s="74" t="str">
        <x:v>Nova construção</x:v>
      </x:c>
      <x:c r="S10" s="74" t="n">
        <x:v>2027</x:v>
      </x:c>
      <x:c r="T10" s="74" t="str">
        <x:v>Sim</x:v>
      </x:c>
      <x:c r="U10" s="74" t="str">
        <x:v>Sim</x:v>
      </x:c>
      <x:c r="V10" s="74"/>
      <x:c r="W10" s="74" t="n">
        <x:v>0.85</x:v>
      </x:c>
      <x:c r="X10" s="74" t="str">
        <x:v>A · Benchmark estratégico</x:v>
      </x:c>
      <x:c r="Y10" s="74" t="str">
        <x:v>Alta</x:v>
      </x:c>
      <x:c r="Z10" s="74" t="str">
        <x:v>Unidades T2/T3 ativas já adicionadas à folha Dados com fontes individuais.</x:v>
      </x:c>
      <x:c r="AA10" s="74" t="str">
        <x:v>Revalidar disponibilidade/preço e, quando possível, fração oficial/orientação.</x:v>
      </x:c>
      <x:c r="AB10" s="74" t="str">
        <x:v>Média</x:v>
      </x:c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  <x:c r="AA11" s="74"/>
      <x:c r="AB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  <x:c r="AB12" s="74"/>
    </x:row>
  </x:sheetData>
  <x:mergeCells>
    <x:mergeCell ref="AD1:AH1"/>
  </x:mergeCells>
  <x:dataValidations count="3">
    <x:dataValidation type="list" sqref="M2:M9">
      <x:formula1>"Candidato / Ativo,Candidato / A validar,Candidato / Listagens individuais,Candidato / Estratégico,Ativo,Histórico"</x:formula1>
    </x:dataValidation>
    <x:dataValidation type="list" sqref="X2:X9">
      <x:formula1>"A · Premium ativo,B · Benchmark local,C · Histórico/secundário"</x:formula1>
    </x:dataValidation>
    <x:dataValidation type="list" sqref="AB2:AB9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d12b1102d3489e"/>
  </x:tableParts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12" customWidth="1"/>
    <x:col min="2" max="2" width="14" customWidth="1"/>
    <x:col min="3" max="3" width="18" customWidth="1"/>
    <x:col min="4" max="4" width="16" customWidth="1"/>
    <x:col min="5" max="5" width="22" customWidth="1"/>
    <x:col min="6" max="6" width="12" customWidth="1"/>
    <x:col min="7" max="9" width="13" customWidth="1"/>
    <x:col min="10" max="10" width="22" customWidth="1"/>
    <x:col min="11" max="11" width="42" customWidth="1"/>
    <x:col min="12" max="12" width="62" customWidth="1"/>
  </x:cols>
  <x:sheetData>
    <x:row r="1" ht="28.799999237060547">
      <x:c r="A1" s="20" t="s">
        <x:v>549</x:v>
      </x:c>
      <x:c r="B1" s="20" t="s">
        <x:v>13</x:v>
      </x:c>
      <x:c r="C1" s="20" t="s">
        <x:v>550</x:v>
      </x:c>
      <x:c r="D1" s="20" t="s">
        <x:v>385</x:v>
      </x:c>
      <x:c r="E1" s="20" t="s">
        <x:v>16</x:v>
      </x:c>
      <x:c r="F1" s="20" t="s">
        <x:v>551</x:v>
      </x:c>
      <x:c r="G1" s="20" t="s">
        <x:v>552</x:v>
      </x:c>
      <x:c r="H1" s="20" t="s">
        <x:v>553</x:v>
      </x:c>
      <x:c r="I1" s="20" t="s">
        <x:v>554</x:v>
      </x:c>
      <x:c r="J1" s="20" t="s">
        <x:v>555</x:v>
      </x:c>
      <x:c r="K1" s="20" t="s">
        <x:v>556</x:v>
      </x:c>
      <x:c r="L1" s="20" t="s">
        <x:v>14</x:v>
      </x:c>
    </x:row>
    <x:row r="2" ht="28.799999237060547">
      <x:c r="A2" s="12" t="s">
        <x:v>557</x:v>
      </x:c>
      <x:c r="B2" s="12" t="s">
        <x:v>501</x:v>
      </x:c>
      <x:c r="C2" s="12" t="s">
        <x:v>558</x:v>
      </x:c>
      <x:c r="D2" s="12" t="s">
        <x:v>559</x:v>
      </x:c>
      <x:c r="E2" s="12" t="s">
        <x:v>560</x:v>
      </x:c>
      <x:c r="F2" s="21">
        <x:v>3121</x:v>
      </x:c>
      <x:c r="G2" s="22">
        <x:v>5.0000000000000001E-3</x:v>
      </x:c>
      <x:c r="H2" s="22">
        <x:v>2.4E-2</x:v>
      </x:c>
      <x:c r="I2" s="22">
        <x:v>0.108</x:v>
      </x:c>
      <x:c r="J2" s="12" t="s">
        <x:v>561</x:v>
      </x:c>
      <x:c r="K2" s="12" t="s">
        <x:v>562</x:v>
      </x:c>
      <x:c r="L2" s="12" t="s">
        <x:v>563</x:v>
      </x:c>
    </x:row>
    <x:row r="3" ht="28.799999237060547">
      <x:c r="A3" s="12" t="s">
        <x:v>557</x:v>
      </x:c>
      <x:c r="B3" s="12" t="s">
        <x:v>501</x:v>
      </x:c>
      <x:c r="C3" s="12" t="s">
        <x:v>558</x:v>
      </x:c>
      <x:c r="D3" s="12" t="s">
        <x:v>564</x:v>
      </x:c>
      <x:c r="E3" s="12" t="s">
        <x:v>565</x:v>
      </x:c>
      <x:c r="F3" s="21">
        <x:v>4009</x:v>
      </x:c>
      <x:c r="G3" s="22">
        <x:v>5.0000000000000001E-3</x:v>
      </x:c>
      <x:c r="H3" s="22">
        <x:v>2.8000000000000001E-2</x:v>
      </x:c>
      <x:c r="I3" s="22">
        <x:v>0.109</x:v>
      </x:c>
      <x:c r="J3" s="12" t="s">
        <x:v>566</x:v>
      </x:c>
      <x:c r="K3" s="12" t="s">
        <x:v>567</x:v>
      </x:c>
      <x:c r="L3" s="12" t="s">
        <x:v>568</x:v>
      </x:c>
    </x:row>
    <x:row r="4" ht="28.799999237060547">
      <x:c r="A4" s="12" t="s">
        <x:v>557</x:v>
      </x:c>
      <x:c r="B4" s="12" t="s">
        <x:v>501</x:v>
      </x:c>
      <x:c r="C4" s="12" t="s">
        <x:v>558</x:v>
      </x:c>
      <x:c r="D4" s="12" t="s">
        <x:v>425</x:v>
      </x:c>
      <x:c r="E4" s="12" t="s">
        <x:v>569</x:v>
      </x:c>
      <x:c r="F4" s="21">
        <x:v>3261</x:v>
      </x:c>
      <x:c r="G4" s="22">
        <x:v>1.6E-2</x:v>
      </x:c>
      <x:c r="H4" s="22">
        <x:v>2.7E-2</x:v>
      </x:c>
      <x:c r="I4" s="22">
        <x:v>9.7000000000000003E-2</x:v>
      </x:c>
      <x:c r="J4" s="12" t="s">
        <x:v>178</x:v>
      </x:c>
      <x:c r="K4" s="12" t="s">
        <x:v>570</x:v>
      </x:c>
      <x:c r="L4" s="12" t="s">
        <x:v>571</x:v>
      </x:c>
    </x:row>
    <x:row r="5" ht="43.20000076293945">
      <x:c r="A5" s="12" t="s">
        <x:v>572</x:v>
      </x:c>
      <x:c r="B5" s="12" t="s">
        <x:v>573</x:v>
      </x:c>
      <x:c r="C5" s="12" t="s">
        <x:v>574</x:v>
      </x:c>
      <x:c r="D5" s="12" t="s">
        <x:v>559</x:v>
      </x:c>
      <x:c r="E5" s="12" t="s">
        <x:v>560</x:v>
      </x:c>
      <x:c r="F5" s="21">
        <x:v>2076</x:v>
      </x:c>
      <x:c r="G5" s="22"/>
      <x:c r="H5" s="22"/>
      <x:c r="I5" s="22">
        <x:v>0.16800000000000001</x:v>
      </x:c>
      <x:c r="J5" s="12" t="s">
        <x:v>575</x:v>
      </x:c>
      <x:c r="K5" s="12" t="s">
        <x:v>576</x:v>
      </x:c>
      <x:c r="L5" s="12" t="s">
        <x:v>577</x:v>
      </x:c>
    </x:row>
    <x:row r="6" ht="43.20000076293945">
      <x:c r="A6" s="12" t="s">
        <x:v>572</x:v>
      </x:c>
      <x:c r="B6" s="12" t="s">
        <x:v>573</x:v>
      </x:c>
      <x:c r="C6" s="12" t="s">
        <x:v>574</x:v>
      </x:c>
      <x:c r="D6" s="12" t="s">
        <x:v>564</x:v>
      </x:c>
      <x:c r="E6" s="12" t="s">
        <x:v>565</x:v>
      </x:c>
      <x:c r="F6" s="21">
        <x:v>3139</x:v>
      </x:c>
      <x:c r="G6" s="22"/>
      <x:c r="H6" s="22"/>
      <x:c r="I6" s="22"/>
      <x:c r="J6" s="12" t="s">
        <x:v>575</x:v>
      </x:c>
      <x:c r="K6" s="12" t="s">
        <x:v>578</x:v>
      </x:c>
      <x:c r="L6" s="12" t="s">
        <x:v>577</x:v>
      </x:c>
    </x:row>
    <x:row r="7" ht="43.20000076293945">
      <x:c r="A7" s="12" t="s">
        <x:v>579</x:v>
      </x:c>
      <x:c r="B7" s="12" t="s">
        <x:v>573</x:v>
      </x:c>
      <x:c r="C7" s="12" t="s">
        <x:v>574</x:v>
      </x:c>
      <x:c r="D7" s="12" t="s">
        <x:v>559</x:v>
      </x:c>
      <x:c r="E7" s="12" t="s">
        <x:v>560</x:v>
      </x:c>
      <x:c r="F7" s="21">
        <x:v>2198</x:v>
      </x:c>
      <x:c r="G7" s="22"/>
      <x:c r="H7" s="22"/>
      <x:c r="I7" s="22">
        <x:v>0.17499999999999999</x:v>
      </x:c>
      <x:c r="J7" s="12" t="s">
        <x:v>580</x:v>
      </x:c>
      <x:c r="K7" s="12" t="s">
        <x:v>581</x:v>
      </x:c>
      <x:c r="L7" s="12" t="s">
        <x:v>582</x:v>
      </x:c>
    </x:row>
  </x:sheetData>
  <x:pageMargins left="0.7" right="0.7" top="0.75" bottom="0.75" header="0.3" footer="0.3"/>
  <x:tableParts count="1">
    <x:tablePart xmlns:r="http://schemas.openxmlformats.org/officeDocument/2006/relationships" r:id="Ra68d24752bbd456c"/>
  </x:tableParts>
</x:worksheet>
</file>

<file path=xl/worksheets/sheet9.xml><?xml version="1.0" encoding="utf-8"?>
<x:worksheet xmlns:x="http://schemas.openxmlformats.org/spreadsheetml/2006/main">
  <x:sheetFormatPr defaultRowHeight="14.399999618530273"/>
  <x:cols>
    <x:col min="1" max="1" width="8" customWidth="1"/>
    <x:col min="2" max="2" width="18" customWidth="1"/>
    <x:col min="3" max="3" width="55" customWidth="1"/>
    <x:col min="4" max="4" width="48" customWidth="1"/>
    <x:col min="6" max="6" width="18" customWidth="1"/>
    <x:col min="7" max="7" width="42" customWidth="1"/>
    <x:col min="8" max="8" width="62" customWidth="1"/>
  </x:cols>
  <x:sheetData>
    <x:row r="1" ht="22.350000381469727" customHeight="1">
      <x:c r="A1" s="112" t="s">
        <x:v>583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</x:row>
    <x:row r="3" ht="28.799999237060547">
      <x:c r="A3" s="70" t="s">
        <x:v>584</x:v>
      </x:c>
      <x:c r="B3" s="70" t="s">
        <x:v>349</x:v>
      </x:c>
      <x:c r="C3" s="70" t="s">
        <x:v>585</x:v>
      </x:c>
      <x:c r="D3" s="70" t="s">
        <x:v>586</x:v>
      </x:c>
      <x:c r="E3" s="74"/>
      <x:c r="F3" s="70" t="s">
        <x:v>587</x:v>
      </x:c>
      <x:c r="G3" s="74"/>
      <x:c r="H3" s="74"/>
      <x:c r="I3" s="74"/>
      <x:c r="J3" s="74"/>
      <x:c r="K3" s="74"/>
      <x:c r="L3" s="74"/>
      <x:c r="M3" s="74"/>
    </x:row>
    <x:row r="4" ht="72">
      <x:c r="A4" s="113" t="s">
        <x:v>588</x:v>
      </x:c>
      <x:c r="B4" s="114">
        <x:v>4025.4237288135591</x:v>
      </x:c>
      <x:c r="C4" s="90" t="s">
        <x:v>589</x:v>
      </x:c>
      <x:c r="D4" s="90" t="s">
        <x:v>590</x:v>
      </x:c>
      <x:c r="E4" s="74"/>
      <x:c r="F4" s="90" t="s">
        <x:v>501</x:v>
      </x:c>
      <x:c r="G4" s="90" t="s">
        <x:v>591</x:v>
      </x:c>
      <x:c r="H4" s="90" t="s">
        <x:v>563</x:v>
      </x:c>
      <x:c r="I4" s="74"/>
      <x:c r="J4" s="74"/>
      <x:c r="K4" s="74"/>
      <x:c r="L4" s="74"/>
      <x:c r="M4" s="74"/>
    </x:row>
    <x:row r="5" ht="86.4000015258789">
      <x:c r="A5" s="113" t="s">
        <x:v>592</x:v>
      </x:c>
      <x:c r="B5" s="114" t="n">
        <x:v>4076.268198203993</x:v>
      </x:c>
      <x:c r="C5" s="90" t="s">
        <x:v>593</x:v>
      </x:c>
      <x:c r="D5" s="90" t="str">
        <x:v>Referência do compset alargado; interpretar por camada/peso e não pela mediana isolada.</x:v>
      </x:c>
      <x:c r="E5" s="74"/>
      <x:c r="F5" s="90" t="s">
        <x:v>594</x:v>
      </x:c>
      <x:c r="G5" s="90" t="s">
        <x:v>595</x:v>
      </x:c>
      <x:c r="H5" s="90" t="s">
        <x:v>571</x:v>
      </x:c>
      <x:c r="I5" s="74"/>
      <x:c r="J5" s="74"/>
      <x:c r="K5" s="74"/>
      <x:c r="L5" s="74"/>
      <x:c r="M5" s="74"/>
    </x:row>
    <x:row r="6" ht="57.599998474121094">
      <x:c r="A6" s="113" t="s">
        <x:v>596</x:v>
      </x:c>
      <x:c r="B6" s="122" t="n">
        <x:f ca="1">Benchmark_Mercado!F4</x:f>
        <x:v>3261</x:v>
      </x:c>
      <x:c r="C6" s="90" t="s">
        <x:v>597</x:v>
      </x:c>
      <x:c r="D6" s="90" t="s">
        <x:v>598</x:v>
      </x:c>
      <x:c r="E6" s="74"/>
      <x:c r="F6" s="90" t="s">
        <x:v>599</x:v>
      </x:c>
      <x:c r="G6" s="90" t="s">
        <x:v>600</x:v>
      </x:c>
      <x:c r="H6" s="90" t="s">
        <x:v>568</x:v>
      </x:c>
      <x:c r="I6" s="74"/>
      <x:c r="J6" s="74"/>
      <x:c r="K6" s="74"/>
      <x:c r="L6" s="74"/>
      <x:c r="M6" s="74"/>
    </x:row>
    <x:row r="7" ht="57.599998474121094">
      <x:c r="A7" s="113" t="s">
        <x:v>601</x:v>
      </x:c>
      <x:c r="B7" s="122" t="n">
        <x:f ca="1">Benchmark_Mercado!F3</x:f>
        <x:v>4009</x:v>
      </x:c>
      <x:c r="C7" s="90" t="s">
        <x:v>597</x:v>
      </x:c>
      <x:c r="D7" s="90" t="s">
        <x:v>602</x:v>
      </x:c>
      <x:c r="E7" s="74"/>
      <x:c r="F7" s="90" t="s">
        <x:v>573</x:v>
      </x:c>
      <x:c r="G7" s="90" t="s">
        <x:v>603</x:v>
      </x:c>
      <x:c r="H7" s="90" t="s">
        <x:v>577</x:v>
      </x:c>
      <x:c r="I7" s="74"/>
      <x:c r="J7" s="74"/>
      <x:c r="K7" s="74"/>
      <x:c r="L7" s="74"/>
      <x:c r="M7" s="74"/>
    </x:row>
    <x:row r="8" ht="57.599998474121094">
      <x:c r="A8" s="113" t="s">
        <x:v>604</x:v>
      </x:c>
      <x:c r="B8" s="122" t="n">
        <x:f ca="1">Benchmark_Mercado!F2</x:f>
        <x:v>3121</x:v>
      </x:c>
      <x:c r="C8" s="90" t="s">
        <x:v>597</x:v>
      </x:c>
      <x:c r="D8" s="90" t="s">
        <x:v>605</x:v>
      </x:c>
      <x:c r="E8" s="74"/>
      <x:c r="F8" s="74"/>
      <x:c r="G8" s="74"/>
      <x:c r="H8" s="74"/>
      <x:c r="I8" s="74"/>
      <x:c r="J8" s="74"/>
      <x:c r="K8" s="74"/>
      <x:c r="L8" s="74"/>
      <x:c r="M8" s="74"/>
    </x:row>
    <x:row r="9" ht="43.20000076293945">
      <x:c r="A9" s="113" t="s">
        <x:v>606</x:v>
      </x:c>
      <x:c r="B9" s="115" t="n">
        <x:f ca="1">B4/B6-1</x:f>
        <x:v>0.23441390028014686</x:v>
      </x:c>
      <x:c r="C9" s="90" t="s">
        <x:v>607</x:v>
      </x:c>
      <x:c r="D9" s="90" t="s">
        <x:v>608</x:v>
      </x:c>
      <x:c r="E9" s="74"/>
      <x:c r="F9" s="74"/>
      <x:c r="G9" s="74"/>
      <x:c r="H9" s="74"/>
      <x:c r="I9" s="74"/>
      <x:c r="J9" s="74"/>
      <x:c r="K9" s="74"/>
      <x:c r="L9" s="74"/>
      <x:c r="M9" s="74"/>
    </x:row>
    <x:row r="10" ht="43.20000076293945">
      <x:c r="A10" s="113" t="s">
        <x:v>609</x:v>
      </x:c>
      <x:c r="B10" s="115" t="n">
        <x:f ca="1">B4/B7-1</x:f>
        <x:v>0.004096714595549722</x:v>
      </x:c>
      <x:c r="C10" s="90" t="s">
        <x:v>610</x:v>
      </x:c>
      <x:c r="D10" s="90" t="s">
        <x:v>611</x:v>
      </x:c>
      <x:c r="E10" s="74"/>
      <x:c r="F10" s="74"/>
      <x:c r="G10" s="74"/>
      <x:c r="H10" s="74"/>
      <x:c r="I10" s="74"/>
      <x:c r="J10" s="74"/>
      <x:c r="K10" s="74"/>
      <x:c r="L10" s="74"/>
      <x:c r="M10" s="74"/>
    </x:row>
    <x:row r="11" ht="57.599998474121094">
      <x:c r="A11" s="113" t="s">
        <x:v>612</x:v>
      </x:c>
      <x:c r="B11" s="115" t="n">
        <x:f ca="1">B4/B8-1</x:f>
        <x:v>0.28978651996589533</x:v>
      </x:c>
      <x:c r="C11" s="90" t="s">
        <x:v>613</x:v>
      </x:c>
      <x:c r="D11" s="90" t="s">
        <x:v>614</x:v>
      </x:c>
      <x:c r="E11" s="74"/>
      <x:c r="F11" s="74"/>
      <x:c r="G11" s="74"/>
      <x:c r="H11" s="74"/>
      <x:c r="I11" s="74"/>
      <x:c r="J11" s="74"/>
      <x:c r="K11" s="74"/>
      <x:c r="L11" s="74"/>
      <x:c r="M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</x:row>
    <x:row r="13">
      <x:c r="A13" s="116" t="s">
        <x:v>615</x:v>
      </x:c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</x:row>
    <x:row r="14" ht="72">
      <x:c r="A14" s="90" t="s">
        <x:v>505</x:v>
      </x:c>
      <x:c r="B14" s="90" t="s">
        <x:v>616</x:v>
      </x:c>
      <x:c r="C14" s="90" t="s">
        <x:v>617</x:v>
      </x:c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 ht="43.20000076293945">
      <x:c r="A15" s="90" t="str">
        <x:v>2</x:v>
      </x:c>
      <x:c r="B15" s="90" t="str">
        <x:v>Aplicar peso temporal reduzido aos dados antigos.</x:v>
      </x:c>
      <x:c r="C15" s="90" t="str">
        <x:v>2024 passa a 0,20; 2025 a 0,60; 2026 ativo mantém prioridade.</x:v>
      </x:c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</x:row>
    <x:row r="16" ht="43.20000076293945">
      <x:c r="A16" s="90" t="str">
        <x:v>3</x:v>
      </x:c>
      <x:c r="B16" s="90" t="str">
        <x:v>Distinguir comparável mecânico de benchmark estratégico.</x:v>
      </x:c>
      <x:c r="C16" s="90" t="str">
        <x:v>Del Mar, Prestige V e Plessis devem ter leitura estratégica além de tipologia/piso.</x:v>
      </x:c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</x:row>
    <x:row r="17" ht="43.20000076293945">
      <x:c r="A17" s="90" t="str">
        <x:v>4</x:v>
      </x:c>
      <x:c r="B17" s="90" t="str">
        <x:v>Preservar Aura e Le Parc como referências complementares.</x:v>
      </x:c>
      <x:c r="C17" s="90" t="str">
        <x:v>Aura com peso 0,50; Le Parc ativo com 0,35, sem eliminar o histórico.</x:v>
      </x:c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</x:row>
    <x:row r="18" ht="28.799999237060547">
      <x:c r="A18" s="90" t="str">
        <x:v>5</x:v>
      </x:c>
      <x:c r="B18" s="90" t="str">
        <x:v>Tratar definições de área com cautela.</x:v>
      </x:c>
      <x:c r="C18" s="90" t="str">
        <x:v>Plessis publica várias áreas brutas totais; Prestige tem fontes com interior + exteriores discriminados.</x:v>
      </x:c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</x:row>
    <x:row r="21">
      <x:c r="A21" s="33" t="s">
        <x:v>618</x:v>
      </x:c>
      <x:c r="B21" s="28"/>
      <x:c r="C21" s="28"/>
      <x:c r="D21" s="28"/>
    </x:row>
    <x:row r="22" ht="43.20000076293945">
      <x:c r="A22" s="12" t="s">
        <x:v>619</x:v>
      </x:c>
      <x:c r="B22" s="12">
        <x:v>25</x:v>
      </x:c>
      <x:c r="C22" s="12" t="s">
        <x:v>620</x:v>
      </x:c>
      <x:c r="D22" s="12" t="s">
        <x:v>621</x:v>
      </x:c>
    </x:row>
    <x:row r="23" ht="57.599998474121094">
      <x:c r="A23" s="12" t="s">
        <x:v>622</x:v>
      </x:c>
      <x:c r="B23" s="21" t="n">
        <x:f>MEDIAN(Saramago_2024_Convertido!$L$2:$L$26)</x:f>
        <x:v>3486.646884272997</x:v>
      </x:c>
      <x:c r="C23" s="12" t="s">
        <x:v>623</x:v>
      </x:c>
      <x:c r="D23" s="12" t="s">
        <x:v>624</x:v>
      </x:c>
    </x:row>
    <x:row r="24">
      <x:c r="A24" s="12" t="s">
        <x:v>12</x:v>
      </x:c>
      <x:c r="B24" s="12" t="s">
        <x:v>625</x:v>
      </x:c>
      <x:c r="C24" s="12" t="s">
        <x:v>626</x:v>
      </x:c>
      <x:c r="D24" s="12" t="s">
        <x:v>627</x:v>
      </x:c>
    </x:row>
    <x:row r="25" ht="43.20000076293945">
      <x:c r="A25" s="12" t="s">
        <x:v>22</x:v>
      </x:c>
      <x:c r="B25" s="14">
        <x:v>0.45</x:v>
      </x:c>
      <x:c r="C25" s="12" t="s">
        <x:v>628</x:v>
      </x:c>
      <x:c r="D25" s="12" t="s">
        <x:v>629</x:v>
      </x:c>
    </x:row>
    <x:row r="26" ht="28.799999237060547">
      <x:c r="A26" s="12" t="s">
        <x:v>630</x:v>
      </x:c>
      <x:c r="B26" s="12" t="s">
        <x:v>631</x:v>
      </x:c>
      <x:c r="C26" s="12" t="s">
        <x:v>632</x:v>
      </x:c>
      <x:c r="D26" s="12" t="s">
        <x:v>633</x:v>
      </x:c>
    </x:row>
  </x:sheetData>
  <x:mergeCells>
    <x:mergeCell ref="A1:H1"/>
    <x:mergeCell ref="A13:H13"/>
    <x:mergeCell ref="F3:H3"/>
    <x:mergeCell ref="A21:D21"/>
  </x:mergeCells>
  <x:conditionalFormatting sqref="B9:B11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1" max="1" width="24" customWidth="1"/>
    <x:col min="2" max="4" width="12" customWidth="1"/>
    <x:col min="5" max="5" width="10" customWidth="1"/>
    <x:col min="6" max="13" width="14" customWidth="1"/>
    <x:col min="14" max="14" width="48" customWidth="1"/>
  </x:cols>
  <x:sheetData>
    <x:row r="1" ht="43.20000076293945">
      <x:c r="A1" s="26" t="s">
        <x:v>0</x:v>
      </x:c>
      <x:c r="B1" s="26" t="s">
        <x:v>1</x:v>
      </x:c>
      <x:c r="C1" s="26" t="s">
        <x:v>2</x:v>
      </x:c>
      <x:c r="D1" s="26" t="s">
        <x:v>3</x:v>
      </x:c>
      <x:c r="E1" s="26" t="s">
        <x:v>4</x:v>
      </x:c>
      <x:c r="F1" s="26" t="s">
        <x:v>5</x:v>
      </x:c>
      <x:c r="G1" s="26" t="s">
        <x:v>6</x:v>
      </x:c>
      <x:c r="H1" s="26" t="s">
        <x:v>7</x:v>
      </x:c>
      <x:c r="I1" s="26" t="s">
        <x:v>8</x:v>
      </x:c>
      <x:c r="J1" s="26" t="s">
        <x:v>9</x:v>
      </x:c>
      <x:c r="K1" s="26" t="s">
        <x:v>634</x:v>
      </x:c>
      <x:c r="L1" s="26" t="s">
        <x:v>635</x:v>
      </x:c>
      <x:c r="M1" s="26" t="s">
        <x:v>22</x:v>
      </x:c>
      <x:c r="N1" s="26" t="s">
        <x:v>556</x:v>
      </x:c>
    </x:row>
    <x:row r="2" ht="43.20000076293945">
      <x:c r="A2" s="12" t="s">
        <x:v>176</x:v>
      </x:c>
      <x:c r="B2" s="12" t="s">
        <x:v>177</x:v>
      </x:c>
      <x:c r="C2" s="12">
        <x:v>0</x:v>
      </x:c>
      <x:c r="D2" s="12" t="s">
        <x:v>31</x:v>
      </x:c>
      <x:c r="E2" s="12" t="s">
        <x:v>636</x:v>
      </x:c>
      <x:c r="F2" s="24">
        <x:v>91.55</x:v>
      </x:c>
      <x:c r="G2" s="24">
        <x:v>38.85</x:v>
      </x:c>
      <x:c r="H2" s="24">
        <x:v>130.4</x:v>
      </x:c>
      <x:c r="I2" s="25">
        <x:v>400000</x:v>
      </x:c>
      <x:c r="J2" s="24">
        <x:v>2024</x:v>
      </x:c>
      <x:c r="K2" s="24">
        <x:v>4369.1971600218458</x:v>
      </x:c>
      <x:c r="L2" s="24">
        <x:v>3067.4846625766868</x:v>
      </x:c>
      <x:c r="M2" s="14">
        <x:v>0.45</x:v>
      </x:c>
      <x:c r="N2" s="12" t="s">
        <x:v>637</x:v>
      </x:c>
    </x:row>
    <x:row r="3" ht="43.20000076293945">
      <x:c r="A3" s="12" t="s">
        <x:v>176</x:v>
      </x:c>
      <x:c r="B3" s="12" t="s">
        <x:v>179</x:v>
      </x:c>
      <x:c r="C3" s="12">
        <x:v>0</x:v>
      </x:c>
      <x:c r="D3" s="12" t="s">
        <x:v>64</x:v>
      </x:c>
      <x:c r="E3" s="12" t="s">
        <x:v>636</x:v>
      </x:c>
      <x:c r="F3" s="24">
        <x:v>110.1</x:v>
      </x:c>
      <x:c r="G3" s="24">
        <x:v>44.2</x:v>
      </x:c>
      <x:c r="H3" s="24">
        <x:v>154.30000000000001</x:v>
      </x:c>
      <x:c r="I3" s="25">
        <x:v>500000</x:v>
      </x:c>
      <x:c r="J3" s="24">
        <x:v>2024</x:v>
      </x:c>
      <x:c r="K3" s="24">
        <x:v>4541.3260672116257</x:v>
      </x:c>
      <x:c r="L3" s="24">
        <x:v>3240.4406999351909</x:v>
      </x:c>
      <x:c r="M3" s="14">
        <x:v>0.45</x:v>
      </x:c>
      <x:c r="N3" s="12" t="s">
        <x:v>637</x:v>
      </x:c>
    </x:row>
    <x:row r="4" ht="43.20000076293945">
      <x:c r="A4" s="12" t="s">
        <x:v>176</x:v>
      </x:c>
      <x:c r="B4" s="12" t="s">
        <x:v>180</x:v>
      </x:c>
      <x:c r="C4" s="12">
        <x:v>0</x:v>
      </x:c>
      <x:c r="D4" s="12" t="s">
        <x:v>64</x:v>
      </x:c>
      <x:c r="E4" s="12" t="s">
        <x:v>636</x:v>
      </x:c>
      <x:c r="F4" s="24">
        <x:v>111.1</x:v>
      </x:c>
      <x:c r="G4" s="24">
        <x:v>44.2</x:v>
      </x:c>
      <x:c r="H4" s="24">
        <x:v>155.30000000000001</x:v>
      </x:c>
      <x:c r="I4" s="25">
        <x:v>490000</x:v>
      </x:c>
      <x:c r="J4" s="24">
        <x:v>2024</x:v>
      </x:c>
      <x:c r="K4" s="24">
        <x:v>4410.441044104411</x:v>
      </x:c>
      <x:c r="L4" s="24">
        <x:v>3155.1835157759174</x:v>
      </x:c>
      <x:c r="M4" s="14">
        <x:v>0.45</x:v>
      </x:c>
      <x:c r="N4" s="12" t="s">
        <x:v>637</x:v>
      </x:c>
    </x:row>
    <x:row r="5" ht="43.20000076293945">
      <x:c r="A5" s="12" t="s">
        <x:v>176</x:v>
      </x:c>
      <x:c r="B5" s="12" t="s">
        <x:v>181</x:v>
      </x:c>
      <x:c r="C5" s="12">
        <x:v>0</x:v>
      </x:c>
      <x:c r="D5" s="12" t="s">
        <x:v>64</x:v>
      </x:c>
      <x:c r="E5" s="12" t="s">
        <x:v>636</x:v>
      </x:c>
      <x:c r="F5" s="24">
        <x:v>111.1</x:v>
      </x:c>
      <x:c r="G5" s="24">
        <x:v>44.2</x:v>
      </x:c>
      <x:c r="H5" s="24">
        <x:v>155.30000000000001</x:v>
      </x:c>
      <x:c r="I5" s="25">
        <x:v>500000</x:v>
      </x:c>
      <x:c r="J5" s="24">
        <x:v>2024</x:v>
      </x:c>
      <x:c r="K5" s="24">
        <x:v>4500.4500450045007</x:v>
      </x:c>
      <x:c r="L5" s="24">
        <x:v>3219.5750160978751</x:v>
      </x:c>
      <x:c r="M5" s="14">
        <x:v>0.45</x:v>
      </x:c>
      <x:c r="N5" s="12" t="s">
        <x:v>637</x:v>
      </x:c>
    </x:row>
    <x:row r="6" ht="43.20000076293945">
      <x:c r="A6" s="12" t="s">
        <x:v>176</x:v>
      </x:c>
      <x:c r="B6" s="12" t="s">
        <x:v>182</x:v>
      </x:c>
      <x:c r="C6" s="12">
        <x:v>0</x:v>
      </x:c>
      <x:c r="D6" s="12" t="s">
        <x:v>31</x:v>
      </x:c>
      <x:c r="E6" s="12" t="s">
        <x:v>636</x:v>
      </x:c>
      <x:c r="F6" s="24">
        <x:v>91.55</x:v>
      </x:c>
      <x:c r="G6" s="24">
        <x:v>38.6</x:v>
      </x:c>
      <x:c r="H6" s="24">
        <x:v>130.15</x:v>
      </x:c>
      <x:c r="I6" s="25">
        <x:v>400000</x:v>
      </x:c>
      <x:c r="J6" s="24">
        <x:v>2024</x:v>
      </x:c>
      <x:c r="K6" s="24">
        <x:v>4369.1971600218458</x:v>
      </x:c>
      <x:c r="L6" s="24">
        <x:v>3073.3768728390319</x:v>
      </x:c>
      <x:c r="M6" s="14">
        <x:v>0.45</x:v>
      </x:c>
      <x:c r="N6" s="12" t="s">
        <x:v>637</x:v>
      </x:c>
    </x:row>
    <x:row r="7" ht="43.20000076293945">
      <x:c r="A7" s="12" t="s">
        <x:v>176</x:v>
      </x:c>
      <x:c r="B7" s="12" t="s">
        <x:v>183</x:v>
      </x:c>
      <x:c r="C7" s="12">
        <x:v>1</x:v>
      </x:c>
      <x:c r="D7" s="12" t="s">
        <x:v>31</x:v>
      </x:c>
      <x:c r="E7" s="12" t="s">
        <x:v>636</x:v>
      </x:c>
      <x:c r="F7" s="24">
        <x:v>101.2</x:v>
      </x:c>
      <x:c r="G7" s="24">
        <x:v>21.9</x:v>
      </x:c>
      <x:c r="H7" s="24">
        <x:v>123.1</x:v>
      </x:c>
      <x:c r="I7" s="25">
        <x:v>400000</x:v>
      </x:c>
      <x:c r="J7" s="24">
        <x:v>2024</x:v>
      </x:c>
      <x:c r="K7" s="24">
        <x:v>3952.569169960474</x:v>
      </x:c>
      <x:c r="L7" s="24">
        <x:v>3249.3907392363935</x:v>
      </x:c>
      <x:c r="M7" s="14">
        <x:v>0.45</x:v>
      </x:c>
      <x:c r="N7" s="12" t="s">
        <x:v>637</x:v>
      </x:c>
    </x:row>
    <x:row r="8" ht="43.20000076293945">
      <x:c r="A8" s="12" t="s">
        <x:v>176</x:v>
      </x:c>
      <x:c r="B8" s="12" t="s">
        <x:v>184</x:v>
      </x:c>
      <x:c r="C8" s="12">
        <x:v>1</x:v>
      </x:c>
      <x:c r="D8" s="12" t="s">
        <x:v>42</x:v>
      </x:c>
      <x:c r="E8" s="12" t="s">
        <x:v>636</x:v>
      </x:c>
      <x:c r="F8" s="24">
        <x:v>57</x:v>
      </x:c>
      <x:c r="G8" s="24">
        <x:v>9.85</x:v>
      </x:c>
      <x:c r="H8" s="24">
        <x:v>66.849999999999994</x:v>
      </x:c>
      <x:c r="I8" s="25">
        <x:v>280000</x:v>
      </x:c>
      <x:c r="J8" s="24">
        <x:v>2024</x:v>
      </x:c>
      <x:c r="K8" s="24">
        <x:v>4912.2807017543855</x:v>
      </x:c>
      <x:c r="L8" s="24">
        <x:v>4188.4816753926707</x:v>
      </x:c>
      <x:c r="M8" s="14">
        <x:v>0.45</x:v>
      </x:c>
      <x:c r="N8" s="12" t="s">
        <x:v>637</x:v>
      </x:c>
    </x:row>
    <x:row r="9" ht="43.20000076293945">
      <x:c r="A9" s="12" t="s">
        <x:v>176</x:v>
      </x:c>
      <x:c r="B9" s="12" t="s">
        <x:v>185</x:v>
      </x:c>
      <x:c r="C9" s="12">
        <x:v>1</x:v>
      </x:c>
      <x:c r="D9" s="12" t="s">
        <x:v>42</x:v>
      </x:c>
      <x:c r="E9" s="12" t="s">
        <x:v>636</x:v>
      </x:c>
      <x:c r="F9" s="24">
        <x:v>57</x:v>
      </x:c>
      <x:c r="G9" s="24">
        <x:v>9</x:v>
      </x:c>
      <x:c r="H9" s="24">
        <x:v>66</x:v>
      </x:c>
      <x:c r="I9" s="25">
        <x:v>275000</x:v>
      </x:c>
      <x:c r="J9" s="24">
        <x:v>2024</x:v>
      </x:c>
      <x:c r="K9" s="24">
        <x:v>4824.5614035087719</x:v>
      </x:c>
      <x:c r="L9" s="24">
        <x:v>4166.666666666667</x:v>
      </x:c>
      <x:c r="M9" s="14">
        <x:v>0.45</x:v>
      </x:c>
      <x:c r="N9" s="12" t="s">
        <x:v>637</x:v>
      </x:c>
    </x:row>
    <x:row r="10" ht="43.20000076293945">
      <x:c r="A10" s="12" t="s">
        <x:v>176</x:v>
      </x:c>
      <x:c r="B10" s="12" t="s">
        <x:v>186</x:v>
      </x:c>
      <x:c r="C10" s="12">
        <x:v>1</x:v>
      </x:c>
      <x:c r="D10" s="12" t="s">
        <x:v>31</x:v>
      </x:c>
      <x:c r="E10" s="12" t="s">
        <x:v>636</x:v>
      </x:c>
      <x:c r="F10" s="24">
        <x:v>99.6</x:v>
      </x:c>
      <x:c r="G10" s="24">
        <x:v>18.45</x:v>
      </x:c>
      <x:c r="H10" s="24">
        <x:v>118.05</x:v>
      </x:c>
      <x:c r="I10" s="25">
        <x:v>380000</x:v>
      </x:c>
      <x:c r="J10" s="24">
        <x:v>2024</x:v>
      </x:c>
      <x:c r="K10" s="24">
        <x:v>3815.2610441767069</x:v>
      </x:c>
      <x:c r="L10" s="24">
        <x:v>3218.9750105887338</x:v>
      </x:c>
      <x:c r="M10" s="14">
        <x:v>0.45</x:v>
      </x:c>
      <x:c r="N10" s="12" t="s">
        <x:v>637</x:v>
      </x:c>
    </x:row>
    <x:row r="11" ht="43.20000076293945">
      <x:c r="A11" s="12" t="s">
        <x:v>176</x:v>
      </x:c>
      <x:c r="B11" s="12" t="s">
        <x:v>187</x:v>
      </x:c>
      <x:c r="C11" s="12">
        <x:v>1</x:v>
      </x:c>
      <x:c r="D11" s="12" t="s">
        <x:v>42</x:v>
      </x:c>
      <x:c r="E11" s="12" t="s">
        <x:v>636</x:v>
      </x:c>
      <x:c r="F11" s="24">
        <x:v>57</x:v>
      </x:c>
      <x:c r="G11" s="24">
        <x:v>9.9499999999999993</x:v>
      </x:c>
      <x:c r="H11" s="24">
        <x:v>66.95</x:v>
      </x:c>
      <x:c r="I11" s="25">
        <x:v>275000</x:v>
      </x:c>
      <x:c r="J11" s="24">
        <x:v>2024</x:v>
      </x:c>
      <x:c r="K11" s="24">
        <x:v>4824.5614035087719</x:v>
      </x:c>
      <x:c r="L11" s="24">
        <x:v>4107.5429424943986</x:v>
      </x:c>
      <x:c r="M11" s="14">
        <x:v>0.45</x:v>
      </x:c>
      <x:c r="N11" s="12" t="s">
        <x:v>637</x:v>
      </x:c>
    </x:row>
    <x:row r="12" ht="43.20000076293945">
      <x:c r="A12" s="12" t="s">
        <x:v>176</x:v>
      </x:c>
      <x:c r="B12" s="12" t="s">
        <x:v>188</x:v>
      </x:c>
      <x:c r="C12" s="12">
        <x:v>1</x:v>
      </x:c>
      <x:c r="D12" s="12" t="s">
        <x:v>31</x:v>
      </x:c>
      <x:c r="E12" s="12" t="s">
        <x:v>636</x:v>
      </x:c>
      <x:c r="F12" s="24">
        <x:v>101.2</x:v>
      </x:c>
      <x:c r="G12" s="24">
        <x:v>31.9</x:v>
      </x:c>
      <x:c r="H12" s="24">
        <x:v>133.1</x:v>
      </x:c>
      <x:c r="I12" s="25">
        <x:v>385000</x:v>
      </x:c>
      <x:c r="J12" s="24">
        <x:v>2024</x:v>
      </x:c>
      <x:c r="K12" s="24">
        <x:v>3804.3478260869565</x:v>
      </x:c>
      <x:c r="L12" s="24">
        <x:v>2892.5619834710747</x:v>
      </x:c>
      <x:c r="M12" s="14">
        <x:v>0.45</x:v>
      </x:c>
      <x:c r="N12" s="12" t="s">
        <x:v>637</x:v>
      </x:c>
    </x:row>
    <x:row r="13" ht="43.20000076293945">
      <x:c r="A13" s="12" t="s">
        <x:v>176</x:v>
      </x:c>
      <x:c r="B13" s="12" t="s">
        <x:v>189</x:v>
      </x:c>
      <x:c r="C13" s="12">
        <x:v>2</x:v>
      </x:c>
      <x:c r="D13" s="12" t="s">
        <x:v>31</x:v>
      </x:c>
      <x:c r="E13" s="12" t="s">
        <x:v>636</x:v>
      </x:c>
      <x:c r="F13" s="24">
        <x:v>101.2</x:v>
      </x:c>
      <x:c r="G13" s="24">
        <x:v>22.55</x:v>
      </x:c>
      <x:c r="H13" s="24">
        <x:v>123.75</x:v>
      </x:c>
      <x:c r="I13" s="25">
        <x:v>400000</x:v>
      </x:c>
      <x:c r="J13" s="24">
        <x:v>2024</x:v>
      </x:c>
      <x:c r="K13" s="24">
        <x:v>3952.569169960474</x:v>
      </x:c>
      <x:c r="L13" s="24">
        <x:v>3232.3232323232323</x:v>
      </x:c>
      <x:c r="M13" s="14">
        <x:v>0.45</x:v>
      </x:c>
      <x:c r="N13" s="12" t="s">
        <x:v>637</x:v>
      </x:c>
    </x:row>
    <x:row r="14" ht="43.20000076293945">
      <x:c r="A14" s="12" t="s">
        <x:v>176</x:v>
      </x:c>
      <x:c r="B14" s="12" t="s">
        <x:v>190</x:v>
      </x:c>
      <x:c r="C14" s="12">
        <x:v>2</x:v>
      </x:c>
      <x:c r="D14" s="12" t="s">
        <x:v>42</x:v>
      </x:c>
      <x:c r="E14" s="12" t="s">
        <x:v>636</x:v>
      </x:c>
      <x:c r="F14" s="24">
        <x:v>57</x:v>
      </x:c>
      <x:c r="G14" s="24">
        <x:v>9</x:v>
      </x:c>
      <x:c r="H14" s="24">
        <x:v>66</x:v>
      </x:c>
      <x:c r="I14" s="25">
        <x:v>285000</x:v>
      </x:c>
      <x:c r="J14" s="24">
        <x:v>2024</x:v>
      </x:c>
      <x:c r="K14" s="24">
        <x:v>5000</x:v>
      </x:c>
      <x:c r="L14" s="24">
        <x:v>4318.181818181818</x:v>
      </x:c>
      <x:c r="M14" s="14">
        <x:v>0.45</x:v>
      </x:c>
      <x:c r="N14" s="12" t="s">
        <x:v>637</x:v>
      </x:c>
    </x:row>
    <x:row r="15" ht="43.20000076293945">
      <x:c r="A15" s="12" t="s">
        <x:v>176</x:v>
      </x:c>
      <x:c r="B15" s="12" t="s">
        <x:v>191</x:v>
      </x:c>
      <x:c r="C15" s="12">
        <x:v>2</x:v>
      </x:c>
      <x:c r="D15" s="12" t="s">
        <x:v>42</x:v>
      </x:c>
      <x:c r="E15" s="12" t="s">
        <x:v>636</x:v>
      </x:c>
      <x:c r="F15" s="24">
        <x:v>57</x:v>
      </x:c>
      <x:c r="G15" s="24">
        <x:v>9.85</x:v>
      </x:c>
      <x:c r="H15" s="24">
        <x:v>66.849999999999994</x:v>
      </x:c>
      <x:c r="I15" s="25">
        <x:v>290000</x:v>
      </x:c>
      <x:c r="J15" s="24">
        <x:v>2024</x:v>
      </x:c>
      <x:c r="K15" s="24">
        <x:v>5087.7192982456145</x:v>
      </x:c>
      <x:c r="L15" s="24">
        <x:v>4338.0703066566948</x:v>
      </x:c>
      <x:c r="M15" s="14">
        <x:v>0.45</x:v>
      </x:c>
      <x:c r="N15" s="12" t="s">
        <x:v>637</x:v>
      </x:c>
    </x:row>
    <x:row r="16" ht="43.20000076293945">
      <x:c r="A16" s="12" t="s">
        <x:v>176</x:v>
      </x:c>
      <x:c r="B16" s="12" t="s">
        <x:v>192</x:v>
      </x:c>
      <x:c r="C16" s="12">
        <x:v>2</x:v>
      </x:c>
      <x:c r="D16" s="12" t="s">
        <x:v>31</x:v>
      </x:c>
      <x:c r="E16" s="12" t="s">
        <x:v>636</x:v>
      </x:c>
      <x:c r="F16" s="24">
        <x:v>99.6</x:v>
      </x:c>
      <x:c r="G16" s="24">
        <x:v>19.600000000000001</x:v>
      </x:c>
      <x:c r="H16" s="24">
        <x:v>119.19999999999999</x:v>
      </x:c>
      <x:c r="I16" s="25">
        <x:v>405000</x:v>
      </x:c>
      <x:c r="J16" s="24">
        <x:v>2024</x:v>
      </x:c>
      <x:c r="K16" s="24">
        <x:v>4066.265060240964</x:v>
      </x:c>
      <x:c r="L16" s="24">
        <x:v>3397.6510067114095</x:v>
      </x:c>
      <x:c r="M16" s="14">
        <x:v>0.45</x:v>
      </x:c>
      <x:c r="N16" s="12" t="s">
        <x:v>637</x:v>
      </x:c>
    </x:row>
    <x:row r="17" ht="43.20000076293945">
      <x:c r="A17" s="12" t="s">
        <x:v>176</x:v>
      </x:c>
      <x:c r="B17" s="12" t="s">
        <x:v>193</x:v>
      </x:c>
      <x:c r="C17" s="12">
        <x:v>2</x:v>
      </x:c>
      <x:c r="D17" s="12" t="s">
        <x:v>42</x:v>
      </x:c>
      <x:c r="E17" s="12" t="s">
        <x:v>636</x:v>
      </x:c>
      <x:c r="F17" s="24">
        <x:v>55.85</x:v>
      </x:c>
      <x:c r="G17" s="24">
        <x:v>11.1</x:v>
      </x:c>
      <x:c r="H17" s="24">
        <x:v>66.95</x:v>
      </x:c>
      <x:c r="I17" s="25">
        <x:v>215000</x:v>
      </x:c>
      <x:c r="J17" s="24">
        <x:v>2024</x:v>
      </x:c>
      <x:c r="K17" s="24">
        <x:v>3849.5971351835274</x:v>
      </x:c>
      <x:c r="L17" s="24">
        <x:v>3211.3517550410752</x:v>
      </x:c>
      <x:c r="M17" s="14">
        <x:v>0.45</x:v>
      </x:c>
      <x:c r="N17" s="12" t="s">
        <x:v>637</x:v>
      </x:c>
    </x:row>
    <x:row r="18" ht="43.20000076293945">
      <x:c r="A18" s="12" t="s">
        <x:v>176</x:v>
      </x:c>
      <x:c r="B18" s="12" t="s">
        <x:v>194</x:v>
      </x:c>
      <x:c r="C18" s="12">
        <x:v>3</x:v>
      </x:c>
      <x:c r="D18" s="12" t="s">
        <x:v>31</x:v>
      </x:c>
      <x:c r="E18" s="12" t="s">
        <x:v>636</x:v>
      </x:c>
      <x:c r="F18" s="24">
        <x:v>101.2</x:v>
      </x:c>
      <x:c r="G18" s="24">
        <x:v>21.9</x:v>
      </x:c>
      <x:c r="H18" s="24">
        <x:v>123.1</x:v>
      </x:c>
      <x:c r="I18" s="25">
        <x:v>415000</x:v>
      </x:c>
      <x:c r="J18" s="24">
        <x:v>2024</x:v>
      </x:c>
      <x:c r="K18" s="24">
        <x:v>4100.790513833992</x:v>
      </x:c>
      <x:c r="L18" s="24">
        <x:v>3371.2428919577583</x:v>
      </x:c>
      <x:c r="M18" s="14">
        <x:v>0.45</x:v>
      </x:c>
      <x:c r="N18" s="12" t="s">
        <x:v>637</x:v>
      </x:c>
    </x:row>
    <x:row r="19" ht="43.20000076293945">
      <x:c r="A19" s="12" t="s">
        <x:v>176</x:v>
      </x:c>
      <x:c r="B19" s="12" t="s">
        <x:v>195</x:v>
      </x:c>
      <x:c r="C19" s="12">
        <x:v>3</x:v>
      </x:c>
      <x:c r="D19" s="12" t="s">
        <x:v>42</x:v>
      </x:c>
      <x:c r="E19" s="12" t="s">
        <x:v>636</x:v>
      </x:c>
      <x:c r="F19" s="24">
        <x:v>55.85</x:v>
      </x:c>
      <x:c r="G19" s="24">
        <x:v>11.1</x:v>
      </x:c>
      <x:c r="H19" s="24">
        <x:v>66.95</x:v>
      </x:c>
      <x:c r="I19" s="25">
        <x:v>235000</x:v>
      </x:c>
      <x:c r="J19" s="24">
        <x:v>2024</x:v>
      </x:c>
      <x:c r="K19" s="24">
        <x:v>4207.6991942703671</x:v>
      </x:c>
      <x:c r="L19" s="24">
        <x:v>3510.0821508588497</x:v>
      </x:c>
      <x:c r="M19" s="14">
        <x:v>0.45</x:v>
      </x:c>
      <x:c r="N19" s="12" t="s">
        <x:v>637</x:v>
      </x:c>
    </x:row>
    <x:row r="20" ht="43.20000076293945">
      <x:c r="A20" s="12" t="s">
        <x:v>176</x:v>
      </x:c>
      <x:c r="B20" s="12" t="s">
        <x:v>196</x:v>
      </x:c>
      <x:c r="C20" s="12">
        <x:v>3</x:v>
      </x:c>
      <x:c r="D20" s="12" t="s">
        <x:v>42</x:v>
      </x:c>
      <x:c r="E20" s="12" t="s">
        <x:v>636</x:v>
      </x:c>
      <x:c r="F20" s="24">
        <x:v>57</x:v>
      </x:c>
      <x:c r="G20" s="24">
        <x:v>9.85</x:v>
      </x:c>
      <x:c r="H20" s="24">
        <x:v>66.849999999999994</x:v>
      </x:c>
      <x:c r="I20" s="25">
        <x:v>295000</x:v>
      </x:c>
      <x:c r="J20" s="24">
        <x:v>2024</x:v>
      </x:c>
      <x:c r="K20" s="24">
        <x:v>5175.4385964912281</x:v>
      </x:c>
      <x:c r="L20" s="24">
        <x:v>4412.8646222887064</x:v>
      </x:c>
      <x:c r="M20" s="14">
        <x:v>0.45</x:v>
      </x:c>
      <x:c r="N20" s="12" t="s">
        <x:v>637</x:v>
      </x:c>
    </x:row>
    <x:row r="21" ht="43.20000076293945">
      <x:c r="A21" s="12" t="s">
        <x:v>176</x:v>
      </x:c>
      <x:c r="B21" s="12" t="s">
        <x:v>197</x:v>
      </x:c>
      <x:c r="C21" s="12">
        <x:v>3</x:v>
      </x:c>
      <x:c r="D21" s="12" t="s">
        <x:v>42</x:v>
      </x:c>
      <x:c r="E21" s="12" t="s">
        <x:v>636</x:v>
      </x:c>
      <x:c r="F21" s="24">
        <x:v>55.85</x:v>
      </x:c>
      <x:c r="G21" s="24">
        <x:v>11.55</x:v>
      </x:c>
      <x:c r="H21" s="24">
        <x:v>67.400000000000006</x:v>
      </x:c>
      <x:c r="I21" s="25">
        <x:v>235000</x:v>
      </x:c>
      <x:c r="J21" s="24">
        <x:v>2024</x:v>
      </x:c>
      <x:c r="K21" s="24">
        <x:v>4207.6991942703671</x:v>
      </x:c>
      <x:c r="L21" s="24">
        <x:v>3486.6468842729969</x:v>
      </x:c>
      <x:c r="M21" s="14">
        <x:v>0.45</x:v>
      </x:c>
      <x:c r="N21" s="12" t="s">
        <x:v>637</x:v>
      </x:c>
    </x:row>
    <x:row r="22" ht="43.20000076293945">
      <x:c r="A22" s="12" t="s">
        <x:v>176</x:v>
      </x:c>
      <x:c r="B22" s="12" t="s">
        <x:v>198</x:v>
      </x:c>
      <x:c r="C22" s="12">
        <x:v>3</x:v>
      </x:c>
      <x:c r="D22" s="12" t="s">
        <x:v>31</x:v>
      </x:c>
      <x:c r="E22" s="12" t="s">
        <x:v>636</x:v>
      </x:c>
      <x:c r="F22" s="24">
        <x:v>99.6</x:v>
      </x:c>
      <x:c r="G22" s="24">
        <x:v>19.600000000000001</x:v>
      </x:c>
      <x:c r="H22" s="24">
        <x:v>119.19999999999999</x:v>
      </x:c>
      <x:c r="I22" s="25">
        <x:v>425000</x:v>
      </x:c>
      <x:c r="J22" s="24">
        <x:v>2024</x:v>
      </x:c>
      <x:c r="K22" s="24">
        <x:v>4267.06827309237</x:v>
      </x:c>
      <x:c r="L22" s="24">
        <x:v>3565.4362416107388</x:v>
      </x:c>
      <x:c r="M22" s="14">
        <x:v>0.45</x:v>
      </x:c>
      <x:c r="N22" s="12" t="s">
        <x:v>637</x:v>
      </x:c>
    </x:row>
    <x:row r="23" ht="43.20000076293945">
      <x:c r="A23" s="12" t="s">
        <x:v>176</x:v>
      </x:c>
      <x:c r="B23" s="12" t="s">
        <x:v>199</x:v>
      </x:c>
      <x:c r="C23" s="12">
        <x:v>3</x:v>
      </x:c>
      <x:c r="D23" s="12" t="s">
        <x:v>31</x:v>
      </x:c>
      <x:c r="E23" s="12" t="s">
        <x:v>636</x:v>
      </x:c>
      <x:c r="F23" s="24">
        <x:v>101.2</x:v>
      </x:c>
      <x:c r="G23" s="24">
        <x:v>21.45</x:v>
      </x:c>
      <x:c r="H23" s="24">
        <x:v>122.65</x:v>
      </x:c>
      <x:c r="I23" s="25">
        <x:v>435000</x:v>
      </x:c>
      <x:c r="J23" s="24">
        <x:v>2024</x:v>
      </x:c>
      <x:c r="K23" s="24">
        <x:v>4298.418972332016</x:v>
      </x:c>
      <x:c r="L23" s="24">
        <x:v>3546.6775377089275</x:v>
      </x:c>
      <x:c r="M23" s="14">
        <x:v>0.45</x:v>
      </x:c>
      <x:c r="N23" s="12" t="s">
        <x:v>637</x:v>
      </x:c>
    </x:row>
    <x:row r="24" ht="43.20000076293945">
      <x:c r="A24" s="12" t="s">
        <x:v>176</x:v>
      </x:c>
      <x:c r="B24" s="12" t="s">
        <x:v>200</x:v>
      </x:c>
      <x:c r="C24" s="12">
        <x:v>4</x:v>
      </x:c>
      <x:c r="D24" s="12" t="s">
        <x:v>31</x:v>
      </x:c>
      <x:c r="E24" s="12" t="s">
        <x:v>636</x:v>
      </x:c>
      <x:c r="F24" s="24">
        <x:v>101.2</x:v>
      </x:c>
      <x:c r="G24" s="24">
        <x:v>20.45</x:v>
      </x:c>
      <x:c r="H24" s="24">
        <x:v>121.65</x:v>
      </x:c>
      <x:c r="I24" s="25">
        <x:v>520000</x:v>
      </x:c>
      <x:c r="J24" s="24">
        <x:v>2024</x:v>
      </x:c>
      <x:c r="K24" s="24">
        <x:v>5138.3399209486161</x:v>
      </x:c>
      <x:c r="L24" s="24">
        <x:v>4274.5581586518701</x:v>
      </x:c>
      <x:c r="M24" s="14">
        <x:v>0.45</x:v>
      </x:c>
      <x:c r="N24" s="12" t="s">
        <x:v>637</x:v>
      </x:c>
    </x:row>
    <x:row r="25" ht="43.20000076293945">
      <x:c r="A25" s="12" t="s">
        <x:v>176</x:v>
      </x:c>
      <x:c r="B25" s="12" t="s">
        <x:v>201</x:v>
      </x:c>
      <x:c r="C25" s="12">
        <x:v>4</x:v>
      </x:c>
      <x:c r="D25" s="12" t="s">
        <x:v>64</x:v>
      </x:c>
      <x:c r="E25" s="12" t="s">
        <x:v>636</x:v>
      </x:c>
      <x:c r="F25" s="24">
        <x:v>116.2</x:v>
      </x:c>
      <x:c r="G25" s="24">
        <x:v>20.100000000000001</x:v>
      </x:c>
      <x:c r="H25" s="24">
        <x:v>136.30000000000001</x:v>
      </x:c>
      <x:c r="I25" s="25">
        <x:v>590000</x:v>
      </x:c>
      <x:c r="J25" s="24">
        <x:v>2024</x:v>
      </x:c>
      <x:c r="K25" s="24">
        <x:v>5077.4526678141137</x:v>
      </x:c>
      <x:c r="L25" s="24">
        <x:v>4328.6867204695518</x:v>
      </x:c>
      <x:c r="M25" s="14">
        <x:v>0.45</x:v>
      </x:c>
      <x:c r="N25" s="12" t="s">
        <x:v>637</x:v>
      </x:c>
    </x:row>
    <x:row r="26" ht="43.20000076293945">
      <x:c r="A26" s="12" t="s">
        <x:v>176</x:v>
      </x:c>
      <x:c r="B26" s="12" t="s">
        <x:v>202</x:v>
      </x:c>
      <x:c r="C26" s="12">
        <x:v>4</x:v>
      </x:c>
      <x:c r="D26" s="12" t="s">
        <x:v>31</x:v>
      </x:c>
      <x:c r="E26" s="12" t="s">
        <x:v>636</x:v>
      </x:c>
      <x:c r="F26" s="24">
        <x:v>99.6</x:v>
      </x:c>
      <x:c r="G26" s="24">
        <x:v>19.600000000000001</x:v>
      </x:c>
      <x:c r="H26" s="24">
        <x:v>119.19999999999999</x:v>
      </x:c>
      <x:c r="I26" s="25">
        <x:v>520000</x:v>
      </x:c>
      <x:c r="J26" s="24">
        <x:v>2024</x:v>
      </x:c>
      <x:c r="K26" s="24">
        <x:v>5220.8835341365466</x:v>
      </x:c>
      <x:c r="L26" s="24">
        <x:v>4362.4161073825508</x:v>
      </x:c>
      <x:c r="M26" s="14">
        <x:v>0.45</x:v>
      </x:c>
      <x:c r="N26" s="12" t="s">
        <x:v>637</x:v>
      </x:c>
    </x:row>
  </x:sheetData>
  <x:pageMargins left="0.7" right="0.7" top="0.75" bottom="0.75" header="0.3" footer="0.3"/>
  <x:tableParts count="1">
    <x:tablePart xmlns:r="http://schemas.openxmlformats.org/officeDocument/2006/relationships" r:id="R0544b6f49fb34e11"/>
  </x:tableParts>
</x:worksheet>
</file>