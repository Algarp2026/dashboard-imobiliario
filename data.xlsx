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lgarpredio\Downloads\"/>
    </mc:Choice>
  </mc:AlternateContent>
  <xr:revisionPtr revIDLastSave="0" documentId="13_ncr:1_{42E19842-CF41-4E83-A0F7-BC9D8DA5D4C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dos" sheetId="1" r:id="rId1"/>
    <sheet name="Instruções" sheetId="2" r:id="rId2"/>
    <sheet name="Resumo BD" sheetId="3" r:id="rId3"/>
    <sheet name="Plano de melhori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73" i="1" l="1"/>
  <c r="AB173" i="1" s="1"/>
  <c r="Q173" i="1"/>
  <c r="W173" i="1" s="1"/>
  <c r="X173" i="1" s="1"/>
  <c r="M173" i="1"/>
  <c r="Y172" i="1"/>
  <c r="AB172" i="1" s="1"/>
  <c r="Q172" i="1"/>
  <c r="W172" i="1" s="1"/>
  <c r="X172" i="1" s="1"/>
  <c r="M172" i="1"/>
  <c r="AA171" i="1"/>
  <c r="Y171" i="1"/>
  <c r="AB171" i="1" s="1"/>
  <c r="W171" i="1"/>
  <c r="X171" i="1" s="1"/>
  <c r="Q171" i="1"/>
  <c r="M171" i="1"/>
  <c r="AA170" i="1"/>
  <c r="Y170" i="1"/>
  <c r="AB170" i="1" s="1"/>
  <c r="W170" i="1"/>
  <c r="X170" i="1" s="1"/>
  <c r="Q170" i="1"/>
  <c r="M170" i="1"/>
  <c r="AA169" i="1"/>
  <c r="Y169" i="1"/>
  <c r="AB169" i="1" s="1"/>
  <c r="W169" i="1"/>
  <c r="X169" i="1" s="1"/>
  <c r="Q169" i="1"/>
  <c r="M169" i="1"/>
  <c r="AB168" i="1"/>
  <c r="AA168" i="1"/>
  <c r="Y168" i="1"/>
  <c r="W168" i="1"/>
  <c r="X168" i="1" s="1"/>
  <c r="Q168" i="1"/>
  <c r="M168" i="1"/>
  <c r="AB167" i="1"/>
  <c r="AA167" i="1"/>
  <c r="Y167" i="1"/>
  <c r="W167" i="1"/>
  <c r="X167" i="1" s="1"/>
  <c r="Q167" i="1"/>
  <c r="M167" i="1"/>
  <c r="AB166" i="1"/>
  <c r="AA166" i="1"/>
  <c r="Y166" i="1"/>
  <c r="W166" i="1"/>
  <c r="X166" i="1" s="1"/>
  <c r="Q166" i="1"/>
  <c r="M166" i="1"/>
  <c r="AB165" i="1"/>
  <c r="AA165" i="1"/>
  <c r="Y165" i="1"/>
  <c r="W165" i="1"/>
  <c r="X165" i="1" s="1"/>
  <c r="Q165" i="1"/>
  <c r="M165" i="1"/>
  <c r="AB164" i="1"/>
  <c r="AA164" i="1"/>
  <c r="Y164" i="1"/>
  <c r="W164" i="1"/>
  <c r="X164" i="1" s="1"/>
  <c r="Q164" i="1"/>
  <c r="M164" i="1"/>
  <c r="AB163" i="1"/>
  <c r="AA163" i="1"/>
  <c r="Y163" i="1"/>
  <c r="W163" i="1"/>
  <c r="X163" i="1" s="1"/>
  <c r="Q163" i="1"/>
  <c r="M163" i="1"/>
  <c r="AB162" i="1"/>
  <c r="AA162" i="1"/>
  <c r="Y162" i="1"/>
  <c r="W162" i="1"/>
  <c r="X162" i="1" s="1"/>
  <c r="Q162" i="1"/>
  <c r="M162" i="1"/>
  <c r="AB161" i="1"/>
  <c r="AA161" i="1"/>
  <c r="Y161" i="1"/>
  <c r="W161" i="1"/>
  <c r="X161" i="1" s="1"/>
  <c r="Q161" i="1"/>
  <c r="M161" i="1"/>
  <c r="AB160" i="1"/>
  <c r="AA160" i="1"/>
  <c r="Y160" i="1"/>
  <c r="W160" i="1"/>
  <c r="X160" i="1" s="1"/>
  <c r="Q160" i="1"/>
  <c r="M160" i="1"/>
  <c r="AB159" i="1"/>
  <c r="AA159" i="1"/>
  <c r="Y159" i="1"/>
  <c r="W159" i="1"/>
  <c r="X159" i="1" s="1"/>
  <c r="Q159" i="1"/>
  <c r="M159" i="1"/>
  <c r="AB158" i="1"/>
  <c r="AA158" i="1"/>
  <c r="Y158" i="1"/>
  <c r="W158" i="1"/>
  <c r="X158" i="1" s="1"/>
  <c r="Q158" i="1"/>
  <c r="M158" i="1"/>
  <c r="AB157" i="1"/>
  <c r="AA157" i="1"/>
  <c r="Y157" i="1"/>
  <c r="W157" i="1"/>
  <c r="X157" i="1" s="1"/>
  <c r="Q157" i="1"/>
  <c r="M157" i="1"/>
  <c r="AB156" i="1"/>
  <c r="AA156" i="1"/>
  <c r="Y156" i="1"/>
  <c r="W156" i="1"/>
  <c r="X156" i="1" s="1"/>
  <c r="Q156" i="1"/>
  <c r="M156" i="1"/>
  <c r="AB155" i="1"/>
  <c r="AA155" i="1"/>
  <c r="Y155" i="1"/>
  <c r="W155" i="1"/>
  <c r="X155" i="1" s="1"/>
  <c r="Q155" i="1"/>
  <c r="M155" i="1"/>
  <c r="AB154" i="1"/>
  <c r="AA154" i="1"/>
  <c r="Y154" i="1"/>
  <c r="W154" i="1"/>
  <c r="X154" i="1" s="1"/>
  <c r="Q154" i="1"/>
  <c r="M154" i="1"/>
  <c r="AB153" i="1"/>
  <c r="AA153" i="1"/>
  <c r="Y153" i="1"/>
  <c r="W153" i="1"/>
  <c r="X153" i="1" s="1"/>
  <c r="Q153" i="1"/>
  <c r="M153" i="1"/>
  <c r="AB152" i="1"/>
  <c r="AA152" i="1"/>
  <c r="Y152" i="1"/>
  <c r="W152" i="1"/>
  <c r="X152" i="1" s="1"/>
  <c r="Q152" i="1"/>
  <c r="M152" i="1"/>
  <c r="AB151" i="1"/>
  <c r="AA151" i="1"/>
  <c r="Y151" i="1"/>
  <c r="W151" i="1"/>
  <c r="X151" i="1" s="1"/>
  <c r="Q151" i="1"/>
  <c r="M151" i="1"/>
  <c r="AB150" i="1"/>
  <c r="AA150" i="1"/>
  <c r="Y150" i="1"/>
  <c r="W150" i="1"/>
  <c r="X150" i="1" s="1"/>
  <c r="Q150" i="1"/>
  <c r="M150" i="1"/>
  <c r="AB149" i="1"/>
  <c r="AA149" i="1"/>
  <c r="Y149" i="1"/>
  <c r="W149" i="1"/>
  <c r="X149" i="1" s="1"/>
  <c r="Q149" i="1"/>
  <c r="M149" i="1"/>
  <c r="AB148" i="1"/>
  <c r="AA148" i="1"/>
  <c r="Y148" i="1"/>
  <c r="W148" i="1"/>
  <c r="X148" i="1" s="1"/>
  <c r="Q148" i="1"/>
  <c r="M148" i="1"/>
  <c r="AB147" i="1"/>
  <c r="AA147" i="1"/>
  <c r="Y147" i="1"/>
  <c r="W147" i="1"/>
  <c r="X147" i="1" s="1"/>
  <c r="Q147" i="1"/>
  <c r="M147" i="1"/>
  <c r="AB146" i="1"/>
  <c r="AA146" i="1"/>
  <c r="Y146" i="1"/>
  <c r="X146" i="1"/>
  <c r="W146" i="1"/>
  <c r="Q146" i="1"/>
  <c r="M146" i="1"/>
  <c r="AB145" i="1"/>
  <c r="AA145" i="1"/>
  <c r="Y145" i="1"/>
  <c r="X145" i="1"/>
  <c r="W145" i="1"/>
  <c r="Q145" i="1"/>
  <c r="M145" i="1"/>
  <c r="AB144" i="1"/>
  <c r="AA144" i="1"/>
  <c r="Y144" i="1"/>
  <c r="X144" i="1"/>
  <c r="W144" i="1"/>
  <c r="Q144" i="1"/>
  <c r="M144" i="1"/>
  <c r="AB143" i="1"/>
  <c r="AA143" i="1"/>
  <c r="Y143" i="1"/>
  <c r="X143" i="1"/>
  <c r="W143" i="1"/>
  <c r="Q143" i="1"/>
  <c r="M143" i="1"/>
  <c r="AB142" i="1"/>
  <c r="AA142" i="1"/>
  <c r="Y142" i="1"/>
  <c r="X142" i="1"/>
  <c r="W142" i="1"/>
  <c r="Q142" i="1"/>
  <c r="M142" i="1"/>
  <c r="AB141" i="1"/>
  <c r="AA141" i="1"/>
  <c r="Y141" i="1"/>
  <c r="X141" i="1"/>
  <c r="W141" i="1"/>
  <c r="Q141" i="1"/>
  <c r="M141" i="1"/>
  <c r="AB140" i="1"/>
  <c r="AA140" i="1"/>
  <c r="Y140" i="1"/>
  <c r="X140" i="1"/>
  <c r="W140" i="1"/>
  <c r="Q140" i="1"/>
  <c r="M140" i="1"/>
  <c r="AB139" i="1"/>
  <c r="AA139" i="1"/>
  <c r="Y139" i="1"/>
  <c r="X139" i="1"/>
  <c r="W139" i="1"/>
  <c r="Q139" i="1"/>
  <c r="M139" i="1"/>
  <c r="AB138" i="1"/>
  <c r="AA138" i="1"/>
  <c r="Y138" i="1"/>
  <c r="X138" i="1"/>
  <c r="W138" i="1"/>
  <c r="Q138" i="1"/>
  <c r="M138" i="1"/>
  <c r="AB137" i="1"/>
  <c r="AA137" i="1"/>
  <c r="Y137" i="1"/>
  <c r="X137" i="1"/>
  <c r="W137" i="1"/>
  <c r="Q137" i="1"/>
  <c r="M137" i="1"/>
  <c r="AB136" i="1"/>
  <c r="AA136" i="1"/>
  <c r="Y136" i="1"/>
  <c r="X136" i="1"/>
  <c r="W136" i="1"/>
  <c r="Q136" i="1"/>
  <c r="M136" i="1"/>
  <c r="AB135" i="1"/>
  <c r="AA135" i="1"/>
  <c r="Y135" i="1"/>
  <c r="X135" i="1"/>
  <c r="W135" i="1"/>
  <c r="Q135" i="1"/>
  <c r="M135" i="1"/>
  <c r="AB134" i="1"/>
  <c r="AA134" i="1"/>
  <c r="Y134" i="1"/>
  <c r="X134" i="1"/>
  <c r="W134" i="1"/>
  <c r="Q134" i="1"/>
  <c r="M134" i="1"/>
  <c r="AB133" i="1"/>
  <c r="AA133" i="1"/>
  <c r="Y133" i="1"/>
  <c r="X133" i="1"/>
  <c r="W133" i="1"/>
  <c r="Q133" i="1"/>
  <c r="M133" i="1"/>
  <c r="AB132" i="1"/>
  <c r="AA132" i="1"/>
  <c r="Y132" i="1"/>
  <c r="X132" i="1"/>
  <c r="W132" i="1"/>
  <c r="Q132" i="1"/>
  <c r="M132" i="1"/>
  <c r="AB131" i="1"/>
  <c r="AA131" i="1"/>
  <c r="Y131" i="1"/>
  <c r="X131" i="1"/>
  <c r="W131" i="1"/>
  <c r="Q131" i="1"/>
  <c r="M131" i="1"/>
  <c r="AB130" i="1"/>
  <c r="AA130" i="1"/>
  <c r="Y130" i="1"/>
  <c r="X130" i="1"/>
  <c r="W130" i="1"/>
  <c r="Q130" i="1"/>
  <c r="M130" i="1"/>
  <c r="AB129" i="1"/>
  <c r="AA129" i="1"/>
  <c r="Y129" i="1"/>
  <c r="X129" i="1"/>
  <c r="W129" i="1"/>
  <c r="Q129" i="1"/>
  <c r="M129" i="1"/>
  <c r="AB128" i="1"/>
  <c r="AA128" i="1"/>
  <c r="Y128" i="1"/>
  <c r="X128" i="1"/>
  <c r="W128" i="1"/>
  <c r="Q128" i="1"/>
  <c r="M128" i="1"/>
  <c r="AB127" i="1"/>
  <c r="AA127" i="1"/>
  <c r="Y127" i="1"/>
  <c r="X127" i="1"/>
  <c r="W127" i="1"/>
  <c r="Q127" i="1"/>
  <c r="M127" i="1"/>
  <c r="AB126" i="1"/>
  <c r="AA126" i="1"/>
  <c r="Y126" i="1"/>
  <c r="X126" i="1"/>
  <c r="W126" i="1"/>
  <c r="Q126" i="1"/>
  <c r="M126" i="1"/>
  <c r="AB125" i="1"/>
  <c r="AA125" i="1"/>
  <c r="Y125" i="1"/>
  <c r="X125" i="1"/>
  <c r="W125" i="1"/>
  <c r="Q125" i="1"/>
  <c r="M125" i="1"/>
  <c r="AB124" i="1"/>
  <c r="AA124" i="1"/>
  <c r="Y124" i="1"/>
  <c r="X124" i="1"/>
  <c r="W124" i="1"/>
  <c r="Q124" i="1"/>
  <c r="M124" i="1"/>
  <c r="AB123" i="1"/>
  <c r="AA123" i="1"/>
  <c r="Y123" i="1"/>
  <c r="X123" i="1"/>
  <c r="W123" i="1"/>
  <c r="Q123" i="1"/>
  <c r="M123" i="1"/>
  <c r="AB122" i="1"/>
  <c r="AA122" i="1"/>
  <c r="Y122" i="1"/>
  <c r="X122" i="1"/>
  <c r="W122" i="1"/>
  <c r="Q122" i="1"/>
  <c r="M122" i="1"/>
  <c r="AB121" i="1"/>
  <c r="AA121" i="1"/>
  <c r="Y121" i="1"/>
  <c r="X121" i="1"/>
  <c r="W121" i="1"/>
  <c r="Q121" i="1"/>
  <c r="M121" i="1"/>
  <c r="AB120" i="1"/>
  <c r="AA120" i="1"/>
  <c r="Y120" i="1"/>
  <c r="X120" i="1"/>
  <c r="W120" i="1"/>
  <c r="Q120" i="1"/>
  <c r="M120" i="1"/>
  <c r="AB119" i="1"/>
  <c r="AA119" i="1"/>
  <c r="Y119" i="1"/>
  <c r="X119" i="1"/>
  <c r="W119" i="1"/>
  <c r="Q119" i="1"/>
  <c r="M119" i="1"/>
  <c r="AB118" i="1"/>
  <c r="AA118" i="1"/>
  <c r="Y118" i="1"/>
  <c r="X118" i="1"/>
  <c r="W118" i="1"/>
  <c r="Q118" i="1"/>
  <c r="M118" i="1"/>
  <c r="AB117" i="1"/>
  <c r="AA117" i="1"/>
  <c r="Y117" i="1"/>
  <c r="X117" i="1"/>
  <c r="W117" i="1"/>
  <c r="Q117" i="1"/>
  <c r="M117" i="1"/>
  <c r="AB116" i="1"/>
  <c r="AA116" i="1"/>
  <c r="Y116" i="1"/>
  <c r="X116" i="1"/>
  <c r="W116" i="1"/>
  <c r="Q116" i="1"/>
  <c r="M116" i="1"/>
  <c r="AB115" i="1"/>
  <c r="AA115" i="1"/>
  <c r="Y115" i="1"/>
  <c r="X115" i="1"/>
  <c r="W115" i="1"/>
  <c r="Q115" i="1"/>
  <c r="M115" i="1"/>
  <c r="AB114" i="1"/>
  <c r="AA114" i="1"/>
  <c r="Y114" i="1"/>
  <c r="X114" i="1"/>
  <c r="W114" i="1"/>
  <c r="Q114" i="1"/>
  <c r="M114" i="1"/>
  <c r="AB113" i="1"/>
  <c r="AA113" i="1"/>
  <c r="Y113" i="1"/>
  <c r="X113" i="1"/>
  <c r="W113" i="1"/>
  <c r="Q113" i="1"/>
  <c r="M113" i="1"/>
  <c r="AB112" i="1"/>
  <c r="AA112" i="1"/>
  <c r="Y112" i="1"/>
  <c r="X112" i="1"/>
  <c r="W112" i="1"/>
  <c r="Q112" i="1"/>
  <c r="M112" i="1"/>
  <c r="AB111" i="1"/>
  <c r="AA111" i="1"/>
  <c r="Y111" i="1"/>
  <c r="X111" i="1"/>
  <c r="W111" i="1"/>
  <c r="Q111" i="1"/>
  <c r="M111" i="1"/>
  <c r="AB110" i="1"/>
  <c r="AA110" i="1"/>
  <c r="Y110" i="1"/>
  <c r="X110" i="1"/>
  <c r="W110" i="1"/>
  <c r="Q110" i="1"/>
  <c r="M110" i="1"/>
  <c r="AB109" i="1"/>
  <c r="AA109" i="1"/>
  <c r="Y109" i="1"/>
  <c r="X109" i="1"/>
  <c r="W109" i="1"/>
  <c r="Q109" i="1"/>
  <c r="M109" i="1"/>
  <c r="AB108" i="1"/>
  <c r="AA108" i="1"/>
  <c r="Y108" i="1"/>
  <c r="X108" i="1"/>
  <c r="W108" i="1"/>
  <c r="Q108" i="1"/>
  <c r="M108" i="1"/>
  <c r="AB107" i="1"/>
  <c r="AA107" i="1"/>
  <c r="Y107" i="1"/>
  <c r="W107" i="1"/>
  <c r="X107" i="1" s="1"/>
  <c r="Q107" i="1"/>
  <c r="M107" i="1"/>
  <c r="AB106" i="1"/>
  <c r="AA106" i="1"/>
  <c r="Y106" i="1"/>
  <c r="W106" i="1"/>
  <c r="X106" i="1" s="1"/>
  <c r="Q106" i="1"/>
  <c r="M106" i="1"/>
  <c r="AB105" i="1"/>
  <c r="AA105" i="1"/>
  <c r="Y105" i="1"/>
  <c r="W105" i="1"/>
  <c r="X105" i="1" s="1"/>
  <c r="Q105" i="1"/>
  <c r="M105" i="1"/>
  <c r="AB104" i="1"/>
  <c r="AA104" i="1"/>
  <c r="Y104" i="1"/>
  <c r="W104" i="1"/>
  <c r="X104" i="1" s="1"/>
  <c r="Q104" i="1"/>
  <c r="M104" i="1"/>
  <c r="AB103" i="1"/>
  <c r="AA103" i="1"/>
  <c r="Y103" i="1"/>
  <c r="W103" i="1"/>
  <c r="X103" i="1" s="1"/>
  <c r="Q103" i="1"/>
  <c r="M103" i="1"/>
  <c r="AB102" i="1"/>
  <c r="AA102" i="1"/>
  <c r="Y102" i="1"/>
  <c r="W102" i="1"/>
  <c r="X102" i="1" s="1"/>
  <c r="Q102" i="1"/>
  <c r="M102" i="1"/>
  <c r="AB101" i="1"/>
  <c r="AA101" i="1"/>
  <c r="Y101" i="1"/>
  <c r="W101" i="1"/>
  <c r="X101" i="1" s="1"/>
  <c r="Q101" i="1"/>
  <c r="M101" i="1"/>
  <c r="AB100" i="1"/>
  <c r="AA100" i="1"/>
  <c r="Y100" i="1"/>
  <c r="W100" i="1"/>
  <c r="X100" i="1" s="1"/>
  <c r="Q100" i="1"/>
  <c r="M100" i="1"/>
  <c r="AB99" i="1"/>
  <c r="AA99" i="1"/>
  <c r="Y99" i="1"/>
  <c r="W99" i="1"/>
  <c r="X99" i="1" s="1"/>
  <c r="Q99" i="1"/>
  <c r="M99" i="1"/>
  <c r="AB98" i="1"/>
  <c r="AA98" i="1"/>
  <c r="Y98" i="1"/>
  <c r="W98" i="1"/>
  <c r="X98" i="1" s="1"/>
  <c r="Q98" i="1"/>
  <c r="M98" i="1"/>
  <c r="AB97" i="1"/>
  <c r="AA97" i="1"/>
  <c r="Y97" i="1"/>
  <c r="W97" i="1"/>
  <c r="X97" i="1" s="1"/>
  <c r="Q97" i="1"/>
  <c r="M97" i="1"/>
  <c r="AB96" i="1"/>
  <c r="AA96" i="1"/>
  <c r="Y96" i="1"/>
  <c r="W96" i="1"/>
  <c r="X96" i="1" s="1"/>
  <c r="Q96" i="1"/>
  <c r="M96" i="1"/>
  <c r="AB95" i="1"/>
  <c r="AA95" i="1"/>
  <c r="Y95" i="1"/>
  <c r="W95" i="1"/>
  <c r="X95" i="1" s="1"/>
  <c r="Q95" i="1"/>
  <c r="M95" i="1"/>
  <c r="AB94" i="1"/>
  <c r="AA94" i="1"/>
  <c r="Y94" i="1"/>
  <c r="W94" i="1"/>
  <c r="X94" i="1" s="1"/>
  <c r="Q94" i="1"/>
  <c r="M94" i="1"/>
  <c r="AB93" i="1"/>
  <c r="AA93" i="1"/>
  <c r="Y93" i="1"/>
  <c r="W93" i="1"/>
  <c r="X93" i="1" s="1"/>
  <c r="Q93" i="1"/>
  <c r="M93" i="1"/>
  <c r="AB92" i="1"/>
  <c r="AA92" i="1"/>
  <c r="Y92" i="1"/>
  <c r="W92" i="1"/>
  <c r="X92" i="1" s="1"/>
  <c r="Q92" i="1"/>
  <c r="M92" i="1"/>
  <c r="AB91" i="1"/>
  <c r="AA91" i="1"/>
  <c r="Y91" i="1"/>
  <c r="W91" i="1"/>
  <c r="X91" i="1" s="1"/>
  <c r="Q91" i="1"/>
  <c r="M91" i="1"/>
  <c r="AB90" i="1"/>
  <c r="AA90" i="1"/>
  <c r="Y90" i="1"/>
  <c r="W90" i="1"/>
  <c r="X90" i="1" s="1"/>
  <c r="Q90" i="1"/>
  <c r="M90" i="1"/>
  <c r="AB89" i="1"/>
  <c r="AA89" i="1"/>
  <c r="Y89" i="1"/>
  <c r="W89" i="1"/>
  <c r="X89" i="1" s="1"/>
  <c r="Q89" i="1"/>
  <c r="M89" i="1"/>
  <c r="AB88" i="1"/>
  <c r="AA88" i="1"/>
  <c r="Y88" i="1"/>
  <c r="W88" i="1"/>
  <c r="X88" i="1" s="1"/>
  <c r="Q88" i="1"/>
  <c r="M88" i="1"/>
  <c r="AB87" i="1"/>
  <c r="AA87" i="1"/>
  <c r="Y87" i="1"/>
  <c r="W87" i="1"/>
  <c r="X87" i="1" s="1"/>
  <c r="Q87" i="1"/>
  <c r="M87" i="1"/>
  <c r="AB86" i="1"/>
  <c r="AA86" i="1"/>
  <c r="Y86" i="1"/>
  <c r="W86" i="1"/>
  <c r="X86" i="1" s="1"/>
  <c r="Q86" i="1"/>
  <c r="M86" i="1"/>
  <c r="AB85" i="1"/>
  <c r="AA85" i="1"/>
  <c r="Y85" i="1"/>
  <c r="W85" i="1"/>
  <c r="X85" i="1" s="1"/>
  <c r="Q85" i="1"/>
  <c r="M85" i="1"/>
  <c r="AB84" i="1"/>
  <c r="AA84" i="1"/>
  <c r="Y84" i="1"/>
  <c r="W84" i="1"/>
  <c r="X84" i="1" s="1"/>
  <c r="Q84" i="1"/>
  <c r="M84" i="1"/>
  <c r="AB83" i="1"/>
  <c r="AA83" i="1"/>
  <c r="Y83" i="1"/>
  <c r="W83" i="1"/>
  <c r="X83" i="1" s="1"/>
  <c r="Q83" i="1"/>
  <c r="M83" i="1"/>
  <c r="AB82" i="1"/>
  <c r="AA82" i="1"/>
  <c r="Y82" i="1"/>
  <c r="W82" i="1"/>
  <c r="X82" i="1" s="1"/>
  <c r="Q82" i="1"/>
  <c r="M82" i="1"/>
  <c r="AB81" i="1"/>
  <c r="AA81" i="1"/>
  <c r="Y81" i="1"/>
  <c r="W81" i="1"/>
  <c r="X81" i="1" s="1"/>
  <c r="Q81" i="1"/>
  <c r="M81" i="1"/>
  <c r="AB80" i="1"/>
  <c r="AA80" i="1"/>
  <c r="Y80" i="1"/>
  <c r="W80" i="1"/>
  <c r="X80" i="1" s="1"/>
  <c r="Q80" i="1"/>
  <c r="M80" i="1"/>
  <c r="AB79" i="1"/>
  <c r="AA79" i="1"/>
  <c r="Y79" i="1"/>
  <c r="W79" i="1"/>
  <c r="X79" i="1" s="1"/>
  <c r="Q79" i="1"/>
  <c r="M79" i="1"/>
  <c r="AB78" i="1"/>
  <c r="AA78" i="1"/>
  <c r="Y78" i="1"/>
  <c r="W78" i="1"/>
  <c r="X78" i="1" s="1"/>
  <c r="Q78" i="1"/>
  <c r="M78" i="1"/>
  <c r="AB77" i="1"/>
  <c r="AA77" i="1"/>
  <c r="Y77" i="1"/>
  <c r="W77" i="1"/>
  <c r="X77" i="1" s="1"/>
  <c r="Q77" i="1"/>
  <c r="M77" i="1"/>
  <c r="AB76" i="1"/>
  <c r="AA76" i="1"/>
  <c r="Y76" i="1"/>
  <c r="W76" i="1"/>
  <c r="X76" i="1" s="1"/>
  <c r="Q76" i="1"/>
  <c r="M76" i="1"/>
  <c r="AB75" i="1"/>
  <c r="AA75" i="1"/>
  <c r="Y75" i="1"/>
  <c r="W75" i="1"/>
  <c r="X75" i="1" s="1"/>
  <c r="Q75" i="1"/>
  <c r="M75" i="1"/>
  <c r="AB74" i="1"/>
  <c r="AA74" i="1"/>
  <c r="Y74" i="1"/>
  <c r="W74" i="1"/>
  <c r="X74" i="1" s="1"/>
  <c r="Q74" i="1"/>
  <c r="M74" i="1"/>
  <c r="AB73" i="1"/>
  <c r="AA73" i="1"/>
  <c r="Y73" i="1"/>
  <c r="W73" i="1"/>
  <c r="X73" i="1" s="1"/>
  <c r="Q73" i="1"/>
  <c r="M73" i="1"/>
  <c r="AB72" i="1"/>
  <c r="AA72" i="1"/>
  <c r="Y72" i="1"/>
  <c r="W72" i="1"/>
  <c r="X72" i="1" s="1"/>
  <c r="Q72" i="1"/>
  <c r="M72" i="1"/>
  <c r="AB71" i="1"/>
  <c r="AA71" i="1"/>
  <c r="Y71" i="1"/>
  <c r="W71" i="1"/>
  <c r="X71" i="1" s="1"/>
  <c r="Q71" i="1"/>
  <c r="M71" i="1"/>
  <c r="AB70" i="1"/>
  <c r="AA70" i="1"/>
  <c r="Y70" i="1"/>
  <c r="W70" i="1"/>
  <c r="X70" i="1" s="1"/>
  <c r="Q70" i="1"/>
  <c r="M70" i="1"/>
  <c r="AB69" i="1"/>
  <c r="AA69" i="1"/>
  <c r="Y69" i="1"/>
  <c r="W69" i="1"/>
  <c r="X69" i="1" s="1"/>
  <c r="Q69" i="1"/>
  <c r="M69" i="1"/>
  <c r="AB68" i="1"/>
  <c r="AA68" i="1"/>
  <c r="Y68" i="1"/>
  <c r="W68" i="1"/>
  <c r="X68" i="1" s="1"/>
  <c r="Q68" i="1"/>
  <c r="M68" i="1"/>
  <c r="AB67" i="1"/>
  <c r="AA67" i="1"/>
  <c r="Y67" i="1"/>
  <c r="W67" i="1"/>
  <c r="X67" i="1" s="1"/>
  <c r="Q67" i="1"/>
  <c r="M67" i="1"/>
  <c r="AB66" i="1"/>
  <c r="AA66" i="1"/>
  <c r="Y66" i="1"/>
  <c r="W66" i="1"/>
  <c r="X66" i="1" s="1"/>
  <c r="Q66" i="1"/>
  <c r="M66" i="1"/>
  <c r="AB65" i="1"/>
  <c r="AA65" i="1"/>
  <c r="Y65" i="1"/>
  <c r="W65" i="1"/>
  <c r="X65" i="1" s="1"/>
  <c r="Q65" i="1"/>
  <c r="M65" i="1"/>
  <c r="AB64" i="1"/>
  <c r="AA64" i="1"/>
  <c r="Y64" i="1"/>
  <c r="W64" i="1"/>
  <c r="X64" i="1" s="1"/>
  <c r="Q64" i="1"/>
  <c r="M64" i="1"/>
  <c r="AB63" i="1"/>
  <c r="AA63" i="1"/>
  <c r="Y63" i="1"/>
  <c r="W63" i="1"/>
  <c r="X63" i="1" s="1"/>
  <c r="Q63" i="1"/>
  <c r="M63" i="1"/>
  <c r="AB62" i="1"/>
  <c r="AA62" i="1"/>
  <c r="Y62" i="1"/>
  <c r="W62" i="1"/>
  <c r="X62" i="1" s="1"/>
  <c r="Q62" i="1"/>
  <c r="M62" i="1"/>
  <c r="AB61" i="1"/>
  <c r="AA61" i="1"/>
  <c r="Y61" i="1"/>
  <c r="W61" i="1"/>
  <c r="X61" i="1" s="1"/>
  <c r="Q61" i="1"/>
  <c r="M61" i="1"/>
  <c r="AB60" i="1"/>
  <c r="AA60" i="1"/>
  <c r="Y60" i="1"/>
  <c r="W60" i="1"/>
  <c r="X60" i="1" s="1"/>
  <c r="Q60" i="1"/>
  <c r="M60" i="1"/>
  <c r="AB59" i="1"/>
  <c r="AA59" i="1"/>
  <c r="Y59" i="1"/>
  <c r="W59" i="1"/>
  <c r="X59" i="1" s="1"/>
  <c r="Q59" i="1"/>
  <c r="M59" i="1"/>
  <c r="AB58" i="1"/>
  <c r="AA58" i="1"/>
  <c r="Y58" i="1"/>
  <c r="W58" i="1"/>
  <c r="X58" i="1" s="1"/>
  <c r="Q58" i="1"/>
  <c r="M58" i="1"/>
  <c r="AB57" i="1"/>
  <c r="AA57" i="1"/>
  <c r="Y57" i="1"/>
  <c r="W57" i="1"/>
  <c r="X57" i="1" s="1"/>
  <c r="Q57" i="1"/>
  <c r="M57" i="1"/>
  <c r="AB56" i="1"/>
  <c r="AA56" i="1"/>
  <c r="Y56" i="1"/>
  <c r="W56" i="1"/>
  <c r="X56" i="1" s="1"/>
  <c r="Q56" i="1"/>
  <c r="M56" i="1"/>
  <c r="AB55" i="1"/>
  <c r="AA55" i="1"/>
  <c r="Y55" i="1"/>
  <c r="W55" i="1"/>
  <c r="X55" i="1" s="1"/>
  <c r="Q55" i="1"/>
  <c r="M55" i="1"/>
  <c r="AB54" i="1"/>
  <c r="AA54" i="1"/>
  <c r="Y54" i="1"/>
  <c r="W54" i="1"/>
  <c r="X54" i="1" s="1"/>
  <c r="Q54" i="1"/>
  <c r="M54" i="1"/>
  <c r="AB53" i="1"/>
  <c r="AA53" i="1"/>
  <c r="Y53" i="1"/>
  <c r="W53" i="1"/>
  <c r="X53" i="1" s="1"/>
  <c r="Q53" i="1"/>
  <c r="M53" i="1"/>
  <c r="AB52" i="1"/>
  <c r="AA52" i="1"/>
  <c r="Y52" i="1"/>
  <c r="W52" i="1"/>
  <c r="X52" i="1" s="1"/>
  <c r="Q52" i="1"/>
  <c r="M52" i="1"/>
  <c r="AB51" i="1"/>
  <c r="AA51" i="1"/>
  <c r="Y51" i="1"/>
  <c r="W51" i="1"/>
  <c r="X51" i="1" s="1"/>
  <c r="Q51" i="1"/>
  <c r="M51" i="1"/>
  <c r="AB50" i="1"/>
  <c r="AA50" i="1"/>
  <c r="Y50" i="1"/>
  <c r="W50" i="1"/>
  <c r="X50" i="1" s="1"/>
  <c r="Q50" i="1"/>
  <c r="M50" i="1"/>
  <c r="AB49" i="1"/>
  <c r="AA49" i="1"/>
  <c r="Y49" i="1"/>
  <c r="W49" i="1"/>
  <c r="X49" i="1" s="1"/>
  <c r="Q49" i="1"/>
  <c r="M49" i="1"/>
  <c r="AB48" i="1"/>
  <c r="AA48" i="1"/>
  <c r="Y48" i="1"/>
  <c r="W48" i="1"/>
  <c r="X48" i="1" s="1"/>
  <c r="Q48" i="1"/>
  <c r="M48" i="1"/>
  <c r="AB47" i="1"/>
  <c r="AA47" i="1"/>
  <c r="Y47" i="1"/>
  <c r="W47" i="1"/>
  <c r="X47" i="1" s="1"/>
  <c r="Q47" i="1"/>
  <c r="M47" i="1"/>
  <c r="AB46" i="1"/>
  <c r="AA46" i="1"/>
  <c r="Y46" i="1"/>
  <c r="W46" i="1"/>
  <c r="X46" i="1" s="1"/>
  <c r="Q46" i="1"/>
  <c r="M46" i="1"/>
  <c r="AB45" i="1"/>
  <c r="AA45" i="1"/>
  <c r="Y45" i="1"/>
  <c r="W45" i="1"/>
  <c r="X45" i="1" s="1"/>
  <c r="Q45" i="1"/>
  <c r="M45" i="1"/>
  <c r="AB44" i="1"/>
  <c r="AA44" i="1"/>
  <c r="Y44" i="1"/>
  <c r="W44" i="1"/>
  <c r="X44" i="1" s="1"/>
  <c r="Q44" i="1"/>
  <c r="M44" i="1"/>
  <c r="AB43" i="1"/>
  <c r="AA43" i="1"/>
  <c r="Y43" i="1"/>
  <c r="W43" i="1"/>
  <c r="X43" i="1" s="1"/>
  <c r="Q43" i="1"/>
  <c r="M43" i="1"/>
  <c r="AB42" i="1"/>
  <c r="AA42" i="1"/>
  <c r="Y42" i="1"/>
  <c r="W42" i="1"/>
  <c r="X42" i="1" s="1"/>
  <c r="Q42" i="1"/>
  <c r="M42" i="1"/>
  <c r="AB41" i="1"/>
  <c r="AA41" i="1"/>
  <c r="Y41" i="1"/>
  <c r="W41" i="1"/>
  <c r="X41" i="1" s="1"/>
  <c r="Q41" i="1"/>
  <c r="M41" i="1"/>
  <c r="AB40" i="1"/>
  <c r="AA40" i="1"/>
  <c r="Y40" i="1"/>
  <c r="W40" i="1"/>
  <c r="X40" i="1" s="1"/>
  <c r="Q40" i="1"/>
  <c r="M40" i="1"/>
  <c r="AB39" i="1"/>
  <c r="AA39" i="1"/>
  <c r="Y39" i="1"/>
  <c r="W39" i="1"/>
  <c r="X39" i="1" s="1"/>
  <c r="Q39" i="1"/>
  <c r="M39" i="1"/>
  <c r="AB38" i="1"/>
  <c r="AA38" i="1"/>
  <c r="Y38" i="1"/>
  <c r="W38" i="1"/>
  <c r="X38" i="1" s="1"/>
  <c r="Q38" i="1"/>
  <c r="M38" i="1"/>
  <c r="AB37" i="1"/>
  <c r="AA37" i="1"/>
  <c r="Y37" i="1"/>
  <c r="W37" i="1"/>
  <c r="X37" i="1" s="1"/>
  <c r="Q37" i="1"/>
  <c r="M37" i="1"/>
  <c r="AB36" i="1"/>
  <c r="AA36" i="1"/>
  <c r="Y36" i="1"/>
  <c r="W36" i="1"/>
  <c r="X36" i="1" s="1"/>
  <c r="Q36" i="1"/>
  <c r="M36" i="1"/>
  <c r="AB35" i="1"/>
  <c r="AA35" i="1"/>
  <c r="Y35" i="1"/>
  <c r="W35" i="1"/>
  <c r="X35" i="1" s="1"/>
  <c r="Q35" i="1"/>
  <c r="M35" i="1"/>
  <c r="AB34" i="1"/>
  <c r="AA34" i="1"/>
  <c r="Y34" i="1"/>
  <c r="W34" i="1"/>
  <c r="X34" i="1" s="1"/>
  <c r="Q34" i="1"/>
  <c r="M34" i="1"/>
  <c r="AB33" i="1"/>
  <c r="AA33" i="1"/>
  <c r="Y33" i="1"/>
  <c r="W33" i="1"/>
  <c r="X33" i="1" s="1"/>
  <c r="Q33" i="1"/>
  <c r="M33" i="1"/>
  <c r="AB32" i="1"/>
  <c r="AA32" i="1"/>
  <c r="Y32" i="1"/>
  <c r="W32" i="1"/>
  <c r="X32" i="1" s="1"/>
  <c r="Q32" i="1"/>
  <c r="M32" i="1"/>
  <c r="AB31" i="1"/>
  <c r="AA31" i="1"/>
  <c r="Y31" i="1"/>
  <c r="W31" i="1"/>
  <c r="X31" i="1" s="1"/>
  <c r="Q31" i="1"/>
  <c r="M31" i="1"/>
  <c r="AB30" i="1"/>
  <c r="AA30" i="1"/>
  <c r="Y30" i="1"/>
  <c r="W30" i="1"/>
  <c r="X30" i="1" s="1"/>
  <c r="Q30" i="1"/>
  <c r="M30" i="1"/>
  <c r="AB29" i="1"/>
  <c r="AA29" i="1"/>
  <c r="Y29" i="1"/>
  <c r="W29" i="1"/>
  <c r="X29" i="1" s="1"/>
  <c r="Q29" i="1"/>
  <c r="M29" i="1"/>
  <c r="AB28" i="1"/>
  <c r="AA28" i="1"/>
  <c r="Y28" i="1"/>
  <c r="W28" i="1"/>
  <c r="X28" i="1" s="1"/>
  <c r="Q28" i="1"/>
  <c r="M28" i="1"/>
  <c r="AB27" i="1"/>
  <c r="AA27" i="1"/>
  <c r="Y27" i="1"/>
  <c r="W27" i="1"/>
  <c r="X27" i="1" s="1"/>
  <c r="Q27" i="1"/>
  <c r="M27" i="1"/>
  <c r="AB26" i="1"/>
  <c r="AA26" i="1"/>
  <c r="Y26" i="1"/>
  <c r="W26" i="1"/>
  <c r="X26" i="1" s="1"/>
  <c r="Q26" i="1"/>
  <c r="M26" i="1"/>
  <c r="AB25" i="1"/>
  <c r="AA25" i="1"/>
  <c r="Y25" i="1"/>
  <c r="W25" i="1"/>
  <c r="X25" i="1" s="1"/>
  <c r="Q25" i="1"/>
  <c r="M25" i="1"/>
  <c r="AB24" i="1"/>
  <c r="AA24" i="1"/>
  <c r="Y24" i="1"/>
  <c r="W24" i="1"/>
  <c r="X24" i="1" s="1"/>
  <c r="Q24" i="1"/>
  <c r="M24" i="1"/>
  <c r="AB23" i="1"/>
  <c r="AA23" i="1"/>
  <c r="Y23" i="1"/>
  <c r="W23" i="1"/>
  <c r="X23" i="1" s="1"/>
  <c r="Q23" i="1"/>
  <c r="M23" i="1"/>
  <c r="AB22" i="1"/>
  <c r="AA22" i="1"/>
  <c r="Y22" i="1"/>
  <c r="W22" i="1"/>
  <c r="X22" i="1" s="1"/>
  <c r="Q22" i="1"/>
  <c r="M22" i="1"/>
  <c r="AB21" i="1"/>
  <c r="AA21" i="1"/>
  <c r="Y21" i="1"/>
  <c r="W21" i="1"/>
  <c r="X21" i="1" s="1"/>
  <c r="Q21" i="1"/>
  <c r="M21" i="1"/>
  <c r="AB20" i="1"/>
  <c r="AA20" i="1"/>
  <c r="Y20" i="1"/>
  <c r="W20" i="1"/>
  <c r="X20" i="1" s="1"/>
  <c r="Q20" i="1"/>
  <c r="M20" i="1"/>
  <c r="AB19" i="1"/>
  <c r="AA19" i="1"/>
  <c r="Y19" i="1"/>
  <c r="W19" i="1"/>
  <c r="X19" i="1" s="1"/>
  <c r="Q19" i="1"/>
  <c r="M19" i="1"/>
  <c r="AB18" i="1"/>
  <c r="AA18" i="1"/>
  <c r="Y18" i="1"/>
  <c r="W18" i="1"/>
  <c r="X18" i="1" s="1"/>
  <c r="Q18" i="1"/>
  <c r="M18" i="1"/>
  <c r="AB17" i="1"/>
  <c r="AA17" i="1"/>
  <c r="Y17" i="1"/>
  <c r="W17" i="1"/>
  <c r="X17" i="1" s="1"/>
  <c r="Q17" i="1"/>
  <c r="M17" i="1"/>
  <c r="AB16" i="1"/>
  <c r="AA16" i="1"/>
  <c r="Y16" i="1"/>
  <c r="W16" i="1"/>
  <c r="X16" i="1" s="1"/>
  <c r="Q16" i="1"/>
  <c r="M16" i="1"/>
  <c r="AB15" i="1"/>
  <c r="AA15" i="1"/>
  <c r="Y15" i="1"/>
  <c r="W15" i="1"/>
  <c r="X15" i="1" s="1"/>
  <c r="Q15" i="1"/>
  <c r="M15" i="1"/>
  <c r="AB14" i="1"/>
  <c r="AA14" i="1"/>
  <c r="Y14" i="1"/>
  <c r="W14" i="1"/>
  <c r="X14" i="1" s="1"/>
  <c r="Q14" i="1"/>
  <c r="M14" i="1"/>
  <c r="AB13" i="1"/>
  <c r="AA13" i="1"/>
  <c r="Y13" i="1"/>
  <c r="W13" i="1"/>
  <c r="X13" i="1" s="1"/>
  <c r="Q13" i="1"/>
  <c r="M13" i="1"/>
  <c r="AB12" i="1"/>
  <c r="AA12" i="1"/>
  <c r="Y12" i="1"/>
  <c r="W12" i="1"/>
  <c r="X12" i="1" s="1"/>
  <c r="Q12" i="1"/>
  <c r="M12" i="1"/>
  <c r="AB11" i="1"/>
  <c r="AA11" i="1"/>
  <c r="Y11" i="1"/>
  <c r="W11" i="1"/>
  <c r="X11" i="1" s="1"/>
  <c r="Q11" i="1"/>
  <c r="M11" i="1"/>
  <c r="AB10" i="1"/>
  <c r="AA10" i="1"/>
  <c r="Y10" i="1"/>
  <c r="W10" i="1"/>
  <c r="X10" i="1" s="1"/>
  <c r="Q10" i="1"/>
  <c r="M10" i="1"/>
  <c r="AB9" i="1"/>
  <c r="AA9" i="1"/>
  <c r="Y9" i="1"/>
  <c r="W9" i="1"/>
  <c r="X9" i="1" s="1"/>
  <c r="Q9" i="1"/>
  <c r="M9" i="1"/>
  <c r="AB8" i="1"/>
  <c r="AA8" i="1"/>
  <c r="Y8" i="1"/>
  <c r="W8" i="1"/>
  <c r="X8" i="1" s="1"/>
  <c r="Q8" i="1"/>
  <c r="M8" i="1"/>
  <c r="AB7" i="1"/>
  <c r="AA7" i="1"/>
  <c r="Y7" i="1"/>
  <c r="W7" i="1"/>
  <c r="X7" i="1" s="1"/>
  <c r="Q7" i="1"/>
  <c r="M7" i="1"/>
  <c r="AB6" i="1"/>
  <c r="AA6" i="1"/>
  <c r="Y6" i="1"/>
  <c r="W6" i="1"/>
  <c r="X6" i="1" s="1"/>
  <c r="Q6" i="1"/>
  <c r="M6" i="1"/>
  <c r="AB5" i="1"/>
  <c r="AA5" i="1"/>
  <c r="Y5" i="1"/>
  <c r="W5" i="1"/>
  <c r="X5" i="1" s="1"/>
  <c r="Q5" i="1"/>
  <c r="M5" i="1"/>
  <c r="AB4" i="1"/>
  <c r="AA4" i="1"/>
  <c r="Y4" i="1"/>
  <c r="W4" i="1"/>
  <c r="X4" i="1" s="1"/>
  <c r="Q4" i="1"/>
  <c r="M4" i="1"/>
  <c r="AB3" i="1"/>
  <c r="AA3" i="1"/>
  <c r="Y3" i="1"/>
  <c r="W3" i="1"/>
  <c r="X3" i="1" s="1"/>
  <c r="Q3" i="1"/>
  <c r="M3" i="1"/>
  <c r="AB2" i="1"/>
  <c r="AA2" i="1"/>
  <c r="Y2" i="1"/>
  <c r="W2" i="1"/>
  <c r="X2" i="1" s="1"/>
  <c r="Q2" i="1"/>
  <c r="M2" i="1"/>
  <c r="AA172" i="1" l="1"/>
  <c r="AA173" i="1"/>
</calcChain>
</file>

<file path=xl/sharedStrings.xml><?xml version="1.0" encoding="utf-8"?>
<sst xmlns="http://schemas.openxmlformats.org/spreadsheetml/2006/main" count="835" uniqueCount="262">
  <si>
    <t>Empreendimento</t>
  </si>
  <si>
    <t>Fração</t>
  </si>
  <si>
    <t>Piso</t>
  </si>
  <si>
    <t>Tipologia</t>
  </si>
  <si>
    <t>Vista</t>
  </si>
  <si>
    <t>ABP</t>
  </si>
  <si>
    <t>Varanda/Terraço</t>
  </si>
  <si>
    <t>Área Total</t>
  </si>
  <si>
    <t>PVP</t>
  </si>
  <si>
    <t>Ano Referência</t>
  </si>
  <si>
    <t>Sem Varanda/Terraço</t>
  </si>
  <si>
    <t>Com Varanda/Terraço</t>
  </si>
  <si>
    <t>Del Mar Waterfront</t>
  </si>
  <si>
    <t>A</t>
  </si>
  <si>
    <t>R/C</t>
  </si>
  <si>
    <t>T2</t>
  </si>
  <si>
    <t>B</t>
  </si>
  <si>
    <t>G</t>
  </si>
  <si>
    <t>H</t>
  </si>
  <si>
    <t>K</t>
  </si>
  <si>
    <t>L</t>
  </si>
  <si>
    <t>M</t>
  </si>
  <si>
    <t>Q</t>
  </si>
  <si>
    <t>U</t>
  </si>
  <si>
    <t>W</t>
  </si>
  <si>
    <t>T1</t>
  </si>
  <si>
    <t>X</t>
  </si>
  <si>
    <t>Y</t>
  </si>
  <si>
    <t>Z</t>
  </si>
  <si>
    <t>D</t>
  </si>
  <si>
    <t>AI</t>
  </si>
  <si>
    <t>AK</t>
  </si>
  <si>
    <t>AL</t>
  </si>
  <si>
    <t>AS</t>
  </si>
  <si>
    <t>AW</t>
  </si>
  <si>
    <t>AX</t>
  </si>
  <si>
    <t>BK</t>
  </si>
  <si>
    <t>BL</t>
  </si>
  <si>
    <t>BN</t>
  </si>
  <si>
    <t>BO</t>
  </si>
  <si>
    <t>BQ</t>
  </si>
  <si>
    <t>BS</t>
  </si>
  <si>
    <t>BU</t>
  </si>
  <si>
    <t>BW</t>
  </si>
  <si>
    <t>BX</t>
  </si>
  <si>
    <t>BY</t>
  </si>
  <si>
    <t>BZ</t>
  </si>
  <si>
    <t>T3</t>
  </si>
  <si>
    <t>CF</t>
  </si>
  <si>
    <t>CG</t>
  </si>
  <si>
    <t>CI</t>
  </si>
  <si>
    <t>CJ</t>
  </si>
  <si>
    <t>CK</t>
  </si>
  <si>
    <t>CL</t>
  </si>
  <si>
    <t>CO</t>
  </si>
  <si>
    <t>CR</t>
  </si>
  <si>
    <t>CT</t>
  </si>
  <si>
    <t>CV</t>
  </si>
  <si>
    <t>DB</t>
  </si>
  <si>
    <t>DD</t>
  </si>
  <si>
    <t>DE</t>
  </si>
  <si>
    <t>DH</t>
  </si>
  <si>
    <t>DO</t>
  </si>
  <si>
    <t>DS</t>
  </si>
  <si>
    <t>Le Parc</t>
  </si>
  <si>
    <t>1.1</t>
  </si>
  <si>
    <t>1.2</t>
  </si>
  <si>
    <t>2.1</t>
  </si>
  <si>
    <t>2.2</t>
  </si>
  <si>
    <t>3.1</t>
  </si>
  <si>
    <t>3.2</t>
  </si>
  <si>
    <t>4.1</t>
  </si>
  <si>
    <t>4.2</t>
  </si>
  <si>
    <t>1.3</t>
  </si>
  <si>
    <t>1.4</t>
  </si>
  <si>
    <t>1.5</t>
  </si>
  <si>
    <t>1.6</t>
  </si>
  <si>
    <t>2.3</t>
  </si>
  <si>
    <t>2.4</t>
  </si>
  <si>
    <t>2.5</t>
  </si>
  <si>
    <t>2.6</t>
  </si>
  <si>
    <t>3.3</t>
  </si>
  <si>
    <t>3.4</t>
  </si>
  <si>
    <t>3.5</t>
  </si>
  <si>
    <t>3.6</t>
  </si>
  <si>
    <t>4.3</t>
  </si>
  <si>
    <t>4.4</t>
  </si>
  <si>
    <t>T4</t>
  </si>
  <si>
    <t>4.5</t>
  </si>
  <si>
    <t>5.1</t>
  </si>
  <si>
    <t>5.2</t>
  </si>
  <si>
    <t>5.3</t>
  </si>
  <si>
    <t>5.4</t>
  </si>
  <si>
    <t>5.5</t>
  </si>
  <si>
    <t>6.1</t>
  </si>
  <si>
    <t>6.2</t>
  </si>
  <si>
    <t>6.3</t>
  </si>
  <si>
    <t>6.4</t>
  </si>
  <si>
    <t>6.5</t>
  </si>
  <si>
    <t>The View</t>
  </si>
  <si>
    <t>Apartamento 1</t>
  </si>
  <si>
    <t>Apartamento 2</t>
  </si>
  <si>
    <t>Apartamento 3</t>
  </si>
  <si>
    <t>Apartamento 4</t>
  </si>
  <si>
    <t>T1+1</t>
  </si>
  <si>
    <t>Apartamento 5</t>
  </si>
  <si>
    <t>Apartamento 6</t>
  </si>
  <si>
    <t>T2+1</t>
  </si>
  <si>
    <t>Apartamento 7</t>
  </si>
  <si>
    <t>Apartamento 8</t>
  </si>
  <si>
    <t>Apartamento 9</t>
  </si>
  <si>
    <t>Apartamento 10</t>
  </si>
  <si>
    <t>Apartamento 11</t>
  </si>
  <si>
    <t>Apartamento 12</t>
  </si>
  <si>
    <t>Apartamento 13</t>
  </si>
  <si>
    <t>Apartamento 14</t>
  </si>
  <si>
    <t>Apartamento 15</t>
  </si>
  <si>
    <t>Apartamento 16</t>
  </si>
  <si>
    <t>Apartamento 17</t>
  </si>
  <si>
    <t>Apartamento 18</t>
  </si>
  <si>
    <t>Apartamento 19</t>
  </si>
  <si>
    <t>Apartamento 20</t>
  </si>
  <si>
    <t>Apartamento 21</t>
  </si>
  <si>
    <t>Apartamento 22</t>
  </si>
  <si>
    <t>Apartamento 23</t>
  </si>
  <si>
    <t>Apartamento 24</t>
  </si>
  <si>
    <t>Apartamento 25</t>
  </si>
  <si>
    <t>Apartamento 26</t>
  </si>
  <si>
    <t>Apartamento 27</t>
  </si>
  <si>
    <t>Apartamento 28</t>
  </si>
  <si>
    <t>Apartamento 29</t>
  </si>
  <si>
    <t>Apartamento 30</t>
  </si>
  <si>
    <t>Apartamento 31</t>
  </si>
  <si>
    <t>Apartamento 32</t>
  </si>
  <si>
    <t>Apartamento 33</t>
  </si>
  <si>
    <t>Apartamento 34</t>
  </si>
  <si>
    <t>Apartamento 35</t>
  </si>
  <si>
    <t>T1-Duplex</t>
  </si>
  <si>
    <t>Apartamento 36</t>
  </si>
  <si>
    <t>Apartamento 37</t>
  </si>
  <si>
    <t>Apartamento 38</t>
  </si>
  <si>
    <t>Apartamento 39</t>
  </si>
  <si>
    <t>Aura Living</t>
  </si>
  <si>
    <t>S</t>
  </si>
  <si>
    <t>O</t>
  </si>
  <si>
    <t>N</t>
  </si>
  <si>
    <t>R</t>
  </si>
  <si>
    <t>AA</t>
  </si>
  <si>
    <t>BB</t>
  </si>
  <si>
    <t>CC</t>
  </si>
  <si>
    <t>EE</t>
  </si>
  <si>
    <t>FF</t>
  </si>
  <si>
    <t>GG</t>
  </si>
  <si>
    <t>HH</t>
  </si>
  <si>
    <t>I</t>
  </si>
  <si>
    <t>J</t>
  </si>
  <si>
    <t>II</t>
  </si>
  <si>
    <t>JJ</t>
  </si>
  <si>
    <t>KK</t>
  </si>
  <si>
    <t>INSTRUÇÕES PARA ATUALIZAR O DASHBOARD</t>
  </si>
  <si>
    <t>1. ESTRUTURA DO FICHEIRO</t>
  </si>
  <si>
    <t xml:space="preserve">   - Mantenha a folha 'Dados' com exatamente as mesmas colunas</t>
  </si>
  <si>
    <t xml:space="preserve">   - Não altere os nomes das colunas</t>
  </si>
  <si>
    <t xml:space="preserve">   - Não deixe linhas em branco no meio dos dados</t>
  </si>
  <si>
    <t>2. COLUNAS OBRIGATÓRIAS</t>
  </si>
  <si>
    <t xml:space="preserve">   • Empreendimento: Nome do empreendimento (ex: The View, Del Mar Waterfront, Aura Living)</t>
  </si>
  <si>
    <t xml:space="preserve">   • Fração: Identificador único (ex: Apartamento 1, W, CG)</t>
  </si>
  <si>
    <t xml:space="preserve">   • Piso: Número do piso ou R/C (ex: 1, 2, R/C)</t>
  </si>
  <si>
    <t xml:space="preserve">   • Tipologia: Tipo de apartamento (ex: T1, T2, T3, T1+1, T2+1, T1-Duplex)</t>
  </si>
  <si>
    <t xml:space="preserve">   • Vista: Código numérico da vista (ex: 1, 2, 3, 4)</t>
  </si>
  <si>
    <t xml:space="preserve">   • ABP: Área Bruta Privativa em m² (ex: 99.7)</t>
  </si>
  <si>
    <t xml:space="preserve">   • Varanda/Terraço: Área da varanda em m² (ex: 43.4)</t>
  </si>
  <si>
    <t xml:space="preserve">   • PVP: Preço de venda em € (ex: 545000)</t>
  </si>
  <si>
    <t xml:space="preserve">   • Ano Referência: Ano dos dados (ex: 2026)</t>
  </si>
  <si>
    <t>3. COMO ADICIONAR NOVOS EMPREENDIMENTOS</t>
  </si>
  <si>
    <t xml:space="preserve">   - Adicione novas linhas no final da tabela</t>
  </si>
  <si>
    <t xml:space="preserve">   - Preencha todos os campos obrigatórios</t>
  </si>
  <si>
    <t xml:space="preserve">   - Use o mesmo formato de dados (sem símbolos de moeda, etc)</t>
  </si>
  <si>
    <t>4. COMO FAZER UPLOAD</t>
  </si>
  <si>
    <t xml:space="preserve">   - Aceda ao dashboard em: viewdash-4miuthwx.manus.space</t>
  </si>
  <si>
    <t xml:space="preserve">   - Clique na aba '🔄 Atualizar'</t>
  </si>
  <si>
    <t xml:space="preserve">   - Clique em 'Selecionar Ficheiro'</t>
  </si>
  <si>
    <t xml:space="preserve">   - Escolha este ficheiro Excel</t>
  </si>
  <si>
    <t xml:space="preserve">   - O dashboard será atualizado automaticamente</t>
  </si>
  <si>
    <t>5. NOTAS IMPORTANTES</t>
  </si>
  <si>
    <t xml:space="preserve">   • T1+1, T1-Duplex são comparados com T2 (configurável na aba ⚙️ Configuração)</t>
  </si>
  <si>
    <t xml:space="preserve">   • Certifique-se de que não há espaços em branco extras nos nomes</t>
  </si>
  <si>
    <t xml:space="preserve">   • Use sempre o mesmo formato de data e números</t>
  </si>
  <si>
    <t xml:space="preserve">   • Faça backup do ficheiro antes de fazer grandes alterações</t>
  </si>
  <si>
    <t xml:space="preserve">   • Este ficheiro inclui todos os 4 empreendimentos: The View, Del Mar Waterfront, Le Parc, Aura Living</t>
  </si>
  <si>
    <t>Status</t>
  </si>
  <si>
    <t>Fonte</t>
  </si>
  <si>
    <t>URL</t>
  </si>
  <si>
    <t>Data de atualização</t>
  </si>
  <si>
    <t>Segmento</t>
  </si>
  <si>
    <t>Condição</t>
  </si>
  <si>
    <t>Ano de entrega</t>
  </si>
  <si>
    <t>Garagem</t>
  </si>
  <si>
    <t>Piscina</t>
  </si>
  <si>
    <t>Distância ao The View</t>
  </si>
  <si>
    <t>Peso comparável</t>
  </si>
  <si>
    <t>Camada compset</t>
  </si>
  <si>
    <t>Qualidade dados</t>
  </si>
  <si>
    <t>Observações comerciais</t>
  </si>
  <si>
    <t>Ação recomendada</t>
  </si>
  <si>
    <t>Prioridade atualização</t>
  </si>
  <si>
    <t>Nova construção</t>
  </si>
  <si>
    <t>Diagnóstico da base de dados — The View</t>
  </si>
  <si>
    <t>Métrica</t>
  </si>
  <si>
    <t>Valor</t>
  </si>
  <si>
    <t>Comentário</t>
  </si>
  <si>
    <t>Total de linhas</t>
  </si>
  <si>
    <t>Inclui The View e concorrentes</t>
  </si>
  <si>
    <t>Frações The View</t>
  </si>
  <si>
    <t>Projeto próprio</t>
  </si>
  <si>
    <t>Frações concorrentes</t>
  </si>
  <si>
    <t>Base competitiva atual</t>
  </si>
  <si>
    <t>Linhas 2024</t>
  </si>
  <si>
    <t>Prioridade alta de atualização</t>
  </si>
  <si>
    <t>Linhas 2026</t>
  </si>
  <si>
    <t>Base mais atual</t>
  </si>
  <si>
    <t>Empreendimentos concorrentes</t>
  </si>
  <si>
    <t>Ideal: 6 a 10 empreendimentos</t>
  </si>
  <si>
    <t>Linhas</t>
  </si>
  <si>
    <t>Mediana €/m² total</t>
  </si>
  <si>
    <t>Mín. €/m²</t>
  </si>
  <si>
    <t>Máx. €/m²</t>
  </si>
  <si>
    <t>Diagnóstico</t>
  </si>
  <si>
    <t>Concorrente relevante; atualizar fontes</t>
  </si>
  <si>
    <t>Rever peso: benchmark secundário</t>
  </si>
  <si>
    <t>Plano de melhoria do compset</t>
  </si>
  <si>
    <t>Prioridade</t>
  </si>
  <si>
    <t>Ação</t>
  </si>
  <si>
    <t>Como preencher</t>
  </si>
  <si>
    <t>Impacto no dashboard</t>
  </si>
  <si>
    <t>Responsável</t>
  </si>
  <si>
    <t>Estado</t>
  </si>
  <si>
    <t>Alta</t>
  </si>
  <si>
    <t>Atualizar todos os concorrentes de 2024</t>
  </si>
  <si>
    <t>Confirmar PVP, status e URL nos portais/fontes comerciais</t>
  </si>
  <si>
    <t>Reduz distorção do pricing</t>
  </si>
  <si>
    <t>Por fazer</t>
  </si>
  <si>
    <t>Adicionar 3–6 novos empreendimentos premium</t>
  </si>
  <si>
    <t>Olhão, Marina, Ria Formosa, waterfront, nova construção</t>
  </si>
  <si>
    <t>Aumenta robustez do preço IA/rigoroso</t>
  </si>
  <si>
    <t>Classificar Le Parc como benchmark local</t>
  </si>
  <si>
    <t>Manter, mas com peso inferior ao premium waterfront</t>
  </si>
  <si>
    <t>Evita subprecificação por comparável fraco</t>
  </si>
  <si>
    <t>Média</t>
  </si>
  <si>
    <t>Completar Fonte, URL e Data de atualização</t>
  </si>
  <si>
    <t>Obrigatório para linhas concorrentes</t>
  </si>
  <si>
    <t>Melhora qualidade e auditabilidade</t>
  </si>
  <si>
    <t>Preencher Garagem/Piscina/Condição</t>
  </si>
  <si>
    <t>Usar Sim/Não/A confirmar</t>
  </si>
  <si>
    <t>Permite ajustes finos futuros</t>
  </si>
  <si>
    <t>Criar equivalências comerciais para T1+1/T2+1/Duplex</t>
  </si>
  <si>
    <t>Documentar na coluna Observações comerciais</t>
  </si>
  <si>
    <t>Evita amostra vazia para tipologias especiais</t>
  </si>
  <si>
    <t>Baixa</t>
  </si>
  <si>
    <t>Separar vendidos/reservados de disponíveis</t>
  </si>
  <si>
    <t>Status Ativo/Reservado/Vendido</t>
  </si>
  <si>
    <t>Melhora leitura comercial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</si>
</sst>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€\ #,##0"/>
    <numFmt numFmtId="165" formatCode="yyyy\-mm\-dd"/>
  </numFmts>
  <fonts count="5" x14ac:knownFonts="1">
    <font>
      <sz val="11"/>
      <color theme="1"/>
      <name val="Calibri"/>
    </font>
    <font>
      <b/>
      <sz val="11"/>
      <name val="Calibri"/>
    </font>
    <font>
      <sz val="10"/>
      <name val="Calibri"/>
    </font>
    <font>
      <b/>
      <sz val="11"/>
      <color rgb="FFFFFFFF"/>
      <name val="Calibri"/>
    </font>
    <font>
      <b/>
      <sz val="16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37415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2" borderId="0" xfId="0" applyFont="1" applyFill="1" applyAlignment="1">
      <alignment horizontal="center" vertical="center" wrapText="1"/>
    </xf>
    <xf numFmtId="2" fontId="0" fillId="0" borderId="0" xfId="0" applyNumberFormat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2" fontId="0" fillId="0" borderId="0" xfId="0" applyNumberFormat="1"/>
    <xf numFmtId="165" fontId="0" fillId="0" borderId="0" xfId="0" applyNumberFormat="1"/>
    <xf numFmtId="0" fontId="3" fillId="3" borderId="0" xfId="0" applyFont="1" applyFill="1"/>
    <xf numFmtId="164" fontId="0" fillId="0" borderId="0" xfId="0" applyNumberFormat="1"/>
    <xf numFmtId="0" fontId="3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3">
    <dxf>
      <font>
        <b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dosCompset" displayName="DadosCompset" ref="A1:AB173">
  <tableColumns count="28">
    <tableColumn id="1" xr3:uid="{00000000-0010-0000-0000-000001000000}" name="Empreendimento"/>
    <tableColumn id="2" xr3:uid="{00000000-0010-0000-0000-000002000000}" name="Fração"/>
    <tableColumn id="3" xr3:uid="{00000000-0010-0000-0000-000003000000}" name="Piso"/>
    <tableColumn id="4" xr3:uid="{00000000-0010-0000-0000-000004000000}" name="Tipologia"/>
    <tableColumn id="5" xr3:uid="{00000000-0010-0000-0000-000005000000}" name="Vista"/>
    <tableColumn id="6" xr3:uid="{00000000-0010-0000-0000-000006000000}" name="ABP"/>
    <tableColumn id="7" xr3:uid="{00000000-0010-0000-0000-000007000000}" name="Varanda/Terraço"/>
    <tableColumn id="8" xr3:uid="{00000000-0010-0000-0000-000008000000}" name="Área Total"/>
    <tableColumn id="9" xr3:uid="{00000000-0010-0000-0000-000009000000}" name="PVP"/>
    <tableColumn id="10" xr3:uid="{00000000-0010-0000-0000-00000A000000}" name="Ano Referência"/>
    <tableColumn id="11" xr3:uid="{00000000-0010-0000-0000-00000B000000}" name="Sem Varanda/Terraço"/>
    <tableColumn id="12" xr3:uid="{00000000-0010-0000-0000-00000C000000}" name="Com Varanda/Terraço"/>
    <tableColumn id="13" xr3:uid="{00000000-0010-0000-0000-00000D000000}" name="Status"/>
    <tableColumn id="14" xr3:uid="{00000000-0010-0000-0000-00000E000000}" name="Fonte"/>
    <tableColumn id="15" xr3:uid="{00000000-0010-0000-0000-00000F000000}" name="URL"/>
    <tableColumn id="16" xr3:uid="{00000000-0010-0000-0000-000010000000}" name="Data de atualização"/>
    <tableColumn id="17" xr3:uid="{00000000-0010-0000-0000-000011000000}" name="Segmento"/>
    <tableColumn id="18" xr3:uid="{00000000-0010-0000-0000-000012000000}" name="Condição"/>
    <tableColumn id="19" xr3:uid="{00000000-0010-0000-0000-000013000000}" name="Ano de entrega"/>
    <tableColumn id="20" xr3:uid="{00000000-0010-0000-0000-000014000000}" name="Garagem"/>
    <tableColumn id="21" xr3:uid="{00000000-0010-0000-0000-000015000000}" name="Piscina"/>
    <tableColumn id="22" xr3:uid="{00000000-0010-0000-0000-000016000000}" name="Distância ao The View"/>
    <tableColumn id="23" xr3:uid="{00000000-0010-0000-0000-000017000000}" name="Peso comparável"/>
    <tableColumn id="24" xr3:uid="{00000000-0010-0000-0000-000018000000}" name="Camada compset"/>
    <tableColumn id="25" xr3:uid="{00000000-0010-0000-0000-000019000000}" name="Qualidade dados"/>
    <tableColumn id="26" xr3:uid="{00000000-0010-0000-0000-00001A000000}" name="Observações comerciais"/>
    <tableColumn id="27" xr3:uid="{00000000-0010-0000-0000-00001B000000}" name="Ação recomendada"/>
    <tableColumn id="28" xr3:uid="{00000000-0010-0000-0000-00001C000000}" name="Prioridade atualiz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73"/>
  <sheetViews>
    <sheetView tabSelected="1" workbookViewId="0">
      <selection activeCell="AA2" sqref="AA2"/>
    </sheetView>
  </sheetViews>
  <sheetFormatPr defaultRowHeight="14.4" x14ac:dyDescent="0.3"/>
  <cols>
    <col min="1" max="1" width="20" customWidth="1"/>
    <col min="2" max="2" width="14" customWidth="1"/>
    <col min="3" max="3" width="10" customWidth="1"/>
    <col min="4" max="4" width="12" customWidth="1"/>
    <col min="5" max="6" width="10" customWidth="1"/>
    <col min="7" max="7" width="16" customWidth="1"/>
    <col min="8" max="10" width="14" customWidth="1"/>
    <col min="11" max="12" width="18" customWidth="1"/>
    <col min="13" max="13" width="14" customWidth="1"/>
    <col min="14" max="14" width="18" customWidth="1"/>
    <col min="15" max="15" width="32" customWidth="1"/>
    <col min="16" max="16" width="18" customWidth="1"/>
    <col min="17" max="17" width="24" customWidth="1"/>
    <col min="18" max="18" width="18" customWidth="1"/>
    <col min="19" max="19" width="14" customWidth="1"/>
    <col min="20" max="21" width="12" customWidth="1"/>
    <col min="22" max="22" width="18" customWidth="1"/>
    <col min="23" max="23" width="14" customWidth="1"/>
    <col min="24" max="24" width="24" customWidth="1"/>
    <col min="25" max="25" width="16" customWidth="1"/>
    <col min="26" max="26" width="32" customWidth="1"/>
    <col min="27" max="27" width="24" customWidth="1"/>
    <col min="28" max="28" width="18" customWidth="1"/>
  </cols>
  <sheetData>
    <row r="1" spans="1:28" ht="28.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190</v>
      </c>
      <c r="N1" s="4" t="s">
        <v>191</v>
      </c>
      <c r="O1" s="4" t="s">
        <v>192</v>
      </c>
      <c r="P1" s="4" t="s">
        <v>193</v>
      </c>
      <c r="Q1" s="4" t="s">
        <v>194</v>
      </c>
      <c r="R1" s="4" t="s">
        <v>195</v>
      </c>
      <c r="S1" s="4" t="s">
        <v>196</v>
      </c>
      <c r="T1" s="4" t="s">
        <v>197</v>
      </c>
      <c r="U1" s="4" t="s">
        <v>198</v>
      </c>
      <c r="V1" s="4" t="s">
        <v>199</v>
      </c>
      <c r="W1" s="4" t="s">
        <v>200</v>
      </c>
      <c r="X1" s="4" t="s">
        <v>201</v>
      </c>
      <c r="Y1" s="4" t="s">
        <v>202</v>
      </c>
      <c r="Z1" s="4" t="s">
        <v>203</v>
      </c>
      <c r="AA1" s="4" t="s">
        <v>204</v>
      </c>
      <c r="AB1" s="4" t="s">
        <v>205</v>
      </c>
    </row>
    <row r="2" spans="1:28" x14ac:dyDescent="0.3">
      <c r="A2" s="1" t="s">
        <v>12</v>
      </c>
      <c r="B2" s="1" t="s">
        <v>13</v>
      </c>
      <c r="C2" s="1" t="s">
        <v>14</v>
      </c>
      <c r="D2" s="1" t="s">
        <v>15</v>
      </c>
      <c r="E2" s="1">
        <v>1</v>
      </c>
      <c r="F2" s="5">
        <v>117.75</v>
      </c>
      <c r="G2" s="5">
        <v>31.94</v>
      </c>
      <c r="H2" s="5">
        <v>149.69</v>
      </c>
      <c r="I2" s="6">
        <v>1290000</v>
      </c>
      <c r="J2" s="1">
        <v>2026</v>
      </c>
      <c r="K2" s="6">
        <v>10955.414012738849</v>
      </c>
      <c r="L2" s="6">
        <v>8617.8101409579795</v>
      </c>
      <c r="M2" t="str">
        <f t="shared" ref="M2:M33" si="0">IF(A2="The View","Projeto",IF(J2&gt;=2026,"Ativo",IF(J2=2025,"Rever","Histórico")))</f>
        <v>Ativo</v>
      </c>
      <c r="P2" s="8"/>
      <c r="Q2" t="str">
        <f t="shared" ref="Q2:Q33" si="1">IF(A2="The View","Projeto",IF(A2="Le Parc","Benchmark local",IF(OR(A2="Del Mar Waterfront",A2="Aura Living"),"Premium waterfront/marina","A classificar")))</f>
        <v>Premium waterfront/marina</v>
      </c>
      <c r="R2" t="s">
        <v>206</v>
      </c>
      <c r="W2" s="7">
        <f t="shared" ref="W2:W33" si="2">IF(A2="The View",1,MAX(0.25,MIN(1,IF(J2&gt;=2026,1,IF(J2=2025,0.8,IF(J2=2024,0.45,0.3)))*IF(Q2="Premium waterfront/marina",1,IF(Q2="Benchmark local",0.7,0.6))*IF(M2="Vendido",0.65,IF(M2="Reservado",0.8,IF(M2="Histórico",0.55,1))))))</f>
        <v>1</v>
      </c>
      <c r="X2" t="str">
        <f t="shared" ref="X2:X33" si="3">IF(A2="The View","Projeto",IF(W2&gt;=0.85,"A · Premium ativo",IF(W2&gt;=0.55,"B · Benchmark local","C · Histórico/secundário")))</f>
        <v>A · Premium ativo</v>
      </c>
      <c r="Y2" t="str">
        <f t="shared" ref="Y2:Y33" si="4">IF(A2="The View","N/A",IF(AND(N2&lt;&gt;"",O2&lt;&gt;"",P2&lt;&gt;""),"Alta",IF(OR(N2&lt;&gt;"",O2&lt;&gt;"",P2&lt;&gt;""),"Média","Baixa")))</f>
        <v>Baixa</v>
      </c>
      <c r="AA2" t="str">
        <f t="shared" ref="AA2:AA33" si="5">IF(A2="The View","Manter",IF(J2&lt;2026,"Atualizar preço/status",IF(Y2="Baixa","Adicionar fonte/URL/data",IF(W2&lt;0.55,"Rever comparabilidade","OK"))))</f>
        <v>Adicionar fonte/URL/data</v>
      </c>
      <c r="AB2" t="str">
        <f t="shared" ref="AB2:AB33" si="6">IF(A2="The View","",IF(OR(J2&lt;2026,Y2="Baixa"),"Alta",IF(W2&lt;0.55,"Média","Baixa")))</f>
        <v>Alta</v>
      </c>
    </row>
    <row r="3" spans="1:28" x14ac:dyDescent="0.3">
      <c r="A3" s="1" t="s">
        <v>12</v>
      </c>
      <c r="B3" s="1" t="s">
        <v>16</v>
      </c>
      <c r="C3" s="1" t="s">
        <v>14</v>
      </c>
      <c r="D3" s="1" t="s">
        <v>15</v>
      </c>
      <c r="E3" s="1">
        <v>2</v>
      </c>
      <c r="F3" s="5">
        <v>117.75</v>
      </c>
      <c r="G3" s="5">
        <v>32.64</v>
      </c>
      <c r="H3" s="5">
        <v>150.38999999999999</v>
      </c>
      <c r="I3" s="6">
        <v>1290000</v>
      </c>
      <c r="J3" s="1">
        <v>2026</v>
      </c>
      <c r="K3" s="6">
        <v>10955.414012738849</v>
      </c>
      <c r="L3" s="6">
        <v>8577.6979852383811</v>
      </c>
      <c r="M3" t="str">
        <f t="shared" si="0"/>
        <v>Ativo</v>
      </c>
      <c r="P3" s="8"/>
      <c r="Q3" t="str">
        <f t="shared" si="1"/>
        <v>Premium waterfront/marina</v>
      </c>
      <c r="R3" t="s">
        <v>206</v>
      </c>
      <c r="W3" s="7">
        <f t="shared" si="2"/>
        <v>1</v>
      </c>
      <c r="X3" t="str">
        <f t="shared" si="3"/>
        <v>A · Premium ativo</v>
      </c>
      <c r="Y3" t="str">
        <f t="shared" si="4"/>
        <v>Baixa</v>
      </c>
      <c r="AA3" t="str">
        <f t="shared" si="5"/>
        <v>Adicionar fonte/URL/data</v>
      </c>
      <c r="AB3" t="str">
        <f t="shared" si="6"/>
        <v>Alta</v>
      </c>
    </row>
    <row r="4" spans="1:28" x14ac:dyDescent="0.3">
      <c r="A4" s="1" t="s">
        <v>12</v>
      </c>
      <c r="B4" s="1" t="s">
        <v>17</v>
      </c>
      <c r="C4" s="1" t="s">
        <v>14</v>
      </c>
      <c r="D4" s="1" t="s">
        <v>15</v>
      </c>
      <c r="E4" s="1">
        <v>2</v>
      </c>
      <c r="F4" s="5">
        <v>120.72</v>
      </c>
      <c r="G4" s="5">
        <v>22.83</v>
      </c>
      <c r="H4" s="5">
        <v>143.55000000000001</v>
      </c>
      <c r="I4" s="6">
        <v>660000</v>
      </c>
      <c r="J4" s="1">
        <v>2024</v>
      </c>
      <c r="K4" s="6">
        <v>5467.1968190854868</v>
      </c>
      <c r="L4" s="6">
        <v>4597.7011494252874</v>
      </c>
      <c r="M4" t="str">
        <f t="shared" si="0"/>
        <v>Histórico</v>
      </c>
      <c r="P4" s="8"/>
      <c r="Q4" t="str">
        <f t="shared" si="1"/>
        <v>Premium waterfront/marina</v>
      </c>
      <c r="R4" t="s">
        <v>206</v>
      </c>
      <c r="W4" s="7">
        <f t="shared" si="2"/>
        <v>0.25</v>
      </c>
      <c r="X4" t="str">
        <f t="shared" si="3"/>
        <v>C · Histórico/secundário</v>
      </c>
      <c r="Y4" t="str">
        <f t="shared" si="4"/>
        <v>Baixa</v>
      </c>
      <c r="AA4" t="str">
        <f t="shared" si="5"/>
        <v>Atualizar preço/status</v>
      </c>
      <c r="AB4" t="str">
        <f t="shared" si="6"/>
        <v>Alta</v>
      </c>
    </row>
    <row r="5" spans="1:28" x14ac:dyDescent="0.3">
      <c r="A5" s="1" t="s">
        <v>12</v>
      </c>
      <c r="B5" s="1" t="s">
        <v>18</v>
      </c>
      <c r="C5" s="1" t="s">
        <v>14</v>
      </c>
      <c r="D5" s="1" t="s">
        <v>15</v>
      </c>
      <c r="E5" s="1">
        <v>4</v>
      </c>
      <c r="F5" s="5">
        <v>120.72</v>
      </c>
      <c r="G5" s="5">
        <v>23.91</v>
      </c>
      <c r="H5" s="5">
        <v>144.63</v>
      </c>
      <c r="I5" s="6">
        <v>660000</v>
      </c>
      <c r="J5" s="1">
        <v>2024</v>
      </c>
      <c r="K5" s="6">
        <v>5467.1968190854868</v>
      </c>
      <c r="L5" s="6">
        <v>4563.3685957270282</v>
      </c>
      <c r="M5" t="str">
        <f t="shared" si="0"/>
        <v>Histórico</v>
      </c>
      <c r="P5" s="8"/>
      <c r="Q5" t="str">
        <f t="shared" si="1"/>
        <v>Premium waterfront/marina</v>
      </c>
      <c r="R5" t="s">
        <v>206</v>
      </c>
      <c r="W5" s="7">
        <f t="shared" si="2"/>
        <v>0.25</v>
      </c>
      <c r="X5" t="str">
        <f t="shared" si="3"/>
        <v>C · Histórico/secundário</v>
      </c>
      <c r="Y5" t="str">
        <f t="shared" si="4"/>
        <v>Baixa</v>
      </c>
      <c r="AA5" t="str">
        <f t="shared" si="5"/>
        <v>Atualizar preço/status</v>
      </c>
      <c r="AB5" t="str">
        <f t="shared" si="6"/>
        <v>Alta</v>
      </c>
    </row>
    <row r="6" spans="1:28" x14ac:dyDescent="0.3">
      <c r="A6" s="1" t="s">
        <v>12</v>
      </c>
      <c r="B6" s="1" t="s">
        <v>19</v>
      </c>
      <c r="C6" s="1" t="s">
        <v>14</v>
      </c>
      <c r="D6" s="1" t="s">
        <v>15</v>
      </c>
      <c r="E6" s="1">
        <v>3</v>
      </c>
      <c r="F6" s="5">
        <v>116.71</v>
      </c>
      <c r="G6" s="5">
        <v>10.75</v>
      </c>
      <c r="H6" s="5">
        <v>127.46</v>
      </c>
      <c r="I6" s="6">
        <v>575000</v>
      </c>
      <c r="J6" s="1">
        <v>2024</v>
      </c>
      <c r="K6" s="6">
        <v>4926.7414960157657</v>
      </c>
      <c r="L6" s="6">
        <v>4511.2192060254201</v>
      </c>
      <c r="M6" t="str">
        <f t="shared" si="0"/>
        <v>Histórico</v>
      </c>
      <c r="P6" s="8"/>
      <c r="Q6" t="str">
        <f t="shared" si="1"/>
        <v>Premium waterfront/marina</v>
      </c>
      <c r="R6" t="s">
        <v>206</v>
      </c>
      <c r="W6" s="7">
        <f t="shared" si="2"/>
        <v>0.25</v>
      </c>
      <c r="X6" t="str">
        <f t="shared" si="3"/>
        <v>C · Histórico/secundário</v>
      </c>
      <c r="Y6" t="str">
        <f t="shared" si="4"/>
        <v>Baixa</v>
      </c>
      <c r="AA6" t="str">
        <f t="shared" si="5"/>
        <v>Atualizar preço/status</v>
      </c>
      <c r="AB6" t="str">
        <f t="shared" si="6"/>
        <v>Alta</v>
      </c>
    </row>
    <row r="7" spans="1:28" x14ac:dyDescent="0.3">
      <c r="A7" s="1" t="s">
        <v>12</v>
      </c>
      <c r="B7" s="1" t="s">
        <v>20</v>
      </c>
      <c r="C7" s="1">
        <v>1</v>
      </c>
      <c r="D7" s="1" t="s">
        <v>15</v>
      </c>
      <c r="E7" s="1">
        <v>1</v>
      </c>
      <c r="F7" s="5">
        <v>131.76</v>
      </c>
      <c r="G7" s="5">
        <v>28.86</v>
      </c>
      <c r="H7" s="5">
        <v>160.62</v>
      </c>
      <c r="I7" s="6">
        <v>1310000</v>
      </c>
      <c r="J7" s="1">
        <v>2026</v>
      </c>
      <c r="K7" s="6">
        <v>9942.3193685488768</v>
      </c>
      <c r="L7" s="6">
        <v>8155.8959033744241</v>
      </c>
      <c r="M7" t="str">
        <f t="shared" si="0"/>
        <v>Ativo</v>
      </c>
      <c r="P7" s="8"/>
      <c r="Q7" t="str">
        <f t="shared" si="1"/>
        <v>Premium waterfront/marina</v>
      </c>
      <c r="R7" t="s">
        <v>206</v>
      </c>
      <c r="W7" s="7">
        <f t="shared" si="2"/>
        <v>1</v>
      </c>
      <c r="X7" t="str">
        <f t="shared" si="3"/>
        <v>A · Premium ativo</v>
      </c>
      <c r="Y7" t="str">
        <f t="shared" si="4"/>
        <v>Baixa</v>
      </c>
      <c r="AA7" t="str">
        <f t="shared" si="5"/>
        <v>Adicionar fonte/URL/data</v>
      </c>
      <c r="AB7" t="str">
        <f t="shared" si="6"/>
        <v>Alta</v>
      </c>
    </row>
    <row r="8" spans="1:28" x14ac:dyDescent="0.3">
      <c r="A8" s="1" t="s">
        <v>12</v>
      </c>
      <c r="B8" s="1" t="s">
        <v>21</v>
      </c>
      <c r="C8" s="1">
        <v>1</v>
      </c>
      <c r="D8" s="1" t="s">
        <v>15</v>
      </c>
      <c r="E8" s="1">
        <v>2</v>
      </c>
      <c r="F8" s="5">
        <v>131.76</v>
      </c>
      <c r="G8" s="5">
        <v>28.86</v>
      </c>
      <c r="H8" s="5">
        <v>160.62</v>
      </c>
      <c r="I8" s="6">
        <v>1310000</v>
      </c>
      <c r="J8" s="1">
        <v>2026</v>
      </c>
      <c r="K8" s="6">
        <v>9942.3193685488768</v>
      </c>
      <c r="L8" s="6">
        <v>8155.8959033744241</v>
      </c>
      <c r="M8" t="str">
        <f t="shared" si="0"/>
        <v>Ativo</v>
      </c>
      <c r="P8" s="8"/>
      <c r="Q8" t="str">
        <f t="shared" si="1"/>
        <v>Premium waterfront/marina</v>
      </c>
      <c r="R8" t="s">
        <v>206</v>
      </c>
      <c r="W8" s="7">
        <f t="shared" si="2"/>
        <v>1</v>
      </c>
      <c r="X8" t="str">
        <f t="shared" si="3"/>
        <v>A · Premium ativo</v>
      </c>
      <c r="Y8" t="str">
        <f t="shared" si="4"/>
        <v>Baixa</v>
      </c>
      <c r="AA8" t="str">
        <f t="shared" si="5"/>
        <v>Adicionar fonte/URL/data</v>
      </c>
      <c r="AB8" t="str">
        <f t="shared" si="6"/>
        <v>Alta</v>
      </c>
    </row>
    <row r="9" spans="1:28" x14ac:dyDescent="0.3">
      <c r="A9" s="1" t="s">
        <v>12</v>
      </c>
      <c r="B9" s="1" t="s">
        <v>22</v>
      </c>
      <c r="C9" s="1">
        <v>1</v>
      </c>
      <c r="D9" s="1" t="s">
        <v>15</v>
      </c>
      <c r="E9" s="1">
        <v>2</v>
      </c>
      <c r="F9" s="5">
        <v>127.19</v>
      </c>
      <c r="G9" s="5">
        <v>16.07</v>
      </c>
      <c r="H9" s="5">
        <v>143.26</v>
      </c>
      <c r="I9" s="6">
        <v>725000</v>
      </c>
      <c r="J9" s="1">
        <v>2024</v>
      </c>
      <c r="K9" s="6">
        <v>5700.1336583064704</v>
      </c>
      <c r="L9" s="6">
        <v>5060.7287449392716</v>
      </c>
      <c r="M9" t="str">
        <f t="shared" si="0"/>
        <v>Histórico</v>
      </c>
      <c r="P9" s="8"/>
      <c r="Q9" t="str">
        <f t="shared" si="1"/>
        <v>Premium waterfront/marina</v>
      </c>
      <c r="R9" t="s">
        <v>206</v>
      </c>
      <c r="W9" s="7">
        <f t="shared" si="2"/>
        <v>0.25</v>
      </c>
      <c r="X9" t="str">
        <f t="shared" si="3"/>
        <v>C · Histórico/secundário</v>
      </c>
      <c r="Y9" t="str">
        <f t="shared" si="4"/>
        <v>Baixa</v>
      </c>
      <c r="AA9" t="str">
        <f t="shared" si="5"/>
        <v>Atualizar preço/status</v>
      </c>
      <c r="AB9" t="str">
        <f t="shared" si="6"/>
        <v>Alta</v>
      </c>
    </row>
    <row r="10" spans="1:28" x14ac:dyDescent="0.3">
      <c r="A10" s="1" t="s">
        <v>12</v>
      </c>
      <c r="B10" s="1" t="s">
        <v>23</v>
      </c>
      <c r="C10" s="1">
        <v>1</v>
      </c>
      <c r="D10" s="1" t="s">
        <v>15</v>
      </c>
      <c r="E10" s="1">
        <v>3</v>
      </c>
      <c r="F10" s="5">
        <v>91.72</v>
      </c>
      <c r="G10" s="5">
        <v>14.85</v>
      </c>
      <c r="H10" s="5">
        <v>106.57</v>
      </c>
      <c r="I10" s="6">
        <v>690000</v>
      </c>
      <c r="J10" s="1">
        <v>2026</v>
      </c>
      <c r="K10" s="6">
        <v>7522.8957697339729</v>
      </c>
      <c r="L10" s="6">
        <v>6474.6176222201366</v>
      </c>
      <c r="M10" t="str">
        <f t="shared" si="0"/>
        <v>Ativo</v>
      </c>
      <c r="P10" s="8"/>
      <c r="Q10" t="str">
        <f t="shared" si="1"/>
        <v>Premium waterfront/marina</v>
      </c>
      <c r="R10" t="s">
        <v>206</v>
      </c>
      <c r="W10" s="7">
        <f t="shared" si="2"/>
        <v>1</v>
      </c>
      <c r="X10" t="str">
        <f t="shared" si="3"/>
        <v>A · Premium ativo</v>
      </c>
      <c r="Y10" t="str">
        <f t="shared" si="4"/>
        <v>Baixa</v>
      </c>
      <c r="AA10" t="str">
        <f t="shared" si="5"/>
        <v>Adicionar fonte/URL/data</v>
      </c>
      <c r="AB10" t="str">
        <f t="shared" si="6"/>
        <v>Alta</v>
      </c>
    </row>
    <row r="11" spans="1:28" x14ac:dyDescent="0.3">
      <c r="A11" s="1" t="s">
        <v>12</v>
      </c>
      <c r="B11" s="1" t="s">
        <v>24</v>
      </c>
      <c r="C11" s="1">
        <v>1</v>
      </c>
      <c r="D11" s="1" t="s">
        <v>25</v>
      </c>
      <c r="E11" s="1">
        <v>3</v>
      </c>
      <c r="F11" s="5">
        <v>70.58</v>
      </c>
      <c r="G11" s="5">
        <v>3.6</v>
      </c>
      <c r="H11" s="5">
        <v>74.179999999999993</v>
      </c>
      <c r="I11" s="6">
        <v>365000</v>
      </c>
      <c r="J11" s="1">
        <v>2024</v>
      </c>
      <c r="K11" s="6">
        <v>5171.4366676112213</v>
      </c>
      <c r="L11" s="6">
        <v>4920.4637368562962</v>
      </c>
      <c r="M11" t="str">
        <f t="shared" si="0"/>
        <v>Histórico</v>
      </c>
      <c r="P11" s="8"/>
      <c r="Q11" t="str">
        <f t="shared" si="1"/>
        <v>Premium waterfront/marina</v>
      </c>
      <c r="R11" t="s">
        <v>206</v>
      </c>
      <c r="W11" s="7">
        <f t="shared" si="2"/>
        <v>0.25</v>
      </c>
      <c r="X11" t="str">
        <f t="shared" si="3"/>
        <v>C · Histórico/secundário</v>
      </c>
      <c r="Y11" t="str">
        <f t="shared" si="4"/>
        <v>Baixa</v>
      </c>
      <c r="AA11" t="str">
        <f t="shared" si="5"/>
        <v>Atualizar preço/status</v>
      </c>
      <c r="AB11" t="str">
        <f t="shared" si="6"/>
        <v>Alta</v>
      </c>
    </row>
    <row r="12" spans="1:28" x14ac:dyDescent="0.3">
      <c r="A12" s="1" t="s">
        <v>12</v>
      </c>
      <c r="B12" s="1" t="s">
        <v>26</v>
      </c>
      <c r="C12" s="1">
        <v>1</v>
      </c>
      <c r="D12" s="1" t="s">
        <v>15</v>
      </c>
      <c r="E12" s="1">
        <v>4</v>
      </c>
      <c r="F12" s="5">
        <v>83.01</v>
      </c>
      <c r="G12" s="5">
        <v>38.79</v>
      </c>
      <c r="H12" s="5">
        <v>121.8</v>
      </c>
      <c r="I12" s="6">
        <v>635000</v>
      </c>
      <c r="J12" s="1">
        <v>2024</v>
      </c>
      <c r="K12" s="6">
        <v>7649.6807613540532</v>
      </c>
      <c r="L12" s="6">
        <v>5213.4646962233164</v>
      </c>
      <c r="M12" t="str">
        <f t="shared" si="0"/>
        <v>Histórico</v>
      </c>
      <c r="P12" s="8"/>
      <c r="Q12" t="str">
        <f t="shared" si="1"/>
        <v>Premium waterfront/marina</v>
      </c>
      <c r="R12" t="s">
        <v>206</v>
      </c>
      <c r="W12" s="7">
        <f t="shared" si="2"/>
        <v>0.25</v>
      </c>
      <c r="X12" t="str">
        <f t="shared" si="3"/>
        <v>C · Histórico/secundário</v>
      </c>
      <c r="Y12" t="str">
        <f t="shared" si="4"/>
        <v>Baixa</v>
      </c>
      <c r="AA12" t="str">
        <f t="shared" si="5"/>
        <v>Atualizar preço/status</v>
      </c>
      <c r="AB12" t="str">
        <f t="shared" si="6"/>
        <v>Alta</v>
      </c>
    </row>
    <row r="13" spans="1:28" x14ac:dyDescent="0.3">
      <c r="A13" s="1" t="s">
        <v>12</v>
      </c>
      <c r="B13" s="1" t="s">
        <v>27</v>
      </c>
      <c r="C13" s="1">
        <v>2</v>
      </c>
      <c r="D13" s="1" t="s">
        <v>15</v>
      </c>
      <c r="E13" s="1">
        <v>1</v>
      </c>
      <c r="F13" s="5">
        <v>131.76</v>
      </c>
      <c r="G13" s="5">
        <v>28.86</v>
      </c>
      <c r="H13" s="5">
        <v>160.62</v>
      </c>
      <c r="I13" s="6">
        <v>1280000</v>
      </c>
      <c r="J13" s="1">
        <v>2024</v>
      </c>
      <c r="K13" s="6">
        <v>9714.6326654523382</v>
      </c>
      <c r="L13" s="6">
        <v>7969.1196613124139</v>
      </c>
      <c r="M13" t="str">
        <f t="shared" si="0"/>
        <v>Histórico</v>
      </c>
      <c r="P13" s="8"/>
      <c r="Q13" t="str">
        <f t="shared" si="1"/>
        <v>Premium waterfront/marina</v>
      </c>
      <c r="R13" t="s">
        <v>206</v>
      </c>
      <c r="W13" s="7">
        <f t="shared" si="2"/>
        <v>0.25</v>
      </c>
      <c r="X13" t="str">
        <f t="shared" si="3"/>
        <v>C · Histórico/secundário</v>
      </c>
      <c r="Y13" t="str">
        <f t="shared" si="4"/>
        <v>Baixa</v>
      </c>
      <c r="AA13" t="str">
        <f t="shared" si="5"/>
        <v>Atualizar preço/status</v>
      </c>
      <c r="AB13" t="str">
        <f t="shared" si="6"/>
        <v>Alta</v>
      </c>
    </row>
    <row r="14" spans="1:28" x14ac:dyDescent="0.3">
      <c r="A14" s="1" t="s">
        <v>12</v>
      </c>
      <c r="B14" s="1" t="s">
        <v>28</v>
      </c>
      <c r="C14" s="1">
        <v>2</v>
      </c>
      <c r="D14" s="1" t="s">
        <v>15</v>
      </c>
      <c r="E14" s="1">
        <v>2</v>
      </c>
      <c r="F14" s="5">
        <v>131.76</v>
      </c>
      <c r="G14" s="5">
        <v>28.86</v>
      </c>
      <c r="H14" s="5">
        <v>160.62</v>
      </c>
      <c r="I14" s="6">
        <v>1280000</v>
      </c>
      <c r="J14" s="1">
        <v>2024</v>
      </c>
      <c r="K14" s="6">
        <v>9714.6326654523382</v>
      </c>
      <c r="L14" s="6">
        <v>7969.1196613124139</v>
      </c>
      <c r="M14" t="str">
        <f t="shared" si="0"/>
        <v>Histórico</v>
      </c>
      <c r="P14" s="8"/>
      <c r="Q14" t="str">
        <f t="shared" si="1"/>
        <v>Premium waterfront/marina</v>
      </c>
      <c r="R14" t="s">
        <v>206</v>
      </c>
      <c r="W14" s="7">
        <f t="shared" si="2"/>
        <v>0.25</v>
      </c>
      <c r="X14" t="str">
        <f t="shared" si="3"/>
        <v>C · Histórico/secundário</v>
      </c>
      <c r="Y14" t="str">
        <f t="shared" si="4"/>
        <v>Baixa</v>
      </c>
      <c r="AA14" t="str">
        <f t="shared" si="5"/>
        <v>Atualizar preço/status</v>
      </c>
      <c r="AB14" t="str">
        <f t="shared" si="6"/>
        <v>Alta</v>
      </c>
    </row>
    <row r="15" spans="1:28" x14ac:dyDescent="0.3">
      <c r="A15" s="1" t="s">
        <v>12</v>
      </c>
      <c r="B15" s="1" t="s">
        <v>29</v>
      </c>
      <c r="C15" s="1">
        <v>2</v>
      </c>
      <c r="D15" s="1" t="s">
        <v>15</v>
      </c>
      <c r="E15" s="1">
        <v>2</v>
      </c>
      <c r="F15" s="5">
        <v>127.19</v>
      </c>
      <c r="G15" s="5">
        <v>16.07</v>
      </c>
      <c r="H15" s="5">
        <v>143.26</v>
      </c>
      <c r="I15" s="6">
        <v>735000</v>
      </c>
      <c r="J15" s="1">
        <v>2024</v>
      </c>
      <c r="K15" s="6">
        <v>5778.7561915244914</v>
      </c>
      <c r="L15" s="6">
        <v>5130.5319000418822</v>
      </c>
      <c r="M15" t="str">
        <f t="shared" si="0"/>
        <v>Histórico</v>
      </c>
      <c r="P15" s="8"/>
      <c r="Q15" t="str">
        <f t="shared" si="1"/>
        <v>Premium waterfront/marina</v>
      </c>
      <c r="R15" t="s">
        <v>206</v>
      </c>
      <c r="W15" s="7">
        <f t="shared" si="2"/>
        <v>0.25</v>
      </c>
      <c r="X15" t="str">
        <f t="shared" si="3"/>
        <v>C · Histórico/secundário</v>
      </c>
      <c r="Y15" t="str">
        <f t="shared" si="4"/>
        <v>Baixa</v>
      </c>
      <c r="AA15" t="str">
        <f t="shared" si="5"/>
        <v>Atualizar preço/status</v>
      </c>
      <c r="AB15" t="str">
        <f t="shared" si="6"/>
        <v>Alta</v>
      </c>
    </row>
    <row r="16" spans="1:28" x14ac:dyDescent="0.3">
      <c r="A16" s="1" t="s">
        <v>12</v>
      </c>
      <c r="B16" s="1" t="s">
        <v>30</v>
      </c>
      <c r="C16" s="1">
        <v>2</v>
      </c>
      <c r="D16" s="1" t="s">
        <v>15</v>
      </c>
      <c r="E16" s="1">
        <v>3</v>
      </c>
      <c r="F16" s="5">
        <v>91.72</v>
      </c>
      <c r="G16" s="5">
        <v>14.85</v>
      </c>
      <c r="H16" s="5">
        <v>106.57</v>
      </c>
      <c r="I16" s="6">
        <v>700000</v>
      </c>
      <c r="J16" s="1">
        <v>2026</v>
      </c>
      <c r="K16" s="6">
        <v>7631.9232446576534</v>
      </c>
      <c r="L16" s="6">
        <v>6568.4526602233282</v>
      </c>
      <c r="M16" t="str">
        <f t="shared" si="0"/>
        <v>Ativo</v>
      </c>
      <c r="P16" s="8"/>
      <c r="Q16" t="str">
        <f t="shared" si="1"/>
        <v>Premium waterfront/marina</v>
      </c>
      <c r="R16" t="s">
        <v>206</v>
      </c>
      <c r="W16" s="7">
        <f t="shared" si="2"/>
        <v>1</v>
      </c>
      <c r="X16" t="str">
        <f t="shared" si="3"/>
        <v>A · Premium ativo</v>
      </c>
      <c r="Y16" t="str">
        <f t="shared" si="4"/>
        <v>Baixa</v>
      </c>
      <c r="AA16" t="str">
        <f t="shared" si="5"/>
        <v>Adicionar fonte/URL/data</v>
      </c>
      <c r="AB16" t="str">
        <f t="shared" si="6"/>
        <v>Alta</v>
      </c>
    </row>
    <row r="17" spans="1:28" x14ac:dyDescent="0.3">
      <c r="A17" s="1" t="s">
        <v>12</v>
      </c>
      <c r="B17" s="1" t="s">
        <v>31</v>
      </c>
      <c r="C17" s="1">
        <v>2</v>
      </c>
      <c r="D17" s="1" t="s">
        <v>25</v>
      </c>
      <c r="E17" s="1">
        <v>3</v>
      </c>
      <c r="F17" s="5">
        <v>70.58</v>
      </c>
      <c r="G17" s="5">
        <v>3.6</v>
      </c>
      <c r="H17" s="5">
        <v>74.179999999999993</v>
      </c>
      <c r="I17" s="6">
        <v>375000</v>
      </c>
      <c r="J17" s="1">
        <v>2024</v>
      </c>
      <c r="K17" s="6">
        <v>5313.1198639841314</v>
      </c>
      <c r="L17" s="6">
        <v>5055.2709625235921</v>
      </c>
      <c r="M17" t="str">
        <f t="shared" si="0"/>
        <v>Histórico</v>
      </c>
      <c r="P17" s="8"/>
      <c r="Q17" t="str">
        <f t="shared" si="1"/>
        <v>Premium waterfront/marina</v>
      </c>
      <c r="R17" t="s">
        <v>206</v>
      </c>
      <c r="W17" s="7">
        <f t="shared" si="2"/>
        <v>0.25</v>
      </c>
      <c r="X17" t="str">
        <f t="shared" si="3"/>
        <v>C · Histórico/secundário</v>
      </c>
      <c r="Y17" t="str">
        <f t="shared" si="4"/>
        <v>Baixa</v>
      </c>
      <c r="AA17" t="str">
        <f t="shared" si="5"/>
        <v>Atualizar preço/status</v>
      </c>
      <c r="AB17" t="str">
        <f t="shared" si="6"/>
        <v>Alta</v>
      </c>
    </row>
    <row r="18" spans="1:28" x14ac:dyDescent="0.3">
      <c r="A18" s="1" t="s">
        <v>12</v>
      </c>
      <c r="B18" s="1" t="s">
        <v>32</v>
      </c>
      <c r="C18" s="1">
        <v>2</v>
      </c>
      <c r="D18" s="1" t="s">
        <v>15</v>
      </c>
      <c r="E18" s="1">
        <v>4</v>
      </c>
      <c r="F18" s="5">
        <v>83.01</v>
      </c>
      <c r="G18" s="5">
        <v>38.79</v>
      </c>
      <c r="H18" s="5">
        <v>121.8</v>
      </c>
      <c r="I18" s="6">
        <v>675000</v>
      </c>
      <c r="J18" s="1">
        <v>2024</v>
      </c>
      <c r="K18" s="6">
        <v>8131.5504156125762</v>
      </c>
      <c r="L18" s="6">
        <v>5541.8719211822654</v>
      </c>
      <c r="M18" t="str">
        <f t="shared" si="0"/>
        <v>Histórico</v>
      </c>
      <c r="P18" s="8"/>
      <c r="Q18" t="str">
        <f t="shared" si="1"/>
        <v>Premium waterfront/marina</v>
      </c>
      <c r="R18" t="s">
        <v>206</v>
      </c>
      <c r="W18" s="7">
        <f t="shared" si="2"/>
        <v>0.25</v>
      </c>
      <c r="X18" t="str">
        <f t="shared" si="3"/>
        <v>C · Histórico/secundário</v>
      </c>
      <c r="Y18" t="str">
        <f t="shared" si="4"/>
        <v>Baixa</v>
      </c>
      <c r="AA18" t="str">
        <f t="shared" si="5"/>
        <v>Atualizar preço/status</v>
      </c>
      <c r="AB18" t="str">
        <f t="shared" si="6"/>
        <v>Alta</v>
      </c>
    </row>
    <row r="19" spans="1:28" x14ac:dyDescent="0.3">
      <c r="A19" s="1" t="s">
        <v>12</v>
      </c>
      <c r="B19" s="1" t="s">
        <v>33</v>
      </c>
      <c r="C19" s="1">
        <v>3</v>
      </c>
      <c r="D19" s="1" t="s">
        <v>15</v>
      </c>
      <c r="E19" s="1">
        <v>4</v>
      </c>
      <c r="F19" s="5">
        <v>127.19</v>
      </c>
      <c r="G19" s="5">
        <v>16.07</v>
      </c>
      <c r="H19" s="5">
        <v>143.26</v>
      </c>
      <c r="I19" s="6">
        <v>700000</v>
      </c>
      <c r="J19" s="1">
        <v>2024</v>
      </c>
      <c r="K19" s="6">
        <v>5503.5773252614199</v>
      </c>
      <c r="L19" s="6">
        <v>4886.220857182745</v>
      </c>
      <c r="M19" t="str">
        <f t="shared" si="0"/>
        <v>Histórico</v>
      </c>
      <c r="P19" s="8"/>
      <c r="Q19" t="str">
        <f t="shared" si="1"/>
        <v>Premium waterfront/marina</v>
      </c>
      <c r="R19" t="s">
        <v>206</v>
      </c>
      <c r="W19" s="7">
        <f t="shared" si="2"/>
        <v>0.25</v>
      </c>
      <c r="X19" t="str">
        <f t="shared" si="3"/>
        <v>C · Histórico/secundário</v>
      </c>
      <c r="Y19" t="str">
        <f t="shared" si="4"/>
        <v>Baixa</v>
      </c>
      <c r="AA19" t="str">
        <f t="shared" si="5"/>
        <v>Atualizar preço/status</v>
      </c>
      <c r="AB19" t="str">
        <f t="shared" si="6"/>
        <v>Alta</v>
      </c>
    </row>
    <row r="20" spans="1:28" x14ac:dyDescent="0.3">
      <c r="A20" s="1" t="s">
        <v>12</v>
      </c>
      <c r="B20" s="1" t="s">
        <v>34</v>
      </c>
      <c r="C20" s="1">
        <v>3</v>
      </c>
      <c r="D20" s="1" t="s">
        <v>15</v>
      </c>
      <c r="E20" s="1">
        <v>3</v>
      </c>
      <c r="F20" s="5">
        <v>91.72</v>
      </c>
      <c r="G20" s="5">
        <v>14.85</v>
      </c>
      <c r="H20" s="5">
        <v>106.57</v>
      </c>
      <c r="I20" s="6">
        <v>670000</v>
      </c>
      <c r="J20" s="1">
        <v>2024</v>
      </c>
      <c r="K20" s="6">
        <v>7304.8408198866118</v>
      </c>
      <c r="L20" s="6">
        <v>6286.9475462137571</v>
      </c>
      <c r="M20" t="str">
        <f t="shared" si="0"/>
        <v>Histórico</v>
      </c>
      <c r="P20" s="8"/>
      <c r="Q20" t="str">
        <f t="shared" si="1"/>
        <v>Premium waterfront/marina</v>
      </c>
      <c r="R20" t="s">
        <v>206</v>
      </c>
      <c r="W20" s="7">
        <f t="shared" si="2"/>
        <v>0.25</v>
      </c>
      <c r="X20" t="str">
        <f t="shared" si="3"/>
        <v>C · Histórico/secundário</v>
      </c>
      <c r="Y20" t="str">
        <f t="shared" si="4"/>
        <v>Baixa</v>
      </c>
      <c r="AA20" t="str">
        <f t="shared" si="5"/>
        <v>Atualizar preço/status</v>
      </c>
      <c r="AB20" t="str">
        <f t="shared" si="6"/>
        <v>Alta</v>
      </c>
    </row>
    <row r="21" spans="1:28" x14ac:dyDescent="0.3">
      <c r="A21" s="1" t="s">
        <v>12</v>
      </c>
      <c r="B21" s="1" t="s">
        <v>35</v>
      </c>
      <c r="C21" s="1">
        <v>3</v>
      </c>
      <c r="D21" s="1" t="s">
        <v>25</v>
      </c>
      <c r="E21" s="1">
        <v>3</v>
      </c>
      <c r="F21" s="5">
        <v>60.77</v>
      </c>
      <c r="G21" s="5">
        <v>3.6</v>
      </c>
      <c r="H21" s="5">
        <v>64.37</v>
      </c>
      <c r="I21" s="6">
        <v>385000</v>
      </c>
      <c r="J21" s="1">
        <v>2024</v>
      </c>
      <c r="K21" s="6">
        <v>6335.3628435083101</v>
      </c>
      <c r="L21" s="6">
        <v>5981.0470716172122</v>
      </c>
      <c r="M21" t="str">
        <f t="shared" si="0"/>
        <v>Histórico</v>
      </c>
      <c r="P21" s="8"/>
      <c r="Q21" t="str">
        <f t="shared" si="1"/>
        <v>Premium waterfront/marina</v>
      </c>
      <c r="R21" t="s">
        <v>206</v>
      </c>
      <c r="W21" s="7">
        <f t="shared" si="2"/>
        <v>0.25</v>
      </c>
      <c r="X21" t="str">
        <f t="shared" si="3"/>
        <v>C · Histórico/secundário</v>
      </c>
      <c r="Y21" t="str">
        <f t="shared" si="4"/>
        <v>Baixa</v>
      </c>
      <c r="AA21" t="str">
        <f t="shared" si="5"/>
        <v>Atualizar preço/status</v>
      </c>
      <c r="AB21" t="str">
        <f t="shared" si="6"/>
        <v>Alta</v>
      </c>
    </row>
    <row r="22" spans="1:28" x14ac:dyDescent="0.3">
      <c r="A22" s="1" t="s">
        <v>12</v>
      </c>
      <c r="B22" s="1" t="s">
        <v>36</v>
      </c>
      <c r="C22" s="1">
        <v>4</v>
      </c>
      <c r="D22" s="1" t="s">
        <v>15</v>
      </c>
      <c r="E22" s="1">
        <v>3</v>
      </c>
      <c r="F22" s="5">
        <v>91.72</v>
      </c>
      <c r="G22" s="5">
        <v>14.85</v>
      </c>
      <c r="H22" s="5">
        <v>106.57</v>
      </c>
      <c r="I22" s="6">
        <v>685000</v>
      </c>
      <c r="J22" s="1">
        <v>2024</v>
      </c>
      <c r="K22" s="6">
        <v>7468.3820322721331</v>
      </c>
      <c r="L22" s="6">
        <v>6427.7001032185426</v>
      </c>
      <c r="M22" t="str">
        <f t="shared" si="0"/>
        <v>Histórico</v>
      </c>
      <c r="P22" s="8"/>
      <c r="Q22" t="str">
        <f t="shared" si="1"/>
        <v>Premium waterfront/marina</v>
      </c>
      <c r="R22" t="s">
        <v>206</v>
      </c>
      <c r="W22" s="7">
        <f t="shared" si="2"/>
        <v>0.25</v>
      </c>
      <c r="X22" t="str">
        <f t="shared" si="3"/>
        <v>C · Histórico/secundário</v>
      </c>
      <c r="Y22" t="str">
        <f t="shared" si="4"/>
        <v>Baixa</v>
      </c>
      <c r="AA22" t="str">
        <f t="shared" si="5"/>
        <v>Atualizar preço/status</v>
      </c>
      <c r="AB22" t="str">
        <f t="shared" si="6"/>
        <v>Alta</v>
      </c>
    </row>
    <row r="23" spans="1:28" x14ac:dyDescent="0.3">
      <c r="A23" s="1" t="s">
        <v>12</v>
      </c>
      <c r="B23" s="1" t="s">
        <v>37</v>
      </c>
      <c r="C23" s="1">
        <v>4</v>
      </c>
      <c r="D23" s="1" t="s">
        <v>25</v>
      </c>
      <c r="E23" s="1">
        <v>3</v>
      </c>
      <c r="F23" s="5">
        <v>60.77</v>
      </c>
      <c r="G23" s="5">
        <v>3.6</v>
      </c>
      <c r="H23" s="5">
        <v>64.37</v>
      </c>
      <c r="I23" s="6">
        <v>395000</v>
      </c>
      <c r="J23" s="1">
        <v>2024</v>
      </c>
      <c r="K23" s="6">
        <v>6499.9177225604744</v>
      </c>
      <c r="L23" s="6">
        <v>6136.3989436072698</v>
      </c>
      <c r="M23" t="str">
        <f t="shared" si="0"/>
        <v>Histórico</v>
      </c>
      <c r="P23" s="8"/>
      <c r="Q23" t="str">
        <f t="shared" si="1"/>
        <v>Premium waterfront/marina</v>
      </c>
      <c r="R23" t="s">
        <v>206</v>
      </c>
      <c r="W23" s="7">
        <f t="shared" si="2"/>
        <v>0.25</v>
      </c>
      <c r="X23" t="str">
        <f t="shared" si="3"/>
        <v>C · Histórico/secundário</v>
      </c>
      <c r="Y23" t="str">
        <f t="shared" si="4"/>
        <v>Baixa</v>
      </c>
      <c r="AA23" t="str">
        <f t="shared" si="5"/>
        <v>Atualizar preço/status</v>
      </c>
      <c r="AB23" t="str">
        <f t="shared" si="6"/>
        <v>Alta</v>
      </c>
    </row>
    <row r="24" spans="1:28" x14ac:dyDescent="0.3">
      <c r="A24" s="1" t="s">
        <v>12</v>
      </c>
      <c r="B24" s="1" t="s">
        <v>38</v>
      </c>
      <c r="C24" s="1" t="s">
        <v>14</v>
      </c>
      <c r="D24" s="1" t="s">
        <v>15</v>
      </c>
      <c r="E24" s="1">
        <v>2</v>
      </c>
      <c r="F24" s="5">
        <v>123.63</v>
      </c>
      <c r="G24" s="5">
        <v>32.869999999999997</v>
      </c>
      <c r="H24" s="5">
        <v>156.5</v>
      </c>
      <c r="I24" s="6">
        <v>1310000</v>
      </c>
      <c r="J24" s="1">
        <v>2026</v>
      </c>
      <c r="K24" s="6">
        <v>10596.133624524789</v>
      </c>
      <c r="L24" s="6">
        <v>8370.6070287539933</v>
      </c>
      <c r="M24" t="str">
        <f t="shared" si="0"/>
        <v>Ativo</v>
      </c>
      <c r="P24" s="8"/>
      <c r="Q24" t="str">
        <f t="shared" si="1"/>
        <v>Premium waterfront/marina</v>
      </c>
      <c r="R24" t="s">
        <v>206</v>
      </c>
      <c r="W24" s="7">
        <f t="shared" si="2"/>
        <v>1</v>
      </c>
      <c r="X24" t="str">
        <f t="shared" si="3"/>
        <v>A · Premium ativo</v>
      </c>
      <c r="Y24" t="str">
        <f t="shared" si="4"/>
        <v>Baixa</v>
      </c>
      <c r="AA24" t="str">
        <f t="shared" si="5"/>
        <v>Adicionar fonte/URL/data</v>
      </c>
      <c r="AB24" t="str">
        <f t="shared" si="6"/>
        <v>Alta</v>
      </c>
    </row>
    <row r="25" spans="1:28" x14ac:dyDescent="0.3">
      <c r="A25" s="1" t="s">
        <v>12</v>
      </c>
      <c r="B25" s="1" t="s">
        <v>39</v>
      </c>
      <c r="C25" s="1" t="s">
        <v>14</v>
      </c>
      <c r="D25" s="1" t="s">
        <v>15</v>
      </c>
      <c r="E25" s="1">
        <v>1</v>
      </c>
      <c r="F25" s="5">
        <v>135.72999999999999</v>
      </c>
      <c r="G25" s="5">
        <v>32.15</v>
      </c>
      <c r="H25" s="5">
        <v>167.88</v>
      </c>
      <c r="I25" s="6">
        <v>1310000</v>
      </c>
      <c r="J25" s="1">
        <v>2026</v>
      </c>
      <c r="K25" s="6">
        <v>9651.5140352169765</v>
      </c>
      <c r="L25" s="6">
        <v>7803.1927567309986</v>
      </c>
      <c r="M25" t="str">
        <f t="shared" si="0"/>
        <v>Ativo</v>
      </c>
      <c r="P25" s="8"/>
      <c r="Q25" t="str">
        <f t="shared" si="1"/>
        <v>Premium waterfront/marina</v>
      </c>
      <c r="R25" t="s">
        <v>206</v>
      </c>
      <c r="W25" s="7">
        <f t="shared" si="2"/>
        <v>1</v>
      </c>
      <c r="X25" t="str">
        <f t="shared" si="3"/>
        <v>A · Premium ativo</v>
      </c>
      <c r="Y25" t="str">
        <f t="shared" si="4"/>
        <v>Baixa</v>
      </c>
      <c r="AA25" t="str">
        <f t="shared" si="5"/>
        <v>Adicionar fonte/URL/data</v>
      </c>
      <c r="AB25" t="str">
        <f t="shared" si="6"/>
        <v>Alta</v>
      </c>
    </row>
    <row r="26" spans="1:28" x14ac:dyDescent="0.3">
      <c r="A26" s="1" t="s">
        <v>12</v>
      </c>
      <c r="B26" s="1" t="s">
        <v>40</v>
      </c>
      <c r="C26" s="1" t="s">
        <v>14</v>
      </c>
      <c r="D26" s="1" t="s">
        <v>25</v>
      </c>
      <c r="E26" s="1">
        <v>2</v>
      </c>
      <c r="F26" s="5">
        <v>72.150000000000006</v>
      </c>
      <c r="G26" s="5">
        <v>15.6</v>
      </c>
      <c r="H26" s="5">
        <v>87.75</v>
      </c>
      <c r="I26" s="6">
        <v>375000</v>
      </c>
      <c r="J26" s="1">
        <v>2024</v>
      </c>
      <c r="K26" s="6">
        <v>5197.5051975051974</v>
      </c>
      <c r="L26" s="6">
        <v>4273.5042735042734</v>
      </c>
      <c r="M26" t="str">
        <f t="shared" si="0"/>
        <v>Histórico</v>
      </c>
      <c r="P26" s="8"/>
      <c r="Q26" t="str">
        <f t="shared" si="1"/>
        <v>Premium waterfront/marina</v>
      </c>
      <c r="R26" t="s">
        <v>206</v>
      </c>
      <c r="W26" s="7">
        <f t="shared" si="2"/>
        <v>0.25</v>
      </c>
      <c r="X26" t="str">
        <f t="shared" si="3"/>
        <v>C · Histórico/secundário</v>
      </c>
      <c r="Y26" t="str">
        <f t="shared" si="4"/>
        <v>Baixa</v>
      </c>
      <c r="AA26" t="str">
        <f t="shared" si="5"/>
        <v>Atualizar preço/status</v>
      </c>
      <c r="AB26" t="str">
        <f t="shared" si="6"/>
        <v>Alta</v>
      </c>
    </row>
    <row r="27" spans="1:28" x14ac:dyDescent="0.3">
      <c r="A27" s="1" t="s">
        <v>12</v>
      </c>
      <c r="B27" s="1" t="s">
        <v>41</v>
      </c>
      <c r="C27" s="1" t="s">
        <v>14</v>
      </c>
      <c r="D27" s="1" t="s">
        <v>25</v>
      </c>
      <c r="E27" s="1">
        <v>2</v>
      </c>
      <c r="F27" s="5">
        <v>89.39</v>
      </c>
      <c r="G27" s="5">
        <v>16.61</v>
      </c>
      <c r="H27" s="5">
        <v>106</v>
      </c>
      <c r="I27" s="6">
        <v>395000</v>
      </c>
      <c r="J27" s="1">
        <v>2024</v>
      </c>
      <c r="K27" s="6">
        <v>4418.8387962859379</v>
      </c>
      <c r="L27" s="6">
        <v>3726.415094339623</v>
      </c>
      <c r="M27" t="str">
        <f t="shared" si="0"/>
        <v>Histórico</v>
      </c>
      <c r="P27" s="8"/>
      <c r="Q27" t="str">
        <f t="shared" si="1"/>
        <v>Premium waterfront/marina</v>
      </c>
      <c r="R27" t="s">
        <v>206</v>
      </c>
      <c r="W27" s="7">
        <f t="shared" si="2"/>
        <v>0.25</v>
      </c>
      <c r="X27" t="str">
        <f t="shared" si="3"/>
        <v>C · Histórico/secundário</v>
      </c>
      <c r="Y27" t="str">
        <f t="shared" si="4"/>
        <v>Baixa</v>
      </c>
      <c r="AA27" t="str">
        <f t="shared" si="5"/>
        <v>Atualizar preço/status</v>
      </c>
      <c r="AB27" t="str">
        <f t="shared" si="6"/>
        <v>Alta</v>
      </c>
    </row>
    <row r="28" spans="1:28" x14ac:dyDescent="0.3">
      <c r="A28" s="1" t="s">
        <v>12</v>
      </c>
      <c r="B28" s="1" t="s">
        <v>42</v>
      </c>
      <c r="C28" s="1" t="s">
        <v>14</v>
      </c>
      <c r="D28" s="1" t="s">
        <v>15</v>
      </c>
      <c r="E28" s="1">
        <v>2</v>
      </c>
      <c r="F28" s="5">
        <v>120.58</v>
      </c>
      <c r="G28" s="5">
        <v>22.83</v>
      </c>
      <c r="H28" s="5">
        <v>143.41</v>
      </c>
      <c r="I28" s="6">
        <v>660000</v>
      </c>
      <c r="J28" s="1">
        <v>2024</v>
      </c>
      <c r="K28" s="6">
        <v>5473.5445347487148</v>
      </c>
      <c r="L28" s="6">
        <v>4602.1895265323201</v>
      </c>
      <c r="M28" t="str">
        <f t="shared" si="0"/>
        <v>Histórico</v>
      </c>
      <c r="P28" s="8"/>
      <c r="Q28" t="str">
        <f t="shared" si="1"/>
        <v>Premium waterfront/marina</v>
      </c>
      <c r="R28" t="s">
        <v>206</v>
      </c>
      <c r="W28" s="7">
        <f t="shared" si="2"/>
        <v>0.25</v>
      </c>
      <c r="X28" t="str">
        <f t="shared" si="3"/>
        <v>C · Histórico/secundário</v>
      </c>
      <c r="Y28" t="str">
        <f t="shared" si="4"/>
        <v>Baixa</v>
      </c>
      <c r="AA28" t="str">
        <f t="shared" si="5"/>
        <v>Atualizar preço/status</v>
      </c>
      <c r="AB28" t="str">
        <f t="shared" si="6"/>
        <v>Alta</v>
      </c>
    </row>
    <row r="29" spans="1:28" x14ac:dyDescent="0.3">
      <c r="A29" s="1" t="s">
        <v>12</v>
      </c>
      <c r="B29" s="1" t="s">
        <v>43</v>
      </c>
      <c r="C29" s="1" t="s">
        <v>14</v>
      </c>
      <c r="D29" s="1" t="s">
        <v>25</v>
      </c>
      <c r="E29" s="1">
        <v>2</v>
      </c>
      <c r="F29" s="5">
        <v>85.19</v>
      </c>
      <c r="G29" s="5">
        <v>18.46</v>
      </c>
      <c r="H29" s="5">
        <v>103.65</v>
      </c>
      <c r="I29" s="6">
        <v>385000</v>
      </c>
      <c r="J29" s="1">
        <v>2024</v>
      </c>
      <c r="K29" s="6">
        <v>4519.3097781429742</v>
      </c>
      <c r="L29" s="6">
        <v>3714.42354076218</v>
      </c>
      <c r="M29" t="str">
        <f t="shared" si="0"/>
        <v>Histórico</v>
      </c>
      <c r="P29" s="8"/>
      <c r="Q29" t="str">
        <f t="shared" si="1"/>
        <v>Premium waterfront/marina</v>
      </c>
      <c r="R29" t="s">
        <v>206</v>
      </c>
      <c r="W29" s="7">
        <f t="shared" si="2"/>
        <v>0.25</v>
      </c>
      <c r="X29" t="str">
        <f t="shared" si="3"/>
        <v>C · Histórico/secundário</v>
      </c>
      <c r="Y29" t="str">
        <f t="shared" si="4"/>
        <v>Baixa</v>
      </c>
      <c r="AA29" t="str">
        <f t="shared" si="5"/>
        <v>Atualizar preço/status</v>
      </c>
      <c r="AB29" t="str">
        <f t="shared" si="6"/>
        <v>Alta</v>
      </c>
    </row>
    <row r="30" spans="1:28" x14ac:dyDescent="0.3">
      <c r="A30" s="1" t="s">
        <v>12</v>
      </c>
      <c r="B30" s="1" t="s">
        <v>44</v>
      </c>
      <c r="C30" s="1" t="s">
        <v>14</v>
      </c>
      <c r="D30" s="1" t="s">
        <v>15</v>
      </c>
      <c r="E30" s="1">
        <v>3</v>
      </c>
      <c r="F30" s="5">
        <v>107.95</v>
      </c>
      <c r="G30" s="5">
        <v>19.3</v>
      </c>
      <c r="H30" s="5">
        <v>127.25</v>
      </c>
      <c r="I30" s="6">
        <v>575000</v>
      </c>
      <c r="J30" s="1">
        <v>2024</v>
      </c>
      <c r="K30" s="6">
        <v>5326.5400648448358</v>
      </c>
      <c r="L30" s="6">
        <v>4518.6640471512774</v>
      </c>
      <c r="M30" t="str">
        <f t="shared" si="0"/>
        <v>Histórico</v>
      </c>
      <c r="P30" s="8"/>
      <c r="Q30" t="str">
        <f t="shared" si="1"/>
        <v>Premium waterfront/marina</v>
      </c>
      <c r="R30" t="s">
        <v>206</v>
      </c>
      <c r="W30" s="7">
        <f t="shared" si="2"/>
        <v>0.25</v>
      </c>
      <c r="X30" t="str">
        <f t="shared" si="3"/>
        <v>C · Histórico/secundário</v>
      </c>
      <c r="Y30" t="str">
        <f t="shared" si="4"/>
        <v>Baixa</v>
      </c>
      <c r="AA30" t="str">
        <f t="shared" si="5"/>
        <v>Atualizar preço/status</v>
      </c>
      <c r="AB30" t="str">
        <f t="shared" si="6"/>
        <v>Alta</v>
      </c>
    </row>
    <row r="31" spans="1:28" x14ac:dyDescent="0.3">
      <c r="A31" s="1" t="s">
        <v>12</v>
      </c>
      <c r="B31" s="1" t="s">
        <v>45</v>
      </c>
      <c r="C31" s="1">
        <v>1</v>
      </c>
      <c r="D31" s="1" t="s">
        <v>15</v>
      </c>
      <c r="E31" s="1">
        <v>2</v>
      </c>
      <c r="F31" s="5">
        <v>139.13999999999999</v>
      </c>
      <c r="G31" s="5">
        <v>26.67</v>
      </c>
      <c r="H31" s="5">
        <v>165.81</v>
      </c>
      <c r="I31" s="6">
        <v>1290000</v>
      </c>
      <c r="J31" s="1">
        <v>2024</v>
      </c>
      <c r="K31" s="6">
        <v>9271.2376024148343</v>
      </c>
      <c r="L31" s="6">
        <v>7779.989144201194</v>
      </c>
      <c r="M31" t="str">
        <f t="shared" si="0"/>
        <v>Histórico</v>
      </c>
      <c r="P31" s="8"/>
      <c r="Q31" t="str">
        <f t="shared" si="1"/>
        <v>Premium waterfront/marina</v>
      </c>
      <c r="R31" t="s">
        <v>206</v>
      </c>
      <c r="W31" s="7">
        <f t="shared" si="2"/>
        <v>0.25</v>
      </c>
      <c r="X31" t="str">
        <f t="shared" si="3"/>
        <v>C · Histórico/secundário</v>
      </c>
      <c r="Y31" t="str">
        <f t="shared" si="4"/>
        <v>Baixa</v>
      </c>
      <c r="AA31" t="str">
        <f t="shared" si="5"/>
        <v>Atualizar preço/status</v>
      </c>
      <c r="AB31" t="str">
        <f t="shared" si="6"/>
        <v>Alta</v>
      </c>
    </row>
    <row r="32" spans="1:28" x14ac:dyDescent="0.3">
      <c r="A32" s="1" t="s">
        <v>12</v>
      </c>
      <c r="B32" s="1" t="s">
        <v>46</v>
      </c>
      <c r="C32" s="1">
        <v>1</v>
      </c>
      <c r="D32" s="1" t="s">
        <v>47</v>
      </c>
      <c r="E32" s="1">
        <v>1</v>
      </c>
      <c r="F32" s="5">
        <v>157.01</v>
      </c>
      <c r="G32" s="5">
        <v>27.23</v>
      </c>
      <c r="H32" s="5">
        <v>184.24</v>
      </c>
      <c r="I32" s="6">
        <v>1360000</v>
      </c>
      <c r="J32" s="1">
        <v>2026</v>
      </c>
      <c r="K32" s="6">
        <v>8661.8686707853012</v>
      </c>
      <c r="L32" s="6">
        <v>7381.6760746851942</v>
      </c>
      <c r="M32" t="str">
        <f t="shared" si="0"/>
        <v>Ativo</v>
      </c>
      <c r="P32" s="8"/>
      <c r="Q32" t="str">
        <f t="shared" si="1"/>
        <v>Premium waterfront/marina</v>
      </c>
      <c r="R32" t="s">
        <v>206</v>
      </c>
      <c r="W32" s="7">
        <f t="shared" si="2"/>
        <v>1</v>
      </c>
      <c r="X32" t="str">
        <f t="shared" si="3"/>
        <v>A · Premium ativo</v>
      </c>
      <c r="Y32" t="str">
        <f t="shared" si="4"/>
        <v>Baixa</v>
      </c>
      <c r="AA32" t="str">
        <f t="shared" si="5"/>
        <v>Adicionar fonte/URL/data</v>
      </c>
      <c r="AB32" t="str">
        <f t="shared" si="6"/>
        <v>Alta</v>
      </c>
    </row>
    <row r="33" spans="1:28" x14ac:dyDescent="0.3">
      <c r="A33" s="1" t="s">
        <v>12</v>
      </c>
      <c r="B33" s="1" t="s">
        <v>48</v>
      </c>
      <c r="C33" s="1">
        <v>1</v>
      </c>
      <c r="D33" s="1" t="s">
        <v>15</v>
      </c>
      <c r="E33" s="1">
        <v>2</v>
      </c>
      <c r="F33" s="5">
        <v>127.37</v>
      </c>
      <c r="G33" s="5">
        <v>16.07</v>
      </c>
      <c r="H33" s="5">
        <v>143.44</v>
      </c>
      <c r="I33" s="6">
        <v>790000</v>
      </c>
      <c r="J33" s="1">
        <v>2026</v>
      </c>
      <c r="K33" s="6">
        <v>6202.4024495564099</v>
      </c>
      <c r="L33" s="6">
        <v>5507.5292805354156</v>
      </c>
      <c r="M33" t="str">
        <f t="shared" si="0"/>
        <v>Ativo</v>
      </c>
      <c r="P33" s="8"/>
      <c r="Q33" t="str">
        <f t="shared" si="1"/>
        <v>Premium waterfront/marina</v>
      </c>
      <c r="R33" t="s">
        <v>206</v>
      </c>
      <c r="W33" s="7">
        <f t="shared" si="2"/>
        <v>1</v>
      </c>
      <c r="X33" t="str">
        <f t="shared" si="3"/>
        <v>A · Premium ativo</v>
      </c>
      <c r="Y33" t="str">
        <f t="shared" si="4"/>
        <v>Baixa</v>
      </c>
      <c r="AA33" t="str">
        <f t="shared" si="5"/>
        <v>Adicionar fonte/URL/data</v>
      </c>
      <c r="AB33" t="str">
        <f t="shared" si="6"/>
        <v>Alta</v>
      </c>
    </row>
    <row r="34" spans="1:28" x14ac:dyDescent="0.3">
      <c r="A34" s="1" t="s">
        <v>12</v>
      </c>
      <c r="B34" s="1" t="s">
        <v>49</v>
      </c>
      <c r="C34" s="1">
        <v>1</v>
      </c>
      <c r="D34" s="1" t="s">
        <v>25</v>
      </c>
      <c r="E34" s="1">
        <v>2</v>
      </c>
      <c r="F34" s="5">
        <v>94.46</v>
      </c>
      <c r="G34" s="5">
        <v>9.15</v>
      </c>
      <c r="H34" s="5">
        <v>103.61</v>
      </c>
      <c r="I34" s="6">
        <v>425000</v>
      </c>
      <c r="J34" s="1">
        <v>2024</v>
      </c>
      <c r="K34" s="6">
        <v>4499.2589455854331</v>
      </c>
      <c r="L34" s="6">
        <v>4101.9206640285684</v>
      </c>
      <c r="M34" t="str">
        <f t="shared" ref="M34:M65" si="7">IF(A34="The View","Projeto",IF(J34&gt;=2026,"Ativo",IF(J34=2025,"Rever","Histórico")))</f>
        <v>Histórico</v>
      </c>
      <c r="P34" s="8"/>
      <c r="Q34" t="str">
        <f t="shared" ref="Q34:Q65" si="8">IF(A34="The View","Projeto",IF(A34="Le Parc","Benchmark local",IF(OR(A34="Del Mar Waterfront",A34="Aura Living"),"Premium waterfront/marina","A classificar")))</f>
        <v>Premium waterfront/marina</v>
      </c>
      <c r="R34" t="s">
        <v>206</v>
      </c>
      <c r="W34" s="7">
        <f t="shared" ref="W34:W65" si="9">IF(A34="The View",1,MAX(0.25,MIN(1,IF(J34&gt;=2026,1,IF(J34=2025,0.8,IF(J34=2024,0.45,0.3)))*IF(Q34="Premium waterfront/marina",1,IF(Q34="Benchmark local",0.7,0.6))*IF(M34="Vendido",0.65,IF(M34="Reservado",0.8,IF(M34="Histórico",0.55,1))))))</f>
        <v>0.25</v>
      </c>
      <c r="X34" t="str">
        <f t="shared" ref="X34:X65" si="10">IF(A34="The View","Projeto",IF(W34&gt;=0.85,"A · Premium ativo",IF(W34&gt;=0.55,"B · Benchmark local","C · Histórico/secundário")))</f>
        <v>C · Histórico/secundário</v>
      </c>
      <c r="Y34" t="str">
        <f t="shared" ref="Y34:Y65" si="11">IF(A34="The View","N/A",IF(AND(N34&lt;&gt;"",O34&lt;&gt;"",P34&lt;&gt;""),"Alta",IF(OR(N34&lt;&gt;"",O34&lt;&gt;"",P34&lt;&gt;""),"Média","Baixa")))</f>
        <v>Baixa</v>
      </c>
      <c r="AA34" t="str">
        <f t="shared" ref="AA34:AA65" si="12">IF(A34="The View","Manter",IF(J34&lt;2026,"Atualizar preço/status",IF(Y34="Baixa","Adicionar fonte/URL/data",IF(W34&lt;0.55,"Rever comparabilidade","OK"))))</f>
        <v>Atualizar preço/status</v>
      </c>
      <c r="AB34" t="str">
        <f t="shared" ref="AB34:AB65" si="13">IF(A34="The View","",IF(OR(J34&lt;2026,Y34="Baixa"),"Alta",IF(W34&lt;0.55,"Média","Baixa")))</f>
        <v>Alta</v>
      </c>
    </row>
    <row r="35" spans="1:28" x14ac:dyDescent="0.3">
      <c r="A35" s="1" t="s">
        <v>12</v>
      </c>
      <c r="B35" s="1" t="s">
        <v>50</v>
      </c>
      <c r="C35" s="1">
        <v>1</v>
      </c>
      <c r="D35" s="1" t="s">
        <v>47</v>
      </c>
      <c r="E35" s="1">
        <v>3</v>
      </c>
      <c r="F35" s="5">
        <v>163.49</v>
      </c>
      <c r="G35" s="5">
        <v>28.52</v>
      </c>
      <c r="H35" s="5">
        <v>192.01</v>
      </c>
      <c r="I35" s="6">
        <v>990000</v>
      </c>
      <c r="J35" s="1">
        <v>2024</v>
      </c>
      <c r="K35" s="6">
        <v>6055.4162334087696</v>
      </c>
      <c r="L35" s="6">
        <v>5155.9814592989942</v>
      </c>
      <c r="M35" t="str">
        <f t="shared" si="7"/>
        <v>Histórico</v>
      </c>
      <c r="P35" s="8"/>
      <c r="Q35" t="str">
        <f t="shared" si="8"/>
        <v>Premium waterfront/marina</v>
      </c>
      <c r="R35" t="s">
        <v>206</v>
      </c>
      <c r="W35" s="7">
        <f t="shared" si="9"/>
        <v>0.25</v>
      </c>
      <c r="X35" t="str">
        <f t="shared" si="10"/>
        <v>C · Histórico/secundário</v>
      </c>
      <c r="Y35" t="str">
        <f t="shared" si="11"/>
        <v>Baixa</v>
      </c>
      <c r="AA35" t="str">
        <f t="shared" si="12"/>
        <v>Atualizar preço/status</v>
      </c>
      <c r="AB35" t="str">
        <f t="shared" si="13"/>
        <v>Alta</v>
      </c>
    </row>
    <row r="36" spans="1:28" x14ac:dyDescent="0.3">
      <c r="A36" s="1" t="s">
        <v>12</v>
      </c>
      <c r="B36" s="1" t="s">
        <v>51</v>
      </c>
      <c r="C36" s="1">
        <v>1</v>
      </c>
      <c r="D36" s="1" t="s">
        <v>15</v>
      </c>
      <c r="E36" s="1">
        <v>3</v>
      </c>
      <c r="F36" s="5">
        <v>132.30000000000001</v>
      </c>
      <c r="G36" s="5">
        <v>15.5</v>
      </c>
      <c r="H36" s="5">
        <v>147.80000000000001</v>
      </c>
      <c r="I36" s="6">
        <v>795000</v>
      </c>
      <c r="J36" s="1">
        <v>2026</v>
      </c>
      <c r="K36" s="6">
        <v>6009.0702947845803</v>
      </c>
      <c r="L36" s="6">
        <v>5378.8903924221913</v>
      </c>
      <c r="M36" t="str">
        <f t="shared" si="7"/>
        <v>Ativo</v>
      </c>
      <c r="P36" s="8"/>
      <c r="Q36" t="str">
        <f t="shared" si="8"/>
        <v>Premium waterfront/marina</v>
      </c>
      <c r="R36" t="s">
        <v>206</v>
      </c>
      <c r="W36" s="7">
        <f t="shared" si="9"/>
        <v>1</v>
      </c>
      <c r="X36" t="str">
        <f t="shared" si="10"/>
        <v>A · Premium ativo</v>
      </c>
      <c r="Y36" t="str">
        <f t="shared" si="11"/>
        <v>Baixa</v>
      </c>
      <c r="AA36" t="str">
        <f t="shared" si="12"/>
        <v>Adicionar fonte/URL/data</v>
      </c>
      <c r="AB36" t="str">
        <f t="shared" si="13"/>
        <v>Alta</v>
      </c>
    </row>
    <row r="37" spans="1:28" x14ac:dyDescent="0.3">
      <c r="A37" s="1" t="s">
        <v>12</v>
      </c>
      <c r="B37" s="1" t="s">
        <v>52</v>
      </c>
      <c r="C37" s="1">
        <v>2</v>
      </c>
      <c r="D37" s="1" t="s">
        <v>15</v>
      </c>
      <c r="E37" s="1">
        <v>2</v>
      </c>
      <c r="F37" s="5">
        <v>139.13999999999999</v>
      </c>
      <c r="G37" s="5">
        <v>26.67</v>
      </c>
      <c r="H37" s="5">
        <v>165.81</v>
      </c>
      <c r="I37" s="6">
        <v>1320000</v>
      </c>
      <c r="J37" s="1">
        <v>2024</v>
      </c>
      <c r="K37" s="6">
        <v>9486.8477792151807</v>
      </c>
      <c r="L37" s="6">
        <v>7960.9191242988963</v>
      </c>
      <c r="M37" t="str">
        <f t="shared" si="7"/>
        <v>Histórico</v>
      </c>
      <c r="P37" s="8"/>
      <c r="Q37" t="str">
        <f t="shared" si="8"/>
        <v>Premium waterfront/marina</v>
      </c>
      <c r="R37" t="s">
        <v>206</v>
      </c>
      <c r="W37" s="7">
        <f t="shared" si="9"/>
        <v>0.25</v>
      </c>
      <c r="X37" t="str">
        <f t="shared" si="10"/>
        <v>C · Histórico/secundário</v>
      </c>
      <c r="Y37" t="str">
        <f t="shared" si="11"/>
        <v>Baixa</v>
      </c>
      <c r="AA37" t="str">
        <f t="shared" si="12"/>
        <v>Atualizar preço/status</v>
      </c>
      <c r="AB37" t="str">
        <f t="shared" si="13"/>
        <v>Alta</v>
      </c>
    </row>
    <row r="38" spans="1:28" x14ac:dyDescent="0.3">
      <c r="A38" s="1" t="s">
        <v>12</v>
      </c>
      <c r="B38" s="1" t="s">
        <v>53</v>
      </c>
      <c r="C38" s="1">
        <v>2</v>
      </c>
      <c r="D38" s="1" t="s">
        <v>47</v>
      </c>
      <c r="E38" s="1">
        <v>1</v>
      </c>
      <c r="F38" s="5">
        <v>157.01</v>
      </c>
      <c r="G38" s="5">
        <v>27.23</v>
      </c>
      <c r="H38" s="5">
        <v>184.24</v>
      </c>
      <c r="I38" s="6">
        <v>1340000</v>
      </c>
      <c r="J38" s="1">
        <v>2024</v>
      </c>
      <c r="K38" s="6">
        <v>8534.4882491561057</v>
      </c>
      <c r="L38" s="6">
        <v>7273.122014763353</v>
      </c>
      <c r="M38" t="str">
        <f t="shared" si="7"/>
        <v>Histórico</v>
      </c>
      <c r="P38" s="8"/>
      <c r="Q38" t="str">
        <f t="shared" si="8"/>
        <v>Premium waterfront/marina</v>
      </c>
      <c r="R38" t="s">
        <v>206</v>
      </c>
      <c r="W38" s="7">
        <f t="shared" si="9"/>
        <v>0.25</v>
      </c>
      <c r="X38" t="str">
        <f t="shared" si="10"/>
        <v>C · Histórico/secundário</v>
      </c>
      <c r="Y38" t="str">
        <f t="shared" si="11"/>
        <v>Baixa</v>
      </c>
      <c r="AA38" t="str">
        <f t="shared" si="12"/>
        <v>Atualizar preço/status</v>
      </c>
      <c r="AB38" t="str">
        <f t="shared" si="13"/>
        <v>Alta</v>
      </c>
    </row>
    <row r="39" spans="1:28" x14ac:dyDescent="0.3">
      <c r="A39" s="1" t="s">
        <v>12</v>
      </c>
      <c r="B39" s="1" t="s">
        <v>54</v>
      </c>
      <c r="C39" s="1">
        <v>2</v>
      </c>
      <c r="D39" s="1" t="s">
        <v>25</v>
      </c>
      <c r="E39" s="1">
        <v>2</v>
      </c>
      <c r="F39" s="5">
        <v>96.21</v>
      </c>
      <c r="G39" s="5">
        <v>10.95</v>
      </c>
      <c r="H39" s="5">
        <v>107.16</v>
      </c>
      <c r="I39" s="6">
        <v>435000</v>
      </c>
      <c r="J39" s="1">
        <v>2024</v>
      </c>
      <c r="K39" s="6">
        <v>4521.3595260367947</v>
      </c>
      <c r="L39" s="6">
        <v>4059.3505039193728</v>
      </c>
      <c r="M39" t="str">
        <f t="shared" si="7"/>
        <v>Histórico</v>
      </c>
      <c r="P39" s="8"/>
      <c r="Q39" t="str">
        <f t="shared" si="8"/>
        <v>Premium waterfront/marina</v>
      </c>
      <c r="R39" t="s">
        <v>206</v>
      </c>
      <c r="W39" s="7">
        <f t="shared" si="9"/>
        <v>0.25</v>
      </c>
      <c r="X39" t="str">
        <f t="shared" si="10"/>
        <v>C · Histórico/secundário</v>
      </c>
      <c r="Y39" t="str">
        <f t="shared" si="11"/>
        <v>Baixa</v>
      </c>
      <c r="AA39" t="str">
        <f t="shared" si="12"/>
        <v>Atualizar preço/status</v>
      </c>
      <c r="AB39" t="str">
        <f t="shared" si="13"/>
        <v>Alta</v>
      </c>
    </row>
    <row r="40" spans="1:28" x14ac:dyDescent="0.3">
      <c r="A40" s="1" t="s">
        <v>12</v>
      </c>
      <c r="B40" s="1" t="s">
        <v>55</v>
      </c>
      <c r="C40" s="1">
        <v>2</v>
      </c>
      <c r="D40" s="1" t="s">
        <v>15</v>
      </c>
      <c r="E40" s="1">
        <v>2</v>
      </c>
      <c r="F40" s="5">
        <v>127.37</v>
      </c>
      <c r="G40" s="5">
        <v>16.07</v>
      </c>
      <c r="H40" s="5">
        <v>143.44</v>
      </c>
      <c r="I40" s="6">
        <v>795000</v>
      </c>
      <c r="J40" s="1">
        <v>2026</v>
      </c>
      <c r="K40" s="6">
        <v>6241.6581612624632</v>
      </c>
      <c r="L40" s="6">
        <v>5542.3870607919689</v>
      </c>
      <c r="M40" t="str">
        <f t="shared" si="7"/>
        <v>Ativo</v>
      </c>
      <c r="P40" s="8"/>
      <c r="Q40" t="str">
        <f t="shared" si="8"/>
        <v>Premium waterfront/marina</v>
      </c>
      <c r="R40" t="s">
        <v>206</v>
      </c>
      <c r="W40" s="7">
        <f t="shared" si="9"/>
        <v>1</v>
      </c>
      <c r="X40" t="str">
        <f t="shared" si="10"/>
        <v>A · Premium ativo</v>
      </c>
      <c r="Y40" t="str">
        <f t="shared" si="11"/>
        <v>Baixa</v>
      </c>
      <c r="AA40" t="str">
        <f t="shared" si="12"/>
        <v>Adicionar fonte/URL/data</v>
      </c>
      <c r="AB40" t="str">
        <f t="shared" si="13"/>
        <v>Alta</v>
      </c>
    </row>
    <row r="41" spans="1:28" x14ac:dyDescent="0.3">
      <c r="A41" s="1" t="s">
        <v>12</v>
      </c>
      <c r="B41" s="1" t="s">
        <v>56</v>
      </c>
      <c r="C41" s="1">
        <v>2</v>
      </c>
      <c r="D41" s="1" t="s">
        <v>25</v>
      </c>
      <c r="E41" s="1">
        <v>2</v>
      </c>
      <c r="F41" s="5">
        <v>94.46</v>
      </c>
      <c r="G41" s="5">
        <v>9.15</v>
      </c>
      <c r="H41" s="5">
        <v>103.61</v>
      </c>
      <c r="I41" s="6">
        <v>435000</v>
      </c>
      <c r="J41" s="1">
        <v>2024</v>
      </c>
      <c r="K41" s="6">
        <v>4605.1238619521491</v>
      </c>
      <c r="L41" s="6">
        <v>4198.4364443586528</v>
      </c>
      <c r="M41" t="str">
        <f t="shared" si="7"/>
        <v>Histórico</v>
      </c>
      <c r="P41" s="8"/>
      <c r="Q41" t="str">
        <f t="shared" si="8"/>
        <v>Premium waterfront/marina</v>
      </c>
      <c r="R41" t="s">
        <v>206</v>
      </c>
      <c r="W41" s="7">
        <f t="shared" si="9"/>
        <v>0.25</v>
      </c>
      <c r="X41" t="str">
        <f t="shared" si="10"/>
        <v>C · Histórico/secundário</v>
      </c>
      <c r="Y41" t="str">
        <f t="shared" si="11"/>
        <v>Baixa</v>
      </c>
      <c r="AA41" t="str">
        <f t="shared" si="12"/>
        <v>Atualizar preço/status</v>
      </c>
      <c r="AB41" t="str">
        <f t="shared" si="13"/>
        <v>Alta</v>
      </c>
    </row>
    <row r="42" spans="1:28" x14ac:dyDescent="0.3">
      <c r="A42" s="1" t="s">
        <v>12</v>
      </c>
      <c r="B42" s="1" t="s">
        <v>57</v>
      </c>
      <c r="C42" s="1">
        <v>2</v>
      </c>
      <c r="D42" s="1" t="s">
        <v>15</v>
      </c>
      <c r="E42" s="1">
        <v>3</v>
      </c>
      <c r="F42" s="5">
        <v>132.30000000000001</v>
      </c>
      <c r="G42" s="5">
        <v>9.5399999999999991</v>
      </c>
      <c r="H42" s="5">
        <v>141.84</v>
      </c>
      <c r="I42" s="6">
        <v>810000</v>
      </c>
      <c r="J42" s="1">
        <v>2026</v>
      </c>
      <c r="K42" s="6">
        <v>6122.4489795918362</v>
      </c>
      <c r="L42" s="6">
        <v>5710.6598984771572</v>
      </c>
      <c r="M42" t="str">
        <f t="shared" si="7"/>
        <v>Ativo</v>
      </c>
      <c r="P42" s="8"/>
      <c r="Q42" t="str">
        <f t="shared" si="8"/>
        <v>Premium waterfront/marina</v>
      </c>
      <c r="R42" t="s">
        <v>206</v>
      </c>
      <c r="W42" s="7">
        <f t="shared" si="9"/>
        <v>1</v>
      </c>
      <c r="X42" t="str">
        <f t="shared" si="10"/>
        <v>A · Premium ativo</v>
      </c>
      <c r="Y42" t="str">
        <f t="shared" si="11"/>
        <v>Baixa</v>
      </c>
      <c r="AA42" t="str">
        <f t="shared" si="12"/>
        <v>Adicionar fonte/URL/data</v>
      </c>
      <c r="AB42" t="str">
        <f t="shared" si="13"/>
        <v>Alta</v>
      </c>
    </row>
    <row r="43" spans="1:28" x14ac:dyDescent="0.3">
      <c r="A43" s="1" t="s">
        <v>12</v>
      </c>
      <c r="B43" s="1" t="s">
        <v>58</v>
      </c>
      <c r="C43" s="1">
        <v>3</v>
      </c>
      <c r="D43" s="1" t="s">
        <v>25</v>
      </c>
      <c r="E43" s="1">
        <v>2</v>
      </c>
      <c r="F43" s="5">
        <v>96.21</v>
      </c>
      <c r="G43" s="5">
        <v>10.95</v>
      </c>
      <c r="H43" s="5">
        <v>107.16</v>
      </c>
      <c r="I43" s="6">
        <v>445000</v>
      </c>
      <c r="J43" s="1">
        <v>2024</v>
      </c>
      <c r="K43" s="6">
        <v>4625.2988254859156</v>
      </c>
      <c r="L43" s="6">
        <v>4152.668906308324</v>
      </c>
      <c r="M43" t="str">
        <f t="shared" si="7"/>
        <v>Histórico</v>
      </c>
      <c r="P43" s="8"/>
      <c r="Q43" t="str">
        <f t="shared" si="8"/>
        <v>Premium waterfront/marina</v>
      </c>
      <c r="R43" t="s">
        <v>206</v>
      </c>
      <c r="W43" s="7">
        <f t="shared" si="9"/>
        <v>0.25</v>
      </c>
      <c r="X43" t="str">
        <f t="shared" si="10"/>
        <v>C · Histórico/secundário</v>
      </c>
      <c r="Y43" t="str">
        <f t="shared" si="11"/>
        <v>Baixa</v>
      </c>
      <c r="AA43" t="str">
        <f t="shared" si="12"/>
        <v>Atualizar preço/status</v>
      </c>
      <c r="AB43" t="str">
        <f t="shared" si="13"/>
        <v>Alta</v>
      </c>
    </row>
    <row r="44" spans="1:28" x14ac:dyDescent="0.3">
      <c r="A44" s="1" t="s">
        <v>12</v>
      </c>
      <c r="B44" s="1" t="s">
        <v>59</v>
      </c>
      <c r="C44" s="1">
        <v>3</v>
      </c>
      <c r="D44" s="1" t="s">
        <v>15</v>
      </c>
      <c r="E44" s="1">
        <v>2</v>
      </c>
      <c r="F44" s="5">
        <v>127.37</v>
      </c>
      <c r="G44" s="5">
        <v>16.07</v>
      </c>
      <c r="H44" s="5">
        <v>143.44</v>
      </c>
      <c r="I44" s="6">
        <v>745000</v>
      </c>
      <c r="J44" s="1">
        <v>2024</v>
      </c>
      <c r="K44" s="6">
        <v>5849.1010442019306</v>
      </c>
      <c r="L44" s="6">
        <v>5193.8092582264362</v>
      </c>
      <c r="M44" t="str">
        <f t="shared" si="7"/>
        <v>Histórico</v>
      </c>
      <c r="P44" s="8"/>
      <c r="Q44" t="str">
        <f t="shared" si="8"/>
        <v>Premium waterfront/marina</v>
      </c>
      <c r="R44" t="s">
        <v>206</v>
      </c>
      <c r="W44" s="7">
        <f t="shared" si="9"/>
        <v>0.25</v>
      </c>
      <c r="X44" t="str">
        <f t="shared" si="10"/>
        <v>C · Histórico/secundário</v>
      </c>
      <c r="Y44" t="str">
        <f t="shared" si="11"/>
        <v>Baixa</v>
      </c>
      <c r="AA44" t="str">
        <f t="shared" si="12"/>
        <v>Atualizar preço/status</v>
      </c>
      <c r="AB44" t="str">
        <f t="shared" si="13"/>
        <v>Alta</v>
      </c>
    </row>
    <row r="45" spans="1:28" x14ac:dyDescent="0.3">
      <c r="A45" s="1" t="s">
        <v>12</v>
      </c>
      <c r="B45" s="1" t="s">
        <v>60</v>
      </c>
      <c r="C45" s="1">
        <v>3</v>
      </c>
      <c r="D45" s="1" t="s">
        <v>25</v>
      </c>
      <c r="E45" s="1">
        <v>2</v>
      </c>
      <c r="F45" s="5">
        <v>94.46</v>
      </c>
      <c r="G45" s="5">
        <v>9.15</v>
      </c>
      <c r="H45" s="5">
        <v>103.61</v>
      </c>
      <c r="I45" s="6">
        <v>445000</v>
      </c>
      <c r="J45" s="1">
        <v>2024</v>
      </c>
      <c r="K45" s="6">
        <v>4710.9887783188651</v>
      </c>
      <c r="L45" s="6">
        <v>4294.9522246887364</v>
      </c>
      <c r="M45" t="str">
        <f t="shared" si="7"/>
        <v>Histórico</v>
      </c>
      <c r="P45" s="8"/>
      <c r="Q45" t="str">
        <f t="shared" si="8"/>
        <v>Premium waterfront/marina</v>
      </c>
      <c r="R45" t="s">
        <v>206</v>
      </c>
      <c r="W45" s="7">
        <f t="shared" si="9"/>
        <v>0.25</v>
      </c>
      <c r="X45" t="str">
        <f t="shared" si="10"/>
        <v>C · Histórico/secundário</v>
      </c>
      <c r="Y45" t="str">
        <f t="shared" si="11"/>
        <v>Baixa</v>
      </c>
      <c r="AA45" t="str">
        <f t="shared" si="12"/>
        <v>Atualizar preço/status</v>
      </c>
      <c r="AB45" t="str">
        <f t="shared" si="13"/>
        <v>Alta</v>
      </c>
    </row>
    <row r="46" spans="1:28" x14ac:dyDescent="0.3">
      <c r="A46" s="1" t="s">
        <v>12</v>
      </c>
      <c r="B46" s="1" t="s">
        <v>61</v>
      </c>
      <c r="C46" s="1">
        <v>3</v>
      </c>
      <c r="D46" s="1" t="s">
        <v>15</v>
      </c>
      <c r="E46" s="1">
        <v>3</v>
      </c>
      <c r="F46" s="5">
        <v>132.30000000000001</v>
      </c>
      <c r="G46" s="5">
        <v>15.5</v>
      </c>
      <c r="H46" s="5">
        <v>147.80000000000001</v>
      </c>
      <c r="I46" s="6">
        <v>685000</v>
      </c>
      <c r="J46" s="1">
        <v>2024</v>
      </c>
      <c r="K46" s="6">
        <v>5177.6266061980341</v>
      </c>
      <c r="L46" s="6">
        <v>4634.6414073071719</v>
      </c>
      <c r="M46" t="str">
        <f t="shared" si="7"/>
        <v>Histórico</v>
      </c>
      <c r="P46" s="8"/>
      <c r="Q46" t="str">
        <f t="shared" si="8"/>
        <v>Premium waterfront/marina</v>
      </c>
      <c r="R46" t="s">
        <v>206</v>
      </c>
      <c r="W46" s="7">
        <f t="shared" si="9"/>
        <v>0.25</v>
      </c>
      <c r="X46" t="str">
        <f t="shared" si="10"/>
        <v>C · Histórico/secundário</v>
      </c>
      <c r="Y46" t="str">
        <f t="shared" si="11"/>
        <v>Baixa</v>
      </c>
      <c r="AA46" t="str">
        <f t="shared" si="12"/>
        <v>Atualizar preço/status</v>
      </c>
      <c r="AB46" t="str">
        <f t="shared" si="13"/>
        <v>Alta</v>
      </c>
    </row>
    <row r="47" spans="1:28" x14ac:dyDescent="0.3">
      <c r="A47" s="1" t="s">
        <v>12</v>
      </c>
      <c r="B47" s="1" t="s">
        <v>62</v>
      </c>
      <c r="C47" s="1">
        <v>4</v>
      </c>
      <c r="D47" s="1" t="s">
        <v>15</v>
      </c>
      <c r="E47" s="1">
        <v>2</v>
      </c>
      <c r="F47" s="5">
        <v>127.37</v>
      </c>
      <c r="G47" s="5">
        <v>16.07</v>
      </c>
      <c r="H47" s="5">
        <v>143.44</v>
      </c>
      <c r="I47" s="6">
        <v>755000</v>
      </c>
      <c r="J47" s="1">
        <v>2024</v>
      </c>
      <c r="K47" s="6">
        <v>5927.612467614038</v>
      </c>
      <c r="L47" s="6">
        <v>5263.5248187395428</v>
      </c>
      <c r="M47" t="str">
        <f t="shared" si="7"/>
        <v>Histórico</v>
      </c>
      <c r="P47" s="8"/>
      <c r="Q47" t="str">
        <f t="shared" si="8"/>
        <v>Premium waterfront/marina</v>
      </c>
      <c r="R47" t="s">
        <v>206</v>
      </c>
      <c r="W47" s="7">
        <f t="shared" si="9"/>
        <v>0.25</v>
      </c>
      <c r="X47" t="str">
        <f t="shared" si="10"/>
        <v>C · Histórico/secundário</v>
      </c>
      <c r="Y47" t="str">
        <f t="shared" si="11"/>
        <v>Baixa</v>
      </c>
      <c r="AA47" t="str">
        <f t="shared" si="12"/>
        <v>Atualizar preço/status</v>
      </c>
      <c r="AB47" t="str">
        <f t="shared" si="13"/>
        <v>Alta</v>
      </c>
    </row>
    <row r="48" spans="1:28" x14ac:dyDescent="0.3">
      <c r="A48" s="1" t="s">
        <v>12</v>
      </c>
      <c r="B48" s="1" t="s">
        <v>63</v>
      </c>
      <c r="C48" s="1">
        <v>4</v>
      </c>
      <c r="D48" s="1" t="s">
        <v>15</v>
      </c>
      <c r="E48" s="1">
        <v>3</v>
      </c>
      <c r="F48" s="5">
        <v>132.30000000000001</v>
      </c>
      <c r="G48" s="5">
        <v>15.5</v>
      </c>
      <c r="H48" s="5">
        <v>147.80000000000001</v>
      </c>
      <c r="I48" s="6">
        <v>725000</v>
      </c>
      <c r="J48" s="1">
        <v>2024</v>
      </c>
      <c r="K48" s="6">
        <v>5479.9697656840508</v>
      </c>
      <c r="L48" s="6">
        <v>4905.2774018944519</v>
      </c>
      <c r="M48" t="str">
        <f t="shared" si="7"/>
        <v>Histórico</v>
      </c>
      <c r="P48" s="8"/>
      <c r="Q48" t="str">
        <f t="shared" si="8"/>
        <v>Premium waterfront/marina</v>
      </c>
      <c r="R48" t="s">
        <v>206</v>
      </c>
      <c r="W48" s="7">
        <f t="shared" si="9"/>
        <v>0.25</v>
      </c>
      <c r="X48" t="str">
        <f t="shared" si="10"/>
        <v>C · Histórico/secundário</v>
      </c>
      <c r="Y48" t="str">
        <f t="shared" si="11"/>
        <v>Baixa</v>
      </c>
      <c r="AA48" t="str">
        <f t="shared" si="12"/>
        <v>Atualizar preço/status</v>
      </c>
      <c r="AB48" t="str">
        <f t="shared" si="13"/>
        <v>Alta</v>
      </c>
    </row>
    <row r="49" spans="1:28" x14ac:dyDescent="0.3">
      <c r="A49" s="1" t="s">
        <v>64</v>
      </c>
      <c r="B49" s="1" t="s">
        <v>65</v>
      </c>
      <c r="C49" s="1">
        <v>1</v>
      </c>
      <c r="D49" s="1" t="s">
        <v>15</v>
      </c>
      <c r="E49" s="1">
        <v>3</v>
      </c>
      <c r="F49" s="5">
        <v>107</v>
      </c>
      <c r="G49" s="5">
        <v>35</v>
      </c>
      <c r="H49" s="5">
        <v>142</v>
      </c>
      <c r="I49" s="6">
        <v>537900</v>
      </c>
      <c r="J49" s="1">
        <v>2026</v>
      </c>
      <c r="K49" s="6">
        <v>5027.1028037383176</v>
      </c>
      <c r="L49" s="6">
        <v>3788.0281690140851</v>
      </c>
      <c r="M49" t="str">
        <f t="shared" si="7"/>
        <v>Ativo</v>
      </c>
      <c r="P49" s="8"/>
      <c r="Q49" t="str">
        <f t="shared" si="8"/>
        <v>Benchmark local</v>
      </c>
      <c r="R49" t="s">
        <v>206</v>
      </c>
      <c r="W49" s="7">
        <f t="shared" si="9"/>
        <v>0.7</v>
      </c>
      <c r="X49" t="str">
        <f t="shared" si="10"/>
        <v>B · Benchmark local</v>
      </c>
      <c r="Y49" t="str">
        <f t="shared" si="11"/>
        <v>Baixa</v>
      </c>
      <c r="AA49" t="str">
        <f t="shared" si="12"/>
        <v>Adicionar fonte/URL/data</v>
      </c>
      <c r="AB49" t="str">
        <f t="shared" si="13"/>
        <v>Alta</v>
      </c>
    </row>
    <row r="50" spans="1:28" x14ac:dyDescent="0.3">
      <c r="A50" s="1" t="s">
        <v>64</v>
      </c>
      <c r="B50" s="1" t="s">
        <v>66</v>
      </c>
      <c r="C50" s="1">
        <v>1</v>
      </c>
      <c r="D50" s="1" t="s">
        <v>15</v>
      </c>
      <c r="E50" s="1">
        <v>1</v>
      </c>
      <c r="F50" s="5">
        <v>107</v>
      </c>
      <c r="G50" s="5">
        <v>35</v>
      </c>
      <c r="H50" s="5">
        <v>142</v>
      </c>
      <c r="I50" s="6">
        <v>425700</v>
      </c>
      <c r="J50" s="1">
        <v>2024</v>
      </c>
      <c r="K50" s="6">
        <v>3978.5046728971961</v>
      </c>
      <c r="L50" s="6">
        <v>2997.8873239436621</v>
      </c>
      <c r="M50" t="str">
        <f t="shared" si="7"/>
        <v>Histórico</v>
      </c>
      <c r="P50" s="8"/>
      <c r="Q50" t="str">
        <f t="shared" si="8"/>
        <v>Benchmark local</v>
      </c>
      <c r="R50" t="s">
        <v>206</v>
      </c>
      <c r="W50" s="7">
        <f t="shared" si="9"/>
        <v>0.25</v>
      </c>
      <c r="X50" t="str">
        <f t="shared" si="10"/>
        <v>C · Histórico/secundário</v>
      </c>
      <c r="Y50" t="str">
        <f t="shared" si="11"/>
        <v>Baixa</v>
      </c>
      <c r="AA50" t="str">
        <f t="shared" si="12"/>
        <v>Atualizar preço/status</v>
      </c>
      <c r="AB50" t="str">
        <f t="shared" si="13"/>
        <v>Alta</v>
      </c>
    </row>
    <row r="51" spans="1:28" x14ac:dyDescent="0.3">
      <c r="A51" s="1" t="s">
        <v>64</v>
      </c>
      <c r="B51" s="1" t="s">
        <v>67</v>
      </c>
      <c r="C51" s="1">
        <v>2</v>
      </c>
      <c r="D51" s="1" t="s">
        <v>15</v>
      </c>
      <c r="E51" s="1">
        <v>3</v>
      </c>
      <c r="F51" s="5">
        <v>107</v>
      </c>
      <c r="G51" s="5">
        <v>34</v>
      </c>
      <c r="H51" s="5">
        <v>141</v>
      </c>
      <c r="I51" s="6">
        <v>482350</v>
      </c>
      <c r="J51" s="1">
        <v>2026</v>
      </c>
      <c r="K51" s="6">
        <v>4507.9439252336451</v>
      </c>
      <c r="L51" s="6">
        <v>3420.921985815603</v>
      </c>
      <c r="M51" t="str">
        <f t="shared" si="7"/>
        <v>Ativo</v>
      </c>
      <c r="P51" s="8"/>
      <c r="Q51" t="str">
        <f t="shared" si="8"/>
        <v>Benchmark local</v>
      </c>
      <c r="R51" t="s">
        <v>206</v>
      </c>
      <c r="W51" s="7">
        <f t="shared" si="9"/>
        <v>0.7</v>
      </c>
      <c r="X51" t="str">
        <f t="shared" si="10"/>
        <v>B · Benchmark local</v>
      </c>
      <c r="Y51" t="str">
        <f t="shared" si="11"/>
        <v>Baixa</v>
      </c>
      <c r="AA51" t="str">
        <f t="shared" si="12"/>
        <v>Adicionar fonte/URL/data</v>
      </c>
      <c r="AB51" t="str">
        <f t="shared" si="13"/>
        <v>Alta</v>
      </c>
    </row>
    <row r="52" spans="1:28" x14ac:dyDescent="0.3">
      <c r="A52" s="1" t="s">
        <v>64</v>
      </c>
      <c r="B52" s="1" t="s">
        <v>68</v>
      </c>
      <c r="C52" s="1">
        <v>2</v>
      </c>
      <c r="D52" s="1" t="s">
        <v>15</v>
      </c>
      <c r="E52" s="1">
        <v>1</v>
      </c>
      <c r="F52" s="5">
        <v>107</v>
      </c>
      <c r="G52" s="5">
        <v>34</v>
      </c>
      <c r="H52" s="5">
        <v>141</v>
      </c>
      <c r="I52" s="6">
        <v>408100</v>
      </c>
      <c r="J52" s="1">
        <v>2024</v>
      </c>
      <c r="K52" s="6">
        <v>3814.0186915887848</v>
      </c>
      <c r="L52" s="6">
        <v>2894.3262411347519</v>
      </c>
      <c r="M52" t="str">
        <f t="shared" si="7"/>
        <v>Histórico</v>
      </c>
      <c r="P52" s="8"/>
      <c r="Q52" t="str">
        <f t="shared" si="8"/>
        <v>Benchmark local</v>
      </c>
      <c r="R52" t="s">
        <v>206</v>
      </c>
      <c r="W52" s="7">
        <f t="shared" si="9"/>
        <v>0.25</v>
      </c>
      <c r="X52" t="str">
        <f t="shared" si="10"/>
        <v>C · Histórico/secundário</v>
      </c>
      <c r="Y52" t="str">
        <f t="shared" si="11"/>
        <v>Baixa</v>
      </c>
      <c r="AA52" t="str">
        <f t="shared" si="12"/>
        <v>Atualizar preço/status</v>
      </c>
      <c r="AB52" t="str">
        <f t="shared" si="13"/>
        <v>Alta</v>
      </c>
    </row>
    <row r="53" spans="1:28" x14ac:dyDescent="0.3">
      <c r="A53" s="1" t="s">
        <v>64</v>
      </c>
      <c r="B53" s="1" t="s">
        <v>69</v>
      </c>
      <c r="C53" s="1">
        <v>3</v>
      </c>
      <c r="D53" s="1" t="s">
        <v>15</v>
      </c>
      <c r="E53" s="1">
        <v>3</v>
      </c>
      <c r="F53" s="5">
        <v>107</v>
      </c>
      <c r="G53" s="5">
        <v>34</v>
      </c>
      <c r="H53" s="5">
        <v>141</v>
      </c>
      <c r="I53" s="6">
        <v>409750</v>
      </c>
      <c r="J53" s="1">
        <v>2024</v>
      </c>
      <c r="K53" s="6">
        <v>3829.439252336449</v>
      </c>
      <c r="L53" s="6">
        <v>2906.0283687943261</v>
      </c>
      <c r="M53" t="str">
        <f t="shared" si="7"/>
        <v>Histórico</v>
      </c>
      <c r="P53" s="8"/>
      <c r="Q53" t="str">
        <f t="shared" si="8"/>
        <v>Benchmark local</v>
      </c>
      <c r="R53" t="s">
        <v>206</v>
      </c>
      <c r="W53" s="7">
        <f t="shared" si="9"/>
        <v>0.25</v>
      </c>
      <c r="X53" t="str">
        <f t="shared" si="10"/>
        <v>C · Histórico/secundário</v>
      </c>
      <c r="Y53" t="str">
        <f t="shared" si="11"/>
        <v>Baixa</v>
      </c>
      <c r="AA53" t="str">
        <f t="shared" si="12"/>
        <v>Atualizar preço/status</v>
      </c>
      <c r="AB53" t="str">
        <f t="shared" si="13"/>
        <v>Alta</v>
      </c>
    </row>
    <row r="54" spans="1:28" x14ac:dyDescent="0.3">
      <c r="A54" s="1" t="s">
        <v>64</v>
      </c>
      <c r="B54" s="1" t="s">
        <v>70</v>
      </c>
      <c r="C54" s="1">
        <v>3</v>
      </c>
      <c r="D54" s="1" t="s">
        <v>15</v>
      </c>
      <c r="E54" s="1">
        <v>1</v>
      </c>
      <c r="F54" s="5">
        <v>107</v>
      </c>
      <c r="G54" s="5">
        <v>34</v>
      </c>
      <c r="H54" s="5">
        <v>141</v>
      </c>
      <c r="I54" s="6">
        <v>409750</v>
      </c>
      <c r="J54" s="1">
        <v>2024</v>
      </c>
      <c r="K54" s="6">
        <v>3829.439252336449</v>
      </c>
      <c r="L54" s="6">
        <v>2906.0283687943261</v>
      </c>
      <c r="M54" t="str">
        <f t="shared" si="7"/>
        <v>Histórico</v>
      </c>
      <c r="P54" s="8"/>
      <c r="Q54" t="str">
        <f t="shared" si="8"/>
        <v>Benchmark local</v>
      </c>
      <c r="R54" t="s">
        <v>206</v>
      </c>
      <c r="W54" s="7">
        <f t="shared" si="9"/>
        <v>0.25</v>
      </c>
      <c r="X54" t="str">
        <f t="shared" si="10"/>
        <v>C · Histórico/secundário</v>
      </c>
      <c r="Y54" t="str">
        <f t="shared" si="11"/>
        <v>Baixa</v>
      </c>
      <c r="AA54" t="str">
        <f t="shared" si="12"/>
        <v>Atualizar preço/status</v>
      </c>
      <c r="AB54" t="str">
        <f t="shared" si="13"/>
        <v>Alta</v>
      </c>
    </row>
    <row r="55" spans="1:28" x14ac:dyDescent="0.3">
      <c r="A55" s="1" t="s">
        <v>64</v>
      </c>
      <c r="B55" s="1" t="s">
        <v>71</v>
      </c>
      <c r="C55" s="1">
        <v>4</v>
      </c>
      <c r="D55" s="1" t="s">
        <v>15</v>
      </c>
      <c r="E55" s="1">
        <v>3</v>
      </c>
      <c r="F55" s="5">
        <v>107</v>
      </c>
      <c r="G55" s="5">
        <v>34</v>
      </c>
      <c r="H55" s="5">
        <v>141</v>
      </c>
      <c r="I55" s="6">
        <v>420750</v>
      </c>
      <c r="J55" s="1">
        <v>2024</v>
      </c>
      <c r="K55" s="6">
        <v>3932.2429906542061</v>
      </c>
      <c r="L55" s="6">
        <v>2984.0425531914889</v>
      </c>
      <c r="M55" t="str">
        <f t="shared" si="7"/>
        <v>Histórico</v>
      </c>
      <c r="P55" s="8"/>
      <c r="Q55" t="str">
        <f t="shared" si="8"/>
        <v>Benchmark local</v>
      </c>
      <c r="R55" t="s">
        <v>206</v>
      </c>
      <c r="W55" s="7">
        <f t="shared" si="9"/>
        <v>0.25</v>
      </c>
      <c r="X55" t="str">
        <f t="shared" si="10"/>
        <v>C · Histórico/secundário</v>
      </c>
      <c r="Y55" t="str">
        <f t="shared" si="11"/>
        <v>Baixa</v>
      </c>
      <c r="AA55" t="str">
        <f t="shared" si="12"/>
        <v>Atualizar preço/status</v>
      </c>
      <c r="AB55" t="str">
        <f t="shared" si="13"/>
        <v>Alta</v>
      </c>
    </row>
    <row r="56" spans="1:28" x14ac:dyDescent="0.3">
      <c r="A56" s="1" t="s">
        <v>64</v>
      </c>
      <c r="B56" s="1" t="s">
        <v>72</v>
      </c>
      <c r="C56" s="1">
        <v>4</v>
      </c>
      <c r="D56" s="1" t="s">
        <v>15</v>
      </c>
      <c r="E56" s="1">
        <v>1</v>
      </c>
      <c r="F56" s="5">
        <v>107</v>
      </c>
      <c r="G56" s="5">
        <v>34</v>
      </c>
      <c r="H56" s="5">
        <v>141</v>
      </c>
      <c r="I56" s="6">
        <v>420750</v>
      </c>
      <c r="J56" s="1">
        <v>2024</v>
      </c>
      <c r="K56" s="6">
        <v>3932.2429906542061</v>
      </c>
      <c r="L56" s="6">
        <v>2984.0425531914889</v>
      </c>
      <c r="M56" t="str">
        <f t="shared" si="7"/>
        <v>Histórico</v>
      </c>
      <c r="P56" s="8"/>
      <c r="Q56" t="str">
        <f t="shared" si="8"/>
        <v>Benchmark local</v>
      </c>
      <c r="R56" t="s">
        <v>206</v>
      </c>
      <c r="W56" s="7">
        <f t="shared" si="9"/>
        <v>0.25</v>
      </c>
      <c r="X56" t="str">
        <f t="shared" si="10"/>
        <v>C · Histórico/secundário</v>
      </c>
      <c r="Y56" t="str">
        <f t="shared" si="11"/>
        <v>Baixa</v>
      </c>
      <c r="AA56" t="str">
        <f t="shared" si="12"/>
        <v>Atualizar preço/status</v>
      </c>
      <c r="AB56" t="str">
        <f t="shared" si="13"/>
        <v>Alta</v>
      </c>
    </row>
    <row r="57" spans="1:28" x14ac:dyDescent="0.3">
      <c r="A57" s="1" t="s">
        <v>64</v>
      </c>
      <c r="B57" s="1" t="s">
        <v>65</v>
      </c>
      <c r="C57" s="1">
        <v>1</v>
      </c>
      <c r="D57" s="1" t="s">
        <v>47</v>
      </c>
      <c r="E57" s="1">
        <v>3</v>
      </c>
      <c r="F57" s="5">
        <v>124</v>
      </c>
      <c r="G57" s="5">
        <v>74</v>
      </c>
      <c r="H57" s="5">
        <v>198</v>
      </c>
      <c r="I57" s="6">
        <v>513150</v>
      </c>
      <c r="J57" s="1">
        <v>2024</v>
      </c>
      <c r="K57" s="6">
        <v>4138.3064516129034</v>
      </c>
      <c r="L57" s="6">
        <v>2591.666666666667</v>
      </c>
      <c r="M57" t="str">
        <f t="shared" si="7"/>
        <v>Histórico</v>
      </c>
      <c r="P57" s="8"/>
      <c r="Q57" t="str">
        <f t="shared" si="8"/>
        <v>Benchmark local</v>
      </c>
      <c r="R57" t="s">
        <v>206</v>
      </c>
      <c r="W57" s="7">
        <f t="shared" si="9"/>
        <v>0.25</v>
      </c>
      <c r="X57" t="str">
        <f t="shared" si="10"/>
        <v>C · Histórico/secundário</v>
      </c>
      <c r="Y57" t="str">
        <f t="shared" si="11"/>
        <v>Baixa</v>
      </c>
      <c r="AA57" t="str">
        <f t="shared" si="12"/>
        <v>Atualizar preço/status</v>
      </c>
      <c r="AB57" t="str">
        <f t="shared" si="13"/>
        <v>Alta</v>
      </c>
    </row>
    <row r="58" spans="1:28" x14ac:dyDescent="0.3">
      <c r="A58" s="1" t="s">
        <v>64</v>
      </c>
      <c r="B58" s="1" t="s">
        <v>66</v>
      </c>
      <c r="C58" s="1">
        <v>1</v>
      </c>
      <c r="D58" s="1" t="s">
        <v>15</v>
      </c>
      <c r="E58" s="1">
        <v>4</v>
      </c>
      <c r="F58" s="5">
        <v>88</v>
      </c>
      <c r="G58" s="5">
        <v>3</v>
      </c>
      <c r="H58" s="5">
        <v>91</v>
      </c>
      <c r="I58" s="6">
        <v>331650</v>
      </c>
      <c r="J58" s="1">
        <v>2024</v>
      </c>
      <c r="K58" s="6">
        <v>3768.75</v>
      </c>
      <c r="L58" s="6">
        <v>3644.505494505494</v>
      </c>
      <c r="M58" t="str">
        <f t="shared" si="7"/>
        <v>Histórico</v>
      </c>
      <c r="P58" s="8"/>
      <c r="Q58" t="str">
        <f t="shared" si="8"/>
        <v>Benchmark local</v>
      </c>
      <c r="R58" t="s">
        <v>206</v>
      </c>
      <c r="W58" s="7">
        <f t="shared" si="9"/>
        <v>0.25</v>
      </c>
      <c r="X58" t="str">
        <f t="shared" si="10"/>
        <v>C · Histórico/secundário</v>
      </c>
      <c r="Y58" t="str">
        <f t="shared" si="11"/>
        <v>Baixa</v>
      </c>
      <c r="AA58" t="str">
        <f t="shared" si="12"/>
        <v>Atualizar preço/status</v>
      </c>
      <c r="AB58" t="str">
        <f t="shared" si="13"/>
        <v>Alta</v>
      </c>
    </row>
    <row r="59" spans="1:28" x14ac:dyDescent="0.3">
      <c r="A59" s="1" t="s">
        <v>64</v>
      </c>
      <c r="B59" s="1" t="s">
        <v>73</v>
      </c>
      <c r="C59" s="1">
        <v>1</v>
      </c>
      <c r="D59" s="1" t="s">
        <v>15</v>
      </c>
      <c r="E59" s="1">
        <v>4</v>
      </c>
      <c r="F59" s="5">
        <v>91</v>
      </c>
      <c r="G59" s="5">
        <v>3</v>
      </c>
      <c r="H59" s="5">
        <v>94</v>
      </c>
      <c r="I59" s="6">
        <v>341550</v>
      </c>
      <c r="J59" s="1">
        <v>2024</v>
      </c>
      <c r="K59" s="6">
        <v>3753.2967032967031</v>
      </c>
      <c r="L59" s="6">
        <v>3633.510638297872</v>
      </c>
      <c r="M59" t="str">
        <f t="shared" si="7"/>
        <v>Histórico</v>
      </c>
      <c r="P59" s="8"/>
      <c r="Q59" t="str">
        <f t="shared" si="8"/>
        <v>Benchmark local</v>
      </c>
      <c r="R59" t="s">
        <v>206</v>
      </c>
      <c r="W59" s="7">
        <f t="shared" si="9"/>
        <v>0.25</v>
      </c>
      <c r="X59" t="str">
        <f t="shared" si="10"/>
        <v>C · Histórico/secundário</v>
      </c>
      <c r="Y59" t="str">
        <f t="shared" si="11"/>
        <v>Baixa</v>
      </c>
      <c r="AA59" t="str">
        <f t="shared" si="12"/>
        <v>Atualizar preço/status</v>
      </c>
      <c r="AB59" t="str">
        <f t="shared" si="13"/>
        <v>Alta</v>
      </c>
    </row>
    <row r="60" spans="1:28" x14ac:dyDescent="0.3">
      <c r="A60" s="1" t="s">
        <v>64</v>
      </c>
      <c r="B60" s="1" t="s">
        <v>74</v>
      </c>
      <c r="C60" s="1">
        <v>1</v>
      </c>
      <c r="D60" s="1" t="s">
        <v>47</v>
      </c>
      <c r="E60" s="1">
        <v>1</v>
      </c>
      <c r="F60" s="5">
        <v>124</v>
      </c>
      <c r="G60" s="5">
        <v>85</v>
      </c>
      <c r="H60" s="5">
        <v>209</v>
      </c>
      <c r="I60" s="6">
        <v>518100</v>
      </c>
      <c r="J60" s="1">
        <v>2024</v>
      </c>
      <c r="K60" s="6">
        <v>4178.2258064516127</v>
      </c>
      <c r="L60" s="6">
        <v>2478.947368421052</v>
      </c>
      <c r="M60" t="str">
        <f t="shared" si="7"/>
        <v>Histórico</v>
      </c>
      <c r="P60" s="8"/>
      <c r="Q60" t="str">
        <f t="shared" si="8"/>
        <v>Benchmark local</v>
      </c>
      <c r="R60" t="s">
        <v>206</v>
      </c>
      <c r="W60" s="7">
        <f t="shared" si="9"/>
        <v>0.25</v>
      </c>
      <c r="X60" t="str">
        <f t="shared" si="10"/>
        <v>C · Histórico/secundário</v>
      </c>
      <c r="Y60" t="str">
        <f t="shared" si="11"/>
        <v>Baixa</v>
      </c>
      <c r="AA60" t="str">
        <f t="shared" si="12"/>
        <v>Atualizar preço/status</v>
      </c>
      <c r="AB60" t="str">
        <f t="shared" si="13"/>
        <v>Alta</v>
      </c>
    </row>
    <row r="61" spans="1:28" x14ac:dyDescent="0.3">
      <c r="A61" s="1" t="s">
        <v>64</v>
      </c>
      <c r="B61" s="1" t="s">
        <v>75</v>
      </c>
      <c r="C61" s="1">
        <v>1</v>
      </c>
      <c r="D61" s="1" t="s">
        <v>15</v>
      </c>
      <c r="E61" s="1">
        <v>2</v>
      </c>
      <c r="F61" s="5">
        <v>83</v>
      </c>
      <c r="G61" s="5">
        <v>108</v>
      </c>
      <c r="H61" s="5">
        <v>191</v>
      </c>
      <c r="I61" s="6">
        <v>404250</v>
      </c>
      <c r="J61" s="1">
        <v>2024</v>
      </c>
      <c r="K61" s="6">
        <v>4870.4819277108436</v>
      </c>
      <c r="L61" s="6">
        <v>2116.4921465968591</v>
      </c>
      <c r="M61" t="str">
        <f t="shared" si="7"/>
        <v>Histórico</v>
      </c>
      <c r="P61" s="8"/>
      <c r="Q61" t="str">
        <f t="shared" si="8"/>
        <v>Benchmark local</v>
      </c>
      <c r="R61" t="s">
        <v>206</v>
      </c>
      <c r="W61" s="7">
        <f t="shared" si="9"/>
        <v>0.25</v>
      </c>
      <c r="X61" t="str">
        <f t="shared" si="10"/>
        <v>C · Histórico/secundário</v>
      </c>
      <c r="Y61" t="str">
        <f t="shared" si="11"/>
        <v>Baixa</v>
      </c>
      <c r="AA61" t="str">
        <f t="shared" si="12"/>
        <v>Atualizar preço/status</v>
      </c>
      <c r="AB61" t="str">
        <f t="shared" si="13"/>
        <v>Alta</v>
      </c>
    </row>
    <row r="62" spans="1:28" x14ac:dyDescent="0.3">
      <c r="A62" s="1" t="s">
        <v>64</v>
      </c>
      <c r="B62" s="1" t="s">
        <v>76</v>
      </c>
      <c r="C62" s="1">
        <v>1</v>
      </c>
      <c r="D62" s="1" t="s">
        <v>15</v>
      </c>
      <c r="E62" s="1">
        <v>2</v>
      </c>
      <c r="F62" s="5">
        <v>83</v>
      </c>
      <c r="G62" s="5">
        <v>102</v>
      </c>
      <c r="H62" s="5">
        <v>185</v>
      </c>
      <c r="I62" s="6">
        <v>402600</v>
      </c>
      <c r="J62" s="1">
        <v>2024</v>
      </c>
      <c r="K62" s="6">
        <v>4850.6024096385536</v>
      </c>
      <c r="L62" s="6">
        <v>2176.2162162162158</v>
      </c>
      <c r="M62" t="str">
        <f t="shared" si="7"/>
        <v>Histórico</v>
      </c>
      <c r="P62" s="8"/>
      <c r="Q62" t="str">
        <f t="shared" si="8"/>
        <v>Benchmark local</v>
      </c>
      <c r="R62" t="s">
        <v>206</v>
      </c>
      <c r="W62" s="7">
        <f t="shared" si="9"/>
        <v>0.25</v>
      </c>
      <c r="X62" t="str">
        <f t="shared" si="10"/>
        <v>C · Histórico/secundário</v>
      </c>
      <c r="Y62" t="str">
        <f t="shared" si="11"/>
        <v>Baixa</v>
      </c>
      <c r="AA62" t="str">
        <f t="shared" si="12"/>
        <v>Atualizar preço/status</v>
      </c>
      <c r="AB62" t="str">
        <f t="shared" si="13"/>
        <v>Alta</v>
      </c>
    </row>
    <row r="63" spans="1:28" x14ac:dyDescent="0.3">
      <c r="A63" s="1" t="s">
        <v>64</v>
      </c>
      <c r="B63" s="1" t="s">
        <v>67</v>
      </c>
      <c r="C63" s="1">
        <v>2</v>
      </c>
      <c r="D63" s="1" t="s">
        <v>47</v>
      </c>
      <c r="E63" s="1">
        <v>3</v>
      </c>
      <c r="F63" s="5">
        <v>124</v>
      </c>
      <c r="G63" s="5">
        <v>29</v>
      </c>
      <c r="H63" s="5">
        <v>153</v>
      </c>
      <c r="I63" s="6">
        <v>502150</v>
      </c>
      <c r="J63" s="1">
        <v>2026</v>
      </c>
      <c r="K63" s="6">
        <v>4049.5967741935478</v>
      </c>
      <c r="L63" s="6">
        <v>3282.0261437908498</v>
      </c>
      <c r="M63" t="str">
        <f t="shared" si="7"/>
        <v>Ativo</v>
      </c>
      <c r="P63" s="8"/>
      <c r="Q63" t="str">
        <f t="shared" si="8"/>
        <v>Benchmark local</v>
      </c>
      <c r="R63" t="s">
        <v>206</v>
      </c>
      <c r="W63" s="7">
        <f t="shared" si="9"/>
        <v>0.7</v>
      </c>
      <c r="X63" t="str">
        <f t="shared" si="10"/>
        <v>B · Benchmark local</v>
      </c>
      <c r="Y63" t="str">
        <f t="shared" si="11"/>
        <v>Baixa</v>
      </c>
      <c r="AA63" t="str">
        <f t="shared" si="12"/>
        <v>Adicionar fonte/URL/data</v>
      </c>
      <c r="AB63" t="str">
        <f t="shared" si="13"/>
        <v>Alta</v>
      </c>
    </row>
    <row r="64" spans="1:28" x14ac:dyDescent="0.3">
      <c r="A64" s="1" t="s">
        <v>64</v>
      </c>
      <c r="B64" s="1" t="s">
        <v>68</v>
      </c>
      <c r="C64" s="1">
        <v>2</v>
      </c>
      <c r="D64" s="1" t="s">
        <v>15</v>
      </c>
      <c r="E64" s="1">
        <v>4</v>
      </c>
      <c r="F64" s="5">
        <v>91</v>
      </c>
      <c r="G64" s="5">
        <v>24</v>
      </c>
      <c r="H64" s="5">
        <v>115</v>
      </c>
      <c r="I64" s="6">
        <v>369600</v>
      </c>
      <c r="J64" s="1">
        <v>2024</v>
      </c>
      <c r="K64" s="6">
        <v>4061.538461538461</v>
      </c>
      <c r="L64" s="6">
        <v>3213.913043478261</v>
      </c>
      <c r="M64" t="str">
        <f t="shared" si="7"/>
        <v>Histórico</v>
      </c>
      <c r="P64" s="8"/>
      <c r="Q64" t="str">
        <f t="shared" si="8"/>
        <v>Benchmark local</v>
      </c>
      <c r="R64" t="s">
        <v>206</v>
      </c>
      <c r="W64" s="7">
        <f t="shared" si="9"/>
        <v>0.25</v>
      </c>
      <c r="X64" t="str">
        <f t="shared" si="10"/>
        <v>C · Histórico/secundário</v>
      </c>
      <c r="Y64" t="str">
        <f t="shared" si="11"/>
        <v>Baixa</v>
      </c>
      <c r="AA64" t="str">
        <f t="shared" si="12"/>
        <v>Atualizar preço/status</v>
      </c>
      <c r="AB64" t="str">
        <f t="shared" si="13"/>
        <v>Alta</v>
      </c>
    </row>
    <row r="65" spans="1:28" x14ac:dyDescent="0.3">
      <c r="A65" s="1" t="s">
        <v>64</v>
      </c>
      <c r="B65" s="1" t="s">
        <v>77</v>
      </c>
      <c r="C65" s="1">
        <v>2</v>
      </c>
      <c r="D65" s="1" t="s">
        <v>15</v>
      </c>
      <c r="E65" s="1">
        <v>4</v>
      </c>
      <c r="F65" s="5">
        <v>93</v>
      </c>
      <c r="G65" s="5">
        <v>24</v>
      </c>
      <c r="H65" s="5">
        <v>117</v>
      </c>
      <c r="I65" s="6">
        <v>376200</v>
      </c>
      <c r="J65" s="1">
        <v>2024</v>
      </c>
      <c r="K65" s="6">
        <v>4045.16129032258</v>
      </c>
      <c r="L65" s="6">
        <v>3215.3846153846148</v>
      </c>
      <c r="M65" t="str">
        <f t="shared" si="7"/>
        <v>Histórico</v>
      </c>
      <c r="P65" s="8"/>
      <c r="Q65" t="str">
        <f t="shared" si="8"/>
        <v>Benchmark local</v>
      </c>
      <c r="R65" t="s">
        <v>206</v>
      </c>
      <c r="W65" s="7">
        <f t="shared" si="9"/>
        <v>0.25</v>
      </c>
      <c r="X65" t="str">
        <f t="shared" si="10"/>
        <v>C · Histórico/secundário</v>
      </c>
      <c r="Y65" t="str">
        <f t="shared" si="11"/>
        <v>Baixa</v>
      </c>
      <c r="AA65" t="str">
        <f t="shared" si="12"/>
        <v>Atualizar preço/status</v>
      </c>
      <c r="AB65" t="str">
        <f t="shared" si="13"/>
        <v>Alta</v>
      </c>
    </row>
    <row r="66" spans="1:28" x14ac:dyDescent="0.3">
      <c r="A66" s="1" t="s">
        <v>64</v>
      </c>
      <c r="B66" s="1" t="s">
        <v>78</v>
      </c>
      <c r="C66" s="1">
        <v>2</v>
      </c>
      <c r="D66" s="1" t="s">
        <v>47</v>
      </c>
      <c r="E66" s="1">
        <v>1</v>
      </c>
      <c r="F66" s="5">
        <v>124</v>
      </c>
      <c r="G66" s="5">
        <v>29</v>
      </c>
      <c r="H66" s="5">
        <v>153</v>
      </c>
      <c r="I66" s="6">
        <v>482350</v>
      </c>
      <c r="J66" s="1">
        <v>2026</v>
      </c>
      <c r="K66" s="6">
        <v>3889.9193548387102</v>
      </c>
      <c r="L66" s="6">
        <v>3152.6143790849669</v>
      </c>
      <c r="M66" t="str">
        <f t="shared" ref="M66:M97" si="14">IF(A66="The View","Projeto",IF(J66&gt;=2026,"Ativo",IF(J66=2025,"Rever","Histórico")))</f>
        <v>Ativo</v>
      </c>
      <c r="P66" s="8"/>
      <c r="Q66" t="str">
        <f t="shared" ref="Q66:Q97" si="15">IF(A66="The View","Projeto",IF(A66="Le Parc","Benchmark local",IF(OR(A66="Del Mar Waterfront",A66="Aura Living"),"Premium waterfront/marina","A classificar")))</f>
        <v>Benchmark local</v>
      </c>
      <c r="R66" t="s">
        <v>206</v>
      </c>
      <c r="W66" s="7">
        <f t="shared" ref="W66:W97" si="16">IF(A66="The View",1,MAX(0.25,MIN(1,IF(J66&gt;=2026,1,IF(J66=2025,0.8,IF(J66=2024,0.45,0.3)))*IF(Q66="Premium waterfront/marina",1,IF(Q66="Benchmark local",0.7,0.6))*IF(M66="Vendido",0.65,IF(M66="Reservado",0.8,IF(M66="Histórico",0.55,1))))))</f>
        <v>0.7</v>
      </c>
      <c r="X66" t="str">
        <f t="shared" ref="X66:X97" si="17">IF(A66="The View","Projeto",IF(W66&gt;=0.85,"A · Premium ativo",IF(W66&gt;=0.55,"B · Benchmark local","C · Histórico/secundário")))</f>
        <v>B · Benchmark local</v>
      </c>
      <c r="Y66" t="str">
        <f t="shared" ref="Y66:Y97" si="18">IF(A66="The View","N/A",IF(AND(N66&lt;&gt;"",O66&lt;&gt;"",P66&lt;&gt;""),"Alta",IF(OR(N66&lt;&gt;"",O66&lt;&gt;"",P66&lt;&gt;""),"Média","Baixa")))</f>
        <v>Baixa</v>
      </c>
      <c r="AA66" t="str">
        <f t="shared" ref="AA66:AA97" si="19">IF(A66="The View","Manter",IF(J66&lt;2026,"Atualizar preço/status",IF(Y66="Baixa","Adicionar fonte/URL/data",IF(W66&lt;0.55,"Rever comparabilidade","OK"))))</f>
        <v>Adicionar fonte/URL/data</v>
      </c>
      <c r="AB66" t="str">
        <f t="shared" ref="AB66:AB97" si="20">IF(A66="The View","",IF(OR(J66&lt;2026,Y66="Baixa"),"Alta",IF(W66&lt;0.55,"Média","Baixa")))</f>
        <v>Alta</v>
      </c>
    </row>
    <row r="67" spans="1:28" x14ac:dyDescent="0.3">
      <c r="A67" s="1" t="s">
        <v>64</v>
      </c>
      <c r="B67" s="1" t="s">
        <v>79</v>
      </c>
      <c r="C67" s="1">
        <v>2</v>
      </c>
      <c r="D67" s="1" t="s">
        <v>15</v>
      </c>
      <c r="E67" s="1">
        <v>2</v>
      </c>
      <c r="F67" s="5">
        <v>83</v>
      </c>
      <c r="G67" s="5">
        <v>23</v>
      </c>
      <c r="H67" s="5">
        <v>106</v>
      </c>
      <c r="I67" s="6">
        <v>339900</v>
      </c>
      <c r="J67" s="1">
        <v>2024</v>
      </c>
      <c r="K67" s="6">
        <v>4095.1807228915659</v>
      </c>
      <c r="L67" s="6">
        <v>3206.6037735849059</v>
      </c>
      <c r="M67" t="str">
        <f t="shared" si="14"/>
        <v>Histórico</v>
      </c>
      <c r="P67" s="8"/>
      <c r="Q67" t="str">
        <f t="shared" si="15"/>
        <v>Benchmark local</v>
      </c>
      <c r="R67" t="s">
        <v>206</v>
      </c>
      <c r="W67" s="7">
        <f t="shared" si="16"/>
        <v>0.25</v>
      </c>
      <c r="X67" t="str">
        <f t="shared" si="17"/>
        <v>C · Histórico/secundário</v>
      </c>
      <c r="Y67" t="str">
        <f t="shared" si="18"/>
        <v>Baixa</v>
      </c>
      <c r="AA67" t="str">
        <f t="shared" si="19"/>
        <v>Atualizar preço/status</v>
      </c>
      <c r="AB67" t="str">
        <f t="shared" si="20"/>
        <v>Alta</v>
      </c>
    </row>
    <row r="68" spans="1:28" x14ac:dyDescent="0.3">
      <c r="A68" s="1" t="s">
        <v>64</v>
      </c>
      <c r="B68" s="1" t="s">
        <v>80</v>
      </c>
      <c r="C68" s="1">
        <v>2</v>
      </c>
      <c r="D68" s="1" t="s">
        <v>15</v>
      </c>
      <c r="E68" s="1">
        <v>2</v>
      </c>
      <c r="F68" s="5">
        <v>83</v>
      </c>
      <c r="G68" s="5">
        <v>23</v>
      </c>
      <c r="H68" s="5">
        <v>106</v>
      </c>
      <c r="I68" s="6">
        <v>339900</v>
      </c>
      <c r="J68" s="1">
        <v>2024</v>
      </c>
      <c r="K68" s="6">
        <v>4095.1807228915659</v>
      </c>
      <c r="L68" s="6">
        <v>3206.6037735849059</v>
      </c>
      <c r="M68" t="str">
        <f t="shared" si="14"/>
        <v>Histórico</v>
      </c>
      <c r="P68" s="8"/>
      <c r="Q68" t="str">
        <f t="shared" si="15"/>
        <v>Benchmark local</v>
      </c>
      <c r="R68" t="s">
        <v>206</v>
      </c>
      <c r="W68" s="7">
        <f t="shared" si="16"/>
        <v>0.25</v>
      </c>
      <c r="X68" t="str">
        <f t="shared" si="17"/>
        <v>C · Histórico/secundário</v>
      </c>
      <c r="Y68" t="str">
        <f t="shared" si="18"/>
        <v>Baixa</v>
      </c>
      <c r="AA68" t="str">
        <f t="shared" si="19"/>
        <v>Atualizar preço/status</v>
      </c>
      <c r="AB68" t="str">
        <f t="shared" si="20"/>
        <v>Alta</v>
      </c>
    </row>
    <row r="69" spans="1:28" x14ac:dyDescent="0.3">
      <c r="A69" s="1" t="s">
        <v>64</v>
      </c>
      <c r="B69" s="1" t="s">
        <v>69</v>
      </c>
      <c r="C69" s="1">
        <v>3</v>
      </c>
      <c r="D69" s="1" t="s">
        <v>47</v>
      </c>
      <c r="E69" s="1">
        <v>3</v>
      </c>
      <c r="F69" s="5">
        <v>124</v>
      </c>
      <c r="G69" s="5">
        <v>29</v>
      </c>
      <c r="H69" s="5">
        <v>153</v>
      </c>
      <c r="I69" s="6">
        <v>503800</v>
      </c>
      <c r="J69" s="1">
        <v>2026</v>
      </c>
      <c r="K69" s="6">
        <v>4062.9032258064522</v>
      </c>
      <c r="L69" s="6">
        <v>3292.8104575163402</v>
      </c>
      <c r="M69" t="str">
        <f t="shared" si="14"/>
        <v>Ativo</v>
      </c>
      <c r="P69" s="8"/>
      <c r="Q69" t="str">
        <f t="shared" si="15"/>
        <v>Benchmark local</v>
      </c>
      <c r="R69" t="s">
        <v>206</v>
      </c>
      <c r="W69" s="7">
        <f t="shared" si="16"/>
        <v>0.7</v>
      </c>
      <c r="X69" t="str">
        <f t="shared" si="17"/>
        <v>B · Benchmark local</v>
      </c>
      <c r="Y69" t="str">
        <f t="shared" si="18"/>
        <v>Baixa</v>
      </c>
      <c r="AA69" t="str">
        <f t="shared" si="19"/>
        <v>Adicionar fonte/URL/data</v>
      </c>
      <c r="AB69" t="str">
        <f t="shared" si="20"/>
        <v>Alta</v>
      </c>
    </row>
    <row r="70" spans="1:28" x14ac:dyDescent="0.3">
      <c r="A70" s="1" t="s">
        <v>64</v>
      </c>
      <c r="B70" s="1" t="s">
        <v>70</v>
      </c>
      <c r="C70" s="1">
        <v>3</v>
      </c>
      <c r="D70" s="1" t="s">
        <v>15</v>
      </c>
      <c r="E70" s="1">
        <v>4</v>
      </c>
      <c r="F70" s="5">
        <v>91</v>
      </c>
      <c r="G70" s="5">
        <v>24</v>
      </c>
      <c r="H70" s="5">
        <v>115</v>
      </c>
      <c r="I70" s="6">
        <v>374000</v>
      </c>
      <c r="J70" s="1">
        <v>2024</v>
      </c>
      <c r="K70" s="6">
        <v>4109.8901098901097</v>
      </c>
      <c r="L70" s="6">
        <v>3252.173913043478</v>
      </c>
      <c r="M70" t="str">
        <f t="shared" si="14"/>
        <v>Histórico</v>
      </c>
      <c r="P70" s="8"/>
      <c r="Q70" t="str">
        <f t="shared" si="15"/>
        <v>Benchmark local</v>
      </c>
      <c r="R70" t="s">
        <v>206</v>
      </c>
      <c r="W70" s="7">
        <f t="shared" si="16"/>
        <v>0.25</v>
      </c>
      <c r="X70" t="str">
        <f t="shared" si="17"/>
        <v>C · Histórico/secundário</v>
      </c>
      <c r="Y70" t="str">
        <f t="shared" si="18"/>
        <v>Baixa</v>
      </c>
      <c r="AA70" t="str">
        <f t="shared" si="19"/>
        <v>Atualizar preço/status</v>
      </c>
      <c r="AB70" t="str">
        <f t="shared" si="20"/>
        <v>Alta</v>
      </c>
    </row>
    <row r="71" spans="1:28" x14ac:dyDescent="0.3">
      <c r="A71" s="1" t="s">
        <v>64</v>
      </c>
      <c r="B71" s="1" t="s">
        <v>81</v>
      </c>
      <c r="C71" s="1">
        <v>3</v>
      </c>
      <c r="D71" s="1" t="s">
        <v>15</v>
      </c>
      <c r="E71" s="1">
        <v>4</v>
      </c>
      <c r="F71" s="5">
        <v>83</v>
      </c>
      <c r="G71" s="5">
        <v>24</v>
      </c>
      <c r="H71" s="5">
        <v>107</v>
      </c>
      <c r="I71" s="6">
        <v>490600</v>
      </c>
      <c r="J71" s="1">
        <v>2026</v>
      </c>
      <c r="K71" s="6">
        <v>5910.8433734939763</v>
      </c>
      <c r="L71" s="6">
        <v>4585.0467289719627</v>
      </c>
      <c r="M71" t="str">
        <f t="shared" si="14"/>
        <v>Ativo</v>
      </c>
      <c r="P71" s="8"/>
      <c r="Q71" t="str">
        <f t="shared" si="15"/>
        <v>Benchmark local</v>
      </c>
      <c r="R71" t="s">
        <v>206</v>
      </c>
      <c r="W71" s="7">
        <f t="shared" si="16"/>
        <v>0.7</v>
      </c>
      <c r="X71" t="str">
        <f t="shared" si="17"/>
        <v>B · Benchmark local</v>
      </c>
      <c r="Y71" t="str">
        <f t="shared" si="18"/>
        <v>Baixa</v>
      </c>
      <c r="AA71" t="str">
        <f t="shared" si="19"/>
        <v>Adicionar fonte/URL/data</v>
      </c>
      <c r="AB71" t="str">
        <f t="shared" si="20"/>
        <v>Alta</v>
      </c>
    </row>
    <row r="72" spans="1:28" x14ac:dyDescent="0.3">
      <c r="A72" s="1" t="s">
        <v>64</v>
      </c>
      <c r="B72" s="1" t="s">
        <v>82</v>
      </c>
      <c r="C72" s="1">
        <v>3</v>
      </c>
      <c r="D72" s="1" t="s">
        <v>47</v>
      </c>
      <c r="E72" s="1">
        <v>1</v>
      </c>
      <c r="F72" s="5">
        <v>124</v>
      </c>
      <c r="G72" s="5">
        <v>29</v>
      </c>
      <c r="H72" s="5">
        <v>153</v>
      </c>
      <c r="I72" s="6">
        <v>486750</v>
      </c>
      <c r="J72" s="1">
        <v>2024</v>
      </c>
      <c r="K72" s="6">
        <v>3925.4032258064522</v>
      </c>
      <c r="L72" s="6">
        <v>3181.372549019608</v>
      </c>
      <c r="M72" t="str">
        <f t="shared" si="14"/>
        <v>Histórico</v>
      </c>
      <c r="P72" s="8"/>
      <c r="Q72" t="str">
        <f t="shared" si="15"/>
        <v>Benchmark local</v>
      </c>
      <c r="R72" t="s">
        <v>206</v>
      </c>
      <c r="W72" s="7">
        <f t="shared" si="16"/>
        <v>0.25</v>
      </c>
      <c r="X72" t="str">
        <f t="shared" si="17"/>
        <v>C · Histórico/secundário</v>
      </c>
      <c r="Y72" t="str">
        <f t="shared" si="18"/>
        <v>Baixa</v>
      </c>
      <c r="AA72" t="str">
        <f t="shared" si="19"/>
        <v>Atualizar preço/status</v>
      </c>
      <c r="AB72" t="str">
        <f t="shared" si="20"/>
        <v>Alta</v>
      </c>
    </row>
    <row r="73" spans="1:28" x14ac:dyDescent="0.3">
      <c r="A73" s="1" t="s">
        <v>64</v>
      </c>
      <c r="B73" s="1" t="s">
        <v>83</v>
      </c>
      <c r="C73" s="1">
        <v>3</v>
      </c>
      <c r="D73" s="1" t="s">
        <v>15</v>
      </c>
      <c r="E73" s="1">
        <v>2</v>
      </c>
      <c r="F73" s="5">
        <v>83</v>
      </c>
      <c r="G73" s="5">
        <v>23</v>
      </c>
      <c r="H73" s="5">
        <v>106</v>
      </c>
      <c r="I73" s="6">
        <v>344300</v>
      </c>
      <c r="J73" s="1">
        <v>2024</v>
      </c>
      <c r="K73" s="6">
        <v>4148.1927710843374</v>
      </c>
      <c r="L73" s="6">
        <v>3248.1132075471701</v>
      </c>
      <c r="M73" t="str">
        <f t="shared" si="14"/>
        <v>Histórico</v>
      </c>
      <c r="P73" s="8"/>
      <c r="Q73" t="str">
        <f t="shared" si="15"/>
        <v>Benchmark local</v>
      </c>
      <c r="R73" t="s">
        <v>206</v>
      </c>
      <c r="W73" s="7">
        <f t="shared" si="16"/>
        <v>0.25</v>
      </c>
      <c r="X73" t="str">
        <f t="shared" si="17"/>
        <v>C · Histórico/secundário</v>
      </c>
      <c r="Y73" t="str">
        <f t="shared" si="18"/>
        <v>Baixa</v>
      </c>
      <c r="AA73" t="str">
        <f t="shared" si="19"/>
        <v>Atualizar preço/status</v>
      </c>
      <c r="AB73" t="str">
        <f t="shared" si="20"/>
        <v>Alta</v>
      </c>
    </row>
    <row r="74" spans="1:28" x14ac:dyDescent="0.3">
      <c r="A74" s="1" t="s">
        <v>64</v>
      </c>
      <c r="B74" s="1" t="s">
        <v>84</v>
      </c>
      <c r="C74" s="1">
        <v>3</v>
      </c>
      <c r="D74" s="1" t="s">
        <v>15</v>
      </c>
      <c r="E74" s="1">
        <v>2</v>
      </c>
      <c r="F74" s="5">
        <v>83</v>
      </c>
      <c r="G74" s="5">
        <v>23</v>
      </c>
      <c r="H74" s="5">
        <v>106</v>
      </c>
      <c r="I74" s="6">
        <v>344300</v>
      </c>
      <c r="J74" s="1">
        <v>2024</v>
      </c>
      <c r="K74" s="6">
        <v>4148.1927710843374</v>
      </c>
      <c r="L74" s="6">
        <v>3248.1132075471701</v>
      </c>
      <c r="M74" t="str">
        <f t="shared" si="14"/>
        <v>Histórico</v>
      </c>
      <c r="P74" s="8"/>
      <c r="Q74" t="str">
        <f t="shared" si="15"/>
        <v>Benchmark local</v>
      </c>
      <c r="R74" t="s">
        <v>206</v>
      </c>
      <c r="W74" s="7">
        <f t="shared" si="16"/>
        <v>0.25</v>
      </c>
      <c r="X74" t="str">
        <f t="shared" si="17"/>
        <v>C · Histórico/secundário</v>
      </c>
      <c r="Y74" t="str">
        <f t="shared" si="18"/>
        <v>Baixa</v>
      </c>
      <c r="AA74" t="str">
        <f t="shared" si="19"/>
        <v>Atualizar preço/status</v>
      </c>
      <c r="AB74" t="str">
        <f t="shared" si="20"/>
        <v>Alta</v>
      </c>
    </row>
    <row r="75" spans="1:28" x14ac:dyDescent="0.3">
      <c r="A75" s="1" t="s">
        <v>64</v>
      </c>
      <c r="B75" s="1" t="s">
        <v>71</v>
      </c>
      <c r="C75" s="1">
        <v>4</v>
      </c>
      <c r="D75" s="1" t="s">
        <v>47</v>
      </c>
      <c r="E75" s="1">
        <v>3</v>
      </c>
      <c r="F75" s="5">
        <v>134</v>
      </c>
      <c r="G75" s="5">
        <v>29</v>
      </c>
      <c r="H75" s="5">
        <v>163</v>
      </c>
      <c r="I75" s="6">
        <v>521400</v>
      </c>
      <c r="J75" s="1">
        <v>2026</v>
      </c>
      <c r="K75" s="6">
        <v>3891.0447761194032</v>
      </c>
      <c r="L75" s="6">
        <v>3198.7730061349689</v>
      </c>
      <c r="M75" t="str">
        <f t="shared" si="14"/>
        <v>Ativo</v>
      </c>
      <c r="P75" s="8"/>
      <c r="Q75" t="str">
        <f t="shared" si="15"/>
        <v>Benchmark local</v>
      </c>
      <c r="R75" t="s">
        <v>206</v>
      </c>
      <c r="W75" s="7">
        <f t="shared" si="16"/>
        <v>0.7</v>
      </c>
      <c r="X75" t="str">
        <f t="shared" si="17"/>
        <v>B · Benchmark local</v>
      </c>
      <c r="Y75" t="str">
        <f t="shared" si="18"/>
        <v>Baixa</v>
      </c>
      <c r="AA75" t="str">
        <f t="shared" si="19"/>
        <v>Adicionar fonte/URL/data</v>
      </c>
      <c r="AB75" t="str">
        <f t="shared" si="20"/>
        <v>Alta</v>
      </c>
    </row>
    <row r="76" spans="1:28" x14ac:dyDescent="0.3">
      <c r="A76" s="1" t="s">
        <v>64</v>
      </c>
      <c r="B76" s="1" t="s">
        <v>72</v>
      </c>
      <c r="C76" s="1">
        <v>4</v>
      </c>
      <c r="D76" s="1" t="s">
        <v>15</v>
      </c>
      <c r="E76" s="1">
        <v>4</v>
      </c>
      <c r="F76" s="5">
        <v>108</v>
      </c>
      <c r="G76" s="5">
        <v>28</v>
      </c>
      <c r="H76" s="5">
        <v>136</v>
      </c>
      <c r="I76" s="6">
        <v>407000</v>
      </c>
      <c r="J76" s="1">
        <v>2024</v>
      </c>
      <c r="K76" s="6">
        <v>3768.5185185185192</v>
      </c>
      <c r="L76" s="6">
        <v>2992.6470588235288</v>
      </c>
      <c r="M76" t="str">
        <f t="shared" si="14"/>
        <v>Histórico</v>
      </c>
      <c r="P76" s="8"/>
      <c r="Q76" t="str">
        <f t="shared" si="15"/>
        <v>Benchmark local</v>
      </c>
      <c r="R76" t="s">
        <v>206</v>
      </c>
      <c r="W76" s="7">
        <f t="shared" si="16"/>
        <v>0.25</v>
      </c>
      <c r="X76" t="str">
        <f t="shared" si="17"/>
        <v>C · Histórico/secundário</v>
      </c>
      <c r="Y76" t="str">
        <f t="shared" si="18"/>
        <v>Baixa</v>
      </c>
      <c r="AA76" t="str">
        <f t="shared" si="19"/>
        <v>Atualizar preço/status</v>
      </c>
      <c r="AB76" t="str">
        <f t="shared" si="20"/>
        <v>Alta</v>
      </c>
    </row>
    <row r="77" spans="1:28" x14ac:dyDescent="0.3">
      <c r="A77" s="1" t="s">
        <v>64</v>
      </c>
      <c r="B77" s="1" t="s">
        <v>85</v>
      </c>
      <c r="C77" s="1">
        <v>4</v>
      </c>
      <c r="D77" s="1" t="s">
        <v>15</v>
      </c>
      <c r="E77" s="1">
        <v>4</v>
      </c>
      <c r="F77" s="5">
        <v>108</v>
      </c>
      <c r="G77" s="5">
        <v>28</v>
      </c>
      <c r="H77" s="5">
        <v>136</v>
      </c>
      <c r="I77" s="6">
        <v>407000</v>
      </c>
      <c r="J77" s="1">
        <v>2024</v>
      </c>
      <c r="K77" s="6">
        <v>3768.5185185185192</v>
      </c>
      <c r="L77" s="6">
        <v>2992.6470588235288</v>
      </c>
      <c r="M77" t="str">
        <f t="shared" si="14"/>
        <v>Histórico</v>
      </c>
      <c r="P77" s="8"/>
      <c r="Q77" t="str">
        <f t="shared" si="15"/>
        <v>Benchmark local</v>
      </c>
      <c r="R77" t="s">
        <v>206</v>
      </c>
      <c r="W77" s="7">
        <f t="shared" si="16"/>
        <v>0.25</v>
      </c>
      <c r="X77" t="str">
        <f t="shared" si="17"/>
        <v>C · Histórico/secundário</v>
      </c>
      <c r="Y77" t="str">
        <f t="shared" si="18"/>
        <v>Baixa</v>
      </c>
      <c r="AA77" t="str">
        <f t="shared" si="19"/>
        <v>Atualizar preço/status</v>
      </c>
      <c r="AB77" t="str">
        <f t="shared" si="20"/>
        <v>Alta</v>
      </c>
    </row>
    <row r="78" spans="1:28" x14ac:dyDescent="0.3">
      <c r="A78" s="1" t="s">
        <v>64</v>
      </c>
      <c r="B78" s="1" t="s">
        <v>86</v>
      </c>
      <c r="C78" s="1">
        <v>4</v>
      </c>
      <c r="D78" s="1" t="s">
        <v>87</v>
      </c>
      <c r="E78" s="1">
        <v>1</v>
      </c>
      <c r="F78" s="5">
        <v>156</v>
      </c>
      <c r="G78" s="5">
        <v>35</v>
      </c>
      <c r="H78" s="5">
        <v>191</v>
      </c>
      <c r="I78" s="6">
        <v>598950</v>
      </c>
      <c r="J78" s="1">
        <v>2024</v>
      </c>
      <c r="K78" s="6">
        <v>3839.4230769230771</v>
      </c>
      <c r="L78" s="6">
        <v>3135.8638743455499</v>
      </c>
      <c r="M78" t="str">
        <f t="shared" si="14"/>
        <v>Histórico</v>
      </c>
      <c r="P78" s="8"/>
      <c r="Q78" t="str">
        <f t="shared" si="15"/>
        <v>Benchmark local</v>
      </c>
      <c r="R78" t="s">
        <v>206</v>
      </c>
      <c r="W78" s="7">
        <f t="shared" si="16"/>
        <v>0.25</v>
      </c>
      <c r="X78" t="str">
        <f t="shared" si="17"/>
        <v>C · Histórico/secundário</v>
      </c>
      <c r="Y78" t="str">
        <f t="shared" si="18"/>
        <v>Baixa</v>
      </c>
      <c r="AA78" t="str">
        <f t="shared" si="19"/>
        <v>Atualizar preço/status</v>
      </c>
      <c r="AB78" t="str">
        <f t="shared" si="20"/>
        <v>Alta</v>
      </c>
    </row>
    <row r="79" spans="1:28" x14ac:dyDescent="0.3">
      <c r="A79" s="1" t="s">
        <v>64</v>
      </c>
      <c r="B79" s="1" t="s">
        <v>88</v>
      </c>
      <c r="C79" s="1">
        <v>4</v>
      </c>
      <c r="D79" s="1" t="s">
        <v>15</v>
      </c>
      <c r="E79" s="1">
        <v>2</v>
      </c>
      <c r="F79" s="5">
        <v>101</v>
      </c>
      <c r="G79" s="5">
        <v>30</v>
      </c>
      <c r="H79" s="5">
        <v>131</v>
      </c>
      <c r="I79" s="6">
        <v>385550</v>
      </c>
      <c r="J79" s="1">
        <v>2024</v>
      </c>
      <c r="K79" s="6">
        <v>3817.326732673268</v>
      </c>
      <c r="L79" s="6">
        <v>2943.129770992367</v>
      </c>
      <c r="M79" t="str">
        <f t="shared" si="14"/>
        <v>Histórico</v>
      </c>
      <c r="P79" s="8"/>
      <c r="Q79" t="str">
        <f t="shared" si="15"/>
        <v>Benchmark local</v>
      </c>
      <c r="R79" t="s">
        <v>206</v>
      </c>
      <c r="W79" s="7">
        <f t="shared" si="16"/>
        <v>0.25</v>
      </c>
      <c r="X79" t="str">
        <f t="shared" si="17"/>
        <v>C · Histórico/secundário</v>
      </c>
      <c r="Y79" t="str">
        <f t="shared" si="18"/>
        <v>Baixa</v>
      </c>
      <c r="AA79" t="str">
        <f t="shared" si="19"/>
        <v>Atualizar preço/status</v>
      </c>
      <c r="AB79" t="str">
        <f t="shared" si="20"/>
        <v>Alta</v>
      </c>
    </row>
    <row r="80" spans="1:28" x14ac:dyDescent="0.3">
      <c r="A80" s="1" t="s">
        <v>64</v>
      </c>
      <c r="B80" s="1" t="s">
        <v>89</v>
      </c>
      <c r="C80" s="1">
        <v>5</v>
      </c>
      <c r="D80" s="1" t="s">
        <v>47</v>
      </c>
      <c r="E80" s="1">
        <v>3</v>
      </c>
      <c r="F80" s="5">
        <v>134</v>
      </c>
      <c r="G80" s="5">
        <v>29</v>
      </c>
      <c r="H80" s="5">
        <v>163</v>
      </c>
      <c r="I80" s="6">
        <v>523050</v>
      </c>
      <c r="J80" s="1">
        <v>2024</v>
      </c>
      <c r="K80" s="6">
        <v>3903.3582089552242</v>
      </c>
      <c r="L80" s="6">
        <v>3208.8957055214719</v>
      </c>
      <c r="M80" t="str">
        <f t="shared" si="14"/>
        <v>Histórico</v>
      </c>
      <c r="P80" s="8"/>
      <c r="Q80" t="str">
        <f t="shared" si="15"/>
        <v>Benchmark local</v>
      </c>
      <c r="R80" t="s">
        <v>206</v>
      </c>
      <c r="W80" s="7">
        <f t="shared" si="16"/>
        <v>0.25</v>
      </c>
      <c r="X80" t="str">
        <f t="shared" si="17"/>
        <v>C · Histórico/secundário</v>
      </c>
      <c r="Y80" t="str">
        <f t="shared" si="18"/>
        <v>Baixa</v>
      </c>
      <c r="AA80" t="str">
        <f t="shared" si="19"/>
        <v>Atualizar preço/status</v>
      </c>
      <c r="AB80" t="str">
        <f t="shared" si="20"/>
        <v>Alta</v>
      </c>
    </row>
    <row r="81" spans="1:28" x14ac:dyDescent="0.3">
      <c r="A81" s="1" t="s">
        <v>64</v>
      </c>
      <c r="B81" s="1" t="s">
        <v>90</v>
      </c>
      <c r="C81" s="1">
        <v>5</v>
      </c>
      <c r="D81" s="1" t="s">
        <v>15</v>
      </c>
      <c r="E81" s="1">
        <v>4</v>
      </c>
      <c r="F81" s="5">
        <v>108</v>
      </c>
      <c r="G81" s="5">
        <v>28</v>
      </c>
      <c r="H81" s="5">
        <v>136</v>
      </c>
      <c r="I81" s="6">
        <v>408650</v>
      </c>
      <c r="J81" s="1">
        <v>2024</v>
      </c>
      <c r="K81" s="6">
        <v>3783.7962962962961</v>
      </c>
      <c r="L81" s="6">
        <v>3004.7794117647059</v>
      </c>
      <c r="M81" t="str">
        <f t="shared" si="14"/>
        <v>Histórico</v>
      </c>
      <c r="P81" s="8"/>
      <c r="Q81" t="str">
        <f t="shared" si="15"/>
        <v>Benchmark local</v>
      </c>
      <c r="R81" t="s">
        <v>206</v>
      </c>
      <c r="W81" s="7">
        <f t="shared" si="16"/>
        <v>0.25</v>
      </c>
      <c r="X81" t="str">
        <f t="shared" si="17"/>
        <v>C · Histórico/secundário</v>
      </c>
      <c r="Y81" t="str">
        <f t="shared" si="18"/>
        <v>Baixa</v>
      </c>
      <c r="AA81" t="str">
        <f t="shared" si="19"/>
        <v>Atualizar preço/status</v>
      </c>
      <c r="AB81" t="str">
        <f t="shared" si="20"/>
        <v>Alta</v>
      </c>
    </row>
    <row r="82" spans="1:28" x14ac:dyDescent="0.3">
      <c r="A82" s="1" t="s">
        <v>64</v>
      </c>
      <c r="B82" s="1" t="s">
        <v>91</v>
      </c>
      <c r="C82" s="1">
        <v>5</v>
      </c>
      <c r="D82" s="1" t="s">
        <v>15</v>
      </c>
      <c r="E82" s="1">
        <v>4</v>
      </c>
      <c r="F82" s="5">
        <v>108</v>
      </c>
      <c r="G82" s="5">
        <v>28</v>
      </c>
      <c r="H82" s="5">
        <v>136</v>
      </c>
      <c r="I82" s="6">
        <v>408650</v>
      </c>
      <c r="J82" s="1">
        <v>2024</v>
      </c>
      <c r="K82" s="6">
        <v>3783.7962962962961</v>
      </c>
      <c r="L82" s="6">
        <v>3004.7794117647059</v>
      </c>
      <c r="M82" t="str">
        <f t="shared" si="14"/>
        <v>Histórico</v>
      </c>
      <c r="P82" s="8"/>
      <c r="Q82" t="str">
        <f t="shared" si="15"/>
        <v>Benchmark local</v>
      </c>
      <c r="R82" t="s">
        <v>206</v>
      </c>
      <c r="W82" s="7">
        <f t="shared" si="16"/>
        <v>0.25</v>
      </c>
      <c r="X82" t="str">
        <f t="shared" si="17"/>
        <v>C · Histórico/secundário</v>
      </c>
      <c r="Y82" t="str">
        <f t="shared" si="18"/>
        <v>Baixa</v>
      </c>
      <c r="AA82" t="str">
        <f t="shared" si="19"/>
        <v>Atualizar preço/status</v>
      </c>
      <c r="AB82" t="str">
        <f t="shared" si="20"/>
        <v>Alta</v>
      </c>
    </row>
    <row r="83" spans="1:28" x14ac:dyDescent="0.3">
      <c r="A83" s="1" t="s">
        <v>64</v>
      </c>
      <c r="B83" s="1" t="s">
        <v>92</v>
      </c>
      <c r="C83" s="1">
        <v>5</v>
      </c>
      <c r="D83" s="1" t="s">
        <v>87</v>
      </c>
      <c r="E83" s="1">
        <v>1</v>
      </c>
      <c r="F83" s="5">
        <v>156</v>
      </c>
      <c r="G83" s="5">
        <v>35</v>
      </c>
      <c r="H83" s="5">
        <v>191</v>
      </c>
      <c r="I83" s="6">
        <v>600600</v>
      </c>
      <c r="J83" s="1">
        <v>2024</v>
      </c>
      <c r="K83" s="6">
        <v>3850</v>
      </c>
      <c r="L83" s="6">
        <v>3144.5026178010471</v>
      </c>
      <c r="M83" t="str">
        <f t="shared" si="14"/>
        <v>Histórico</v>
      </c>
      <c r="P83" s="8"/>
      <c r="Q83" t="str">
        <f t="shared" si="15"/>
        <v>Benchmark local</v>
      </c>
      <c r="R83" t="s">
        <v>206</v>
      </c>
      <c r="W83" s="7">
        <f t="shared" si="16"/>
        <v>0.25</v>
      </c>
      <c r="X83" t="str">
        <f t="shared" si="17"/>
        <v>C · Histórico/secundário</v>
      </c>
      <c r="Y83" t="str">
        <f t="shared" si="18"/>
        <v>Baixa</v>
      </c>
      <c r="AA83" t="str">
        <f t="shared" si="19"/>
        <v>Atualizar preço/status</v>
      </c>
      <c r="AB83" t="str">
        <f t="shared" si="20"/>
        <v>Alta</v>
      </c>
    </row>
    <row r="84" spans="1:28" x14ac:dyDescent="0.3">
      <c r="A84" s="1" t="s">
        <v>64</v>
      </c>
      <c r="B84" s="1" t="s">
        <v>93</v>
      </c>
      <c r="C84" s="1">
        <v>5</v>
      </c>
      <c r="D84" s="1" t="s">
        <v>15</v>
      </c>
      <c r="E84" s="1">
        <v>2</v>
      </c>
      <c r="F84" s="5">
        <v>101</v>
      </c>
      <c r="G84" s="5">
        <v>30</v>
      </c>
      <c r="H84" s="5">
        <v>131</v>
      </c>
      <c r="I84" s="6">
        <v>387200</v>
      </c>
      <c r="J84" s="1">
        <v>2024</v>
      </c>
      <c r="K84" s="6">
        <v>3833.6633663366342</v>
      </c>
      <c r="L84" s="6">
        <v>2955.7251908396952</v>
      </c>
      <c r="M84" t="str">
        <f t="shared" si="14"/>
        <v>Histórico</v>
      </c>
      <c r="P84" s="8"/>
      <c r="Q84" t="str">
        <f t="shared" si="15"/>
        <v>Benchmark local</v>
      </c>
      <c r="R84" t="s">
        <v>206</v>
      </c>
      <c r="W84" s="7">
        <f t="shared" si="16"/>
        <v>0.25</v>
      </c>
      <c r="X84" t="str">
        <f t="shared" si="17"/>
        <v>C · Histórico/secundário</v>
      </c>
      <c r="Y84" t="str">
        <f t="shared" si="18"/>
        <v>Baixa</v>
      </c>
      <c r="AA84" t="str">
        <f t="shared" si="19"/>
        <v>Atualizar preço/status</v>
      </c>
      <c r="AB84" t="str">
        <f t="shared" si="20"/>
        <v>Alta</v>
      </c>
    </row>
    <row r="85" spans="1:28" x14ac:dyDescent="0.3">
      <c r="A85" s="1" t="s">
        <v>64</v>
      </c>
      <c r="B85" s="1" t="s">
        <v>94</v>
      </c>
      <c r="C85" s="1">
        <v>6</v>
      </c>
      <c r="D85" s="1" t="s">
        <v>47</v>
      </c>
      <c r="E85" s="1">
        <v>3</v>
      </c>
      <c r="F85" s="5">
        <v>134</v>
      </c>
      <c r="G85" s="5">
        <v>29</v>
      </c>
      <c r="H85" s="5">
        <v>163</v>
      </c>
      <c r="I85" s="6">
        <v>534050</v>
      </c>
      <c r="J85" s="1">
        <v>2024</v>
      </c>
      <c r="K85" s="6">
        <v>3985.4477611940301</v>
      </c>
      <c r="L85" s="6">
        <v>3276.38036809816</v>
      </c>
      <c r="M85" t="str">
        <f t="shared" si="14"/>
        <v>Histórico</v>
      </c>
      <c r="P85" s="8"/>
      <c r="Q85" t="str">
        <f t="shared" si="15"/>
        <v>Benchmark local</v>
      </c>
      <c r="R85" t="s">
        <v>206</v>
      </c>
      <c r="W85" s="7">
        <f t="shared" si="16"/>
        <v>0.25</v>
      </c>
      <c r="X85" t="str">
        <f t="shared" si="17"/>
        <v>C · Histórico/secundário</v>
      </c>
      <c r="Y85" t="str">
        <f t="shared" si="18"/>
        <v>Baixa</v>
      </c>
      <c r="AA85" t="str">
        <f t="shared" si="19"/>
        <v>Atualizar preço/status</v>
      </c>
      <c r="AB85" t="str">
        <f t="shared" si="20"/>
        <v>Alta</v>
      </c>
    </row>
    <row r="86" spans="1:28" x14ac:dyDescent="0.3">
      <c r="A86" s="1" t="s">
        <v>64</v>
      </c>
      <c r="B86" s="1" t="s">
        <v>95</v>
      </c>
      <c r="C86" s="1">
        <v>6</v>
      </c>
      <c r="D86" s="1" t="s">
        <v>15</v>
      </c>
      <c r="E86" s="1">
        <v>4</v>
      </c>
      <c r="F86" s="5">
        <v>108</v>
      </c>
      <c r="G86" s="5">
        <v>28</v>
      </c>
      <c r="H86" s="5">
        <v>136</v>
      </c>
      <c r="I86" s="6">
        <v>436150</v>
      </c>
      <c r="J86" s="1">
        <v>2024</v>
      </c>
      <c r="K86" s="6">
        <v>4038.4259259259261</v>
      </c>
      <c r="L86" s="6">
        <v>3206.9852941176468</v>
      </c>
      <c r="M86" t="str">
        <f t="shared" si="14"/>
        <v>Histórico</v>
      </c>
      <c r="P86" s="8"/>
      <c r="Q86" t="str">
        <f t="shared" si="15"/>
        <v>Benchmark local</v>
      </c>
      <c r="R86" t="s">
        <v>206</v>
      </c>
      <c r="W86" s="7">
        <f t="shared" si="16"/>
        <v>0.25</v>
      </c>
      <c r="X86" t="str">
        <f t="shared" si="17"/>
        <v>C · Histórico/secundário</v>
      </c>
      <c r="Y86" t="str">
        <f t="shared" si="18"/>
        <v>Baixa</v>
      </c>
      <c r="AA86" t="str">
        <f t="shared" si="19"/>
        <v>Atualizar preço/status</v>
      </c>
      <c r="AB86" t="str">
        <f t="shared" si="20"/>
        <v>Alta</v>
      </c>
    </row>
    <row r="87" spans="1:28" x14ac:dyDescent="0.3">
      <c r="A87" s="1" t="s">
        <v>64</v>
      </c>
      <c r="B87" s="1" t="s">
        <v>96</v>
      </c>
      <c r="C87" s="1">
        <v>6</v>
      </c>
      <c r="D87" s="1" t="s">
        <v>15</v>
      </c>
      <c r="E87" s="1">
        <v>4</v>
      </c>
      <c r="F87" s="5">
        <v>108</v>
      </c>
      <c r="G87" s="5">
        <v>28</v>
      </c>
      <c r="H87" s="5">
        <v>136</v>
      </c>
      <c r="I87" s="6">
        <v>436150</v>
      </c>
      <c r="J87" s="1">
        <v>2024</v>
      </c>
      <c r="K87" s="6">
        <v>4038.4259259259261</v>
      </c>
      <c r="L87" s="6">
        <v>3206.9852941176468</v>
      </c>
      <c r="M87" t="str">
        <f t="shared" si="14"/>
        <v>Histórico</v>
      </c>
      <c r="P87" s="8"/>
      <c r="Q87" t="str">
        <f t="shared" si="15"/>
        <v>Benchmark local</v>
      </c>
      <c r="R87" t="s">
        <v>206</v>
      </c>
      <c r="W87" s="7">
        <f t="shared" si="16"/>
        <v>0.25</v>
      </c>
      <c r="X87" t="str">
        <f t="shared" si="17"/>
        <v>C · Histórico/secundário</v>
      </c>
      <c r="Y87" t="str">
        <f t="shared" si="18"/>
        <v>Baixa</v>
      </c>
      <c r="AA87" t="str">
        <f t="shared" si="19"/>
        <v>Atualizar preço/status</v>
      </c>
      <c r="AB87" t="str">
        <f t="shared" si="20"/>
        <v>Alta</v>
      </c>
    </row>
    <row r="88" spans="1:28" x14ac:dyDescent="0.3">
      <c r="A88" s="1" t="s">
        <v>64</v>
      </c>
      <c r="B88" s="1" t="s">
        <v>97</v>
      </c>
      <c r="C88" s="1">
        <v>6</v>
      </c>
      <c r="D88" s="1" t="s">
        <v>87</v>
      </c>
      <c r="E88" s="1">
        <v>1</v>
      </c>
      <c r="F88" s="5">
        <v>156</v>
      </c>
      <c r="G88" s="5">
        <v>35</v>
      </c>
      <c r="H88" s="5">
        <v>191</v>
      </c>
      <c r="I88" s="6">
        <v>611600</v>
      </c>
      <c r="J88" s="1">
        <v>2024</v>
      </c>
      <c r="K88" s="6">
        <v>3920.5128205128199</v>
      </c>
      <c r="L88" s="6">
        <v>3202.0942408376959</v>
      </c>
      <c r="M88" t="str">
        <f t="shared" si="14"/>
        <v>Histórico</v>
      </c>
      <c r="P88" s="8"/>
      <c r="Q88" t="str">
        <f t="shared" si="15"/>
        <v>Benchmark local</v>
      </c>
      <c r="R88" t="s">
        <v>206</v>
      </c>
      <c r="W88" s="7">
        <f t="shared" si="16"/>
        <v>0.25</v>
      </c>
      <c r="X88" t="str">
        <f t="shared" si="17"/>
        <v>C · Histórico/secundário</v>
      </c>
      <c r="Y88" t="str">
        <f t="shared" si="18"/>
        <v>Baixa</v>
      </c>
      <c r="AA88" t="str">
        <f t="shared" si="19"/>
        <v>Atualizar preço/status</v>
      </c>
      <c r="AB88" t="str">
        <f t="shared" si="20"/>
        <v>Alta</v>
      </c>
    </row>
    <row r="89" spans="1:28" x14ac:dyDescent="0.3">
      <c r="A89" s="1" t="s">
        <v>64</v>
      </c>
      <c r="B89" s="1" t="s">
        <v>98</v>
      </c>
      <c r="C89" s="1">
        <v>6</v>
      </c>
      <c r="D89" s="1" t="s">
        <v>15</v>
      </c>
      <c r="E89" s="1">
        <v>2</v>
      </c>
      <c r="F89" s="5">
        <v>101</v>
      </c>
      <c r="G89" s="5">
        <v>30</v>
      </c>
      <c r="H89" s="5">
        <v>131</v>
      </c>
      <c r="I89" s="6">
        <v>414700</v>
      </c>
      <c r="J89" s="1">
        <v>2024</v>
      </c>
      <c r="K89" s="6">
        <v>4105.9405940594061</v>
      </c>
      <c r="L89" s="6">
        <v>3165.6488549618321</v>
      </c>
      <c r="M89" t="str">
        <f t="shared" si="14"/>
        <v>Histórico</v>
      </c>
      <c r="P89" s="8"/>
      <c r="Q89" t="str">
        <f t="shared" si="15"/>
        <v>Benchmark local</v>
      </c>
      <c r="R89" t="s">
        <v>206</v>
      </c>
      <c r="W89" s="7">
        <f t="shared" si="16"/>
        <v>0.25</v>
      </c>
      <c r="X89" t="str">
        <f t="shared" si="17"/>
        <v>C · Histórico/secundário</v>
      </c>
      <c r="Y89" t="str">
        <f t="shared" si="18"/>
        <v>Baixa</v>
      </c>
      <c r="AA89" t="str">
        <f t="shared" si="19"/>
        <v>Atualizar preço/status</v>
      </c>
      <c r="AB89" t="str">
        <f t="shared" si="20"/>
        <v>Alta</v>
      </c>
    </row>
    <row r="90" spans="1:28" x14ac:dyDescent="0.3">
      <c r="A90" s="1" t="s">
        <v>64</v>
      </c>
      <c r="B90" s="1" t="s">
        <v>65</v>
      </c>
      <c r="C90" s="1">
        <v>1</v>
      </c>
      <c r="D90" s="1" t="s">
        <v>47</v>
      </c>
      <c r="E90" s="1">
        <v>3</v>
      </c>
      <c r="F90" s="5">
        <v>130</v>
      </c>
      <c r="G90" s="5">
        <v>87</v>
      </c>
      <c r="H90" s="5">
        <v>217</v>
      </c>
      <c r="I90" s="6">
        <v>537900</v>
      </c>
      <c r="J90" s="1">
        <v>2024</v>
      </c>
      <c r="K90" s="6">
        <v>4137.6923076923076</v>
      </c>
      <c r="L90" s="6">
        <v>2478.8018433179718</v>
      </c>
      <c r="M90" t="str">
        <f t="shared" si="14"/>
        <v>Histórico</v>
      </c>
      <c r="P90" s="8"/>
      <c r="Q90" t="str">
        <f t="shared" si="15"/>
        <v>Benchmark local</v>
      </c>
      <c r="R90" t="s">
        <v>206</v>
      </c>
      <c r="W90" s="7">
        <f t="shared" si="16"/>
        <v>0.25</v>
      </c>
      <c r="X90" t="str">
        <f t="shared" si="17"/>
        <v>C · Histórico/secundário</v>
      </c>
      <c r="Y90" t="str">
        <f t="shared" si="18"/>
        <v>Baixa</v>
      </c>
      <c r="AA90" t="str">
        <f t="shared" si="19"/>
        <v>Atualizar preço/status</v>
      </c>
      <c r="AB90" t="str">
        <f t="shared" si="20"/>
        <v>Alta</v>
      </c>
    </row>
    <row r="91" spans="1:28" x14ac:dyDescent="0.3">
      <c r="A91" s="1" t="s">
        <v>64</v>
      </c>
      <c r="B91" s="1" t="s">
        <v>66</v>
      </c>
      <c r="C91" s="1">
        <v>1</v>
      </c>
      <c r="D91" s="1" t="s">
        <v>25</v>
      </c>
      <c r="E91" s="1">
        <v>4</v>
      </c>
      <c r="F91" s="5">
        <v>58</v>
      </c>
      <c r="G91" s="5">
        <v>6</v>
      </c>
      <c r="H91" s="5">
        <v>64</v>
      </c>
      <c r="I91" s="6">
        <v>232650</v>
      </c>
      <c r="J91" s="1">
        <v>2024</v>
      </c>
      <c r="K91" s="6">
        <v>4011.2068965517242</v>
      </c>
      <c r="L91" s="6">
        <v>3635.15625</v>
      </c>
      <c r="M91" t="str">
        <f t="shared" si="14"/>
        <v>Histórico</v>
      </c>
      <c r="P91" s="8"/>
      <c r="Q91" t="str">
        <f t="shared" si="15"/>
        <v>Benchmark local</v>
      </c>
      <c r="R91" t="s">
        <v>206</v>
      </c>
      <c r="W91" s="7">
        <f t="shared" si="16"/>
        <v>0.25</v>
      </c>
      <c r="X91" t="str">
        <f t="shared" si="17"/>
        <v>C · Histórico/secundário</v>
      </c>
      <c r="Y91" t="str">
        <f t="shared" si="18"/>
        <v>Baixa</v>
      </c>
      <c r="AA91" t="str">
        <f t="shared" si="19"/>
        <v>Atualizar preço/status</v>
      </c>
      <c r="AB91" t="str">
        <f t="shared" si="20"/>
        <v>Alta</v>
      </c>
    </row>
    <row r="92" spans="1:28" x14ac:dyDescent="0.3">
      <c r="A92" s="1" t="s">
        <v>64</v>
      </c>
      <c r="B92" s="1" t="s">
        <v>73</v>
      </c>
      <c r="C92" s="1">
        <v>1</v>
      </c>
      <c r="D92" s="1" t="s">
        <v>47</v>
      </c>
      <c r="E92" s="1">
        <v>1</v>
      </c>
      <c r="F92" s="5">
        <v>126</v>
      </c>
      <c r="G92" s="5">
        <v>74</v>
      </c>
      <c r="H92" s="5">
        <v>200</v>
      </c>
      <c r="I92" s="6">
        <v>519750</v>
      </c>
      <c r="J92" s="1">
        <v>2024</v>
      </c>
      <c r="K92" s="6">
        <v>4125</v>
      </c>
      <c r="L92" s="6">
        <v>2598.75</v>
      </c>
      <c r="M92" t="str">
        <f t="shared" si="14"/>
        <v>Histórico</v>
      </c>
      <c r="P92" s="8"/>
      <c r="Q92" t="str">
        <f t="shared" si="15"/>
        <v>Benchmark local</v>
      </c>
      <c r="R92" t="s">
        <v>206</v>
      </c>
      <c r="W92" s="7">
        <f t="shared" si="16"/>
        <v>0.25</v>
      </c>
      <c r="X92" t="str">
        <f t="shared" si="17"/>
        <v>C · Histórico/secundário</v>
      </c>
      <c r="Y92" t="str">
        <f t="shared" si="18"/>
        <v>Baixa</v>
      </c>
      <c r="AA92" t="str">
        <f t="shared" si="19"/>
        <v>Atualizar preço/status</v>
      </c>
      <c r="AB92" t="str">
        <f t="shared" si="20"/>
        <v>Alta</v>
      </c>
    </row>
    <row r="93" spans="1:28" x14ac:dyDescent="0.3">
      <c r="A93" s="1" t="s">
        <v>64</v>
      </c>
      <c r="B93" s="1" t="s">
        <v>67</v>
      </c>
      <c r="C93" s="1">
        <v>2</v>
      </c>
      <c r="D93" s="1" t="s">
        <v>47</v>
      </c>
      <c r="E93" s="1">
        <v>3</v>
      </c>
      <c r="F93" s="5">
        <v>130</v>
      </c>
      <c r="G93" s="5">
        <v>28</v>
      </c>
      <c r="H93" s="5">
        <v>158</v>
      </c>
      <c r="I93" s="6">
        <v>502150</v>
      </c>
      <c r="J93" s="1">
        <v>2024</v>
      </c>
      <c r="K93" s="6">
        <v>3862.6923076923081</v>
      </c>
      <c r="L93" s="6">
        <v>3178.164556962025</v>
      </c>
      <c r="M93" t="str">
        <f t="shared" si="14"/>
        <v>Histórico</v>
      </c>
      <c r="P93" s="8"/>
      <c r="Q93" t="str">
        <f t="shared" si="15"/>
        <v>Benchmark local</v>
      </c>
      <c r="R93" t="s">
        <v>206</v>
      </c>
      <c r="W93" s="7">
        <f t="shared" si="16"/>
        <v>0.25</v>
      </c>
      <c r="X93" t="str">
        <f t="shared" si="17"/>
        <v>C · Histórico/secundário</v>
      </c>
      <c r="Y93" t="str">
        <f t="shared" si="18"/>
        <v>Baixa</v>
      </c>
      <c r="AA93" t="str">
        <f t="shared" si="19"/>
        <v>Atualizar preço/status</v>
      </c>
      <c r="AB93" t="str">
        <f t="shared" si="20"/>
        <v>Alta</v>
      </c>
    </row>
    <row r="94" spans="1:28" x14ac:dyDescent="0.3">
      <c r="A94" s="1" t="s">
        <v>64</v>
      </c>
      <c r="B94" s="1" t="s">
        <v>68</v>
      </c>
      <c r="C94" s="1">
        <v>2</v>
      </c>
      <c r="D94" s="1" t="s">
        <v>25</v>
      </c>
      <c r="E94" s="1">
        <v>4</v>
      </c>
      <c r="F94" s="5">
        <v>65</v>
      </c>
      <c r="G94" s="5">
        <v>15</v>
      </c>
      <c r="H94" s="5">
        <v>80</v>
      </c>
      <c r="I94" s="6">
        <v>272250</v>
      </c>
      <c r="J94" s="1">
        <v>2024</v>
      </c>
      <c r="K94" s="6">
        <v>4188.4615384615381</v>
      </c>
      <c r="L94" s="6">
        <v>3403.125</v>
      </c>
      <c r="M94" t="str">
        <f t="shared" si="14"/>
        <v>Histórico</v>
      </c>
      <c r="P94" s="8"/>
      <c r="Q94" t="str">
        <f t="shared" si="15"/>
        <v>Benchmark local</v>
      </c>
      <c r="R94" t="s">
        <v>206</v>
      </c>
      <c r="W94" s="7">
        <f t="shared" si="16"/>
        <v>0.25</v>
      </c>
      <c r="X94" t="str">
        <f t="shared" si="17"/>
        <v>C · Histórico/secundário</v>
      </c>
      <c r="Y94" t="str">
        <f t="shared" si="18"/>
        <v>Baixa</v>
      </c>
      <c r="AA94" t="str">
        <f t="shared" si="19"/>
        <v>Atualizar preço/status</v>
      </c>
      <c r="AB94" t="str">
        <f t="shared" si="20"/>
        <v>Alta</v>
      </c>
    </row>
    <row r="95" spans="1:28" x14ac:dyDescent="0.3">
      <c r="A95" s="1" t="s">
        <v>64</v>
      </c>
      <c r="B95" s="1" t="s">
        <v>77</v>
      </c>
      <c r="C95" s="1">
        <v>2</v>
      </c>
      <c r="D95" s="1" t="s">
        <v>47</v>
      </c>
      <c r="E95" s="1">
        <v>1</v>
      </c>
      <c r="F95" s="5">
        <v>126</v>
      </c>
      <c r="G95" s="5">
        <v>29</v>
      </c>
      <c r="H95" s="5">
        <v>155</v>
      </c>
      <c r="I95" s="6">
        <v>488950</v>
      </c>
      <c r="J95" s="1">
        <v>2024</v>
      </c>
      <c r="K95" s="6">
        <v>3880.5555555555561</v>
      </c>
      <c r="L95" s="6">
        <v>3154.516129032258</v>
      </c>
      <c r="M95" t="str">
        <f t="shared" si="14"/>
        <v>Histórico</v>
      </c>
      <c r="P95" s="8"/>
      <c r="Q95" t="str">
        <f t="shared" si="15"/>
        <v>Benchmark local</v>
      </c>
      <c r="R95" t="s">
        <v>206</v>
      </c>
      <c r="W95" s="7">
        <f t="shared" si="16"/>
        <v>0.25</v>
      </c>
      <c r="X95" t="str">
        <f t="shared" si="17"/>
        <v>C · Histórico/secundário</v>
      </c>
      <c r="Y95" t="str">
        <f t="shared" si="18"/>
        <v>Baixa</v>
      </c>
      <c r="AA95" t="str">
        <f t="shared" si="19"/>
        <v>Atualizar preço/status</v>
      </c>
      <c r="AB95" t="str">
        <f t="shared" si="20"/>
        <v>Alta</v>
      </c>
    </row>
    <row r="96" spans="1:28" x14ac:dyDescent="0.3">
      <c r="A96" s="1" t="s">
        <v>64</v>
      </c>
      <c r="B96" s="1" t="s">
        <v>69</v>
      </c>
      <c r="C96" s="1">
        <v>3</v>
      </c>
      <c r="D96" s="1" t="s">
        <v>47</v>
      </c>
      <c r="E96" s="1">
        <v>3</v>
      </c>
      <c r="F96" s="5">
        <v>130</v>
      </c>
      <c r="G96" s="5">
        <v>28</v>
      </c>
      <c r="H96" s="5">
        <v>158</v>
      </c>
      <c r="I96" s="6">
        <v>503800</v>
      </c>
      <c r="J96" s="1">
        <v>2024</v>
      </c>
      <c r="K96" s="6">
        <v>3875.3846153846148</v>
      </c>
      <c r="L96" s="6">
        <v>3188.6075949367091</v>
      </c>
      <c r="M96" t="str">
        <f t="shared" si="14"/>
        <v>Histórico</v>
      </c>
      <c r="P96" s="8"/>
      <c r="Q96" t="str">
        <f t="shared" si="15"/>
        <v>Benchmark local</v>
      </c>
      <c r="R96" t="s">
        <v>206</v>
      </c>
      <c r="W96" s="7">
        <f t="shared" si="16"/>
        <v>0.25</v>
      </c>
      <c r="X96" t="str">
        <f t="shared" si="17"/>
        <v>C · Histórico/secundário</v>
      </c>
      <c r="Y96" t="str">
        <f t="shared" si="18"/>
        <v>Baixa</v>
      </c>
      <c r="AA96" t="str">
        <f t="shared" si="19"/>
        <v>Atualizar preço/status</v>
      </c>
      <c r="AB96" t="str">
        <f t="shared" si="20"/>
        <v>Alta</v>
      </c>
    </row>
    <row r="97" spans="1:28" x14ac:dyDescent="0.3">
      <c r="A97" s="1" t="s">
        <v>64</v>
      </c>
      <c r="B97" s="1" t="s">
        <v>70</v>
      </c>
      <c r="C97" s="1">
        <v>3</v>
      </c>
      <c r="D97" s="1" t="s">
        <v>25</v>
      </c>
      <c r="E97" s="1">
        <v>4</v>
      </c>
      <c r="F97" s="5">
        <v>65</v>
      </c>
      <c r="G97" s="5">
        <v>15</v>
      </c>
      <c r="H97" s="5">
        <v>80</v>
      </c>
      <c r="I97" s="6">
        <v>273900</v>
      </c>
      <c r="J97" s="1">
        <v>2024</v>
      </c>
      <c r="K97" s="6">
        <v>4213.8461538461543</v>
      </c>
      <c r="L97" s="6">
        <v>3423.75</v>
      </c>
      <c r="M97" t="str">
        <f t="shared" si="14"/>
        <v>Histórico</v>
      </c>
      <c r="P97" s="8"/>
      <c r="Q97" t="str">
        <f t="shared" si="15"/>
        <v>Benchmark local</v>
      </c>
      <c r="R97" t="s">
        <v>206</v>
      </c>
      <c r="W97" s="7">
        <f t="shared" si="16"/>
        <v>0.25</v>
      </c>
      <c r="X97" t="str">
        <f t="shared" si="17"/>
        <v>C · Histórico/secundário</v>
      </c>
      <c r="Y97" t="str">
        <f t="shared" si="18"/>
        <v>Baixa</v>
      </c>
      <c r="AA97" t="str">
        <f t="shared" si="19"/>
        <v>Atualizar preço/status</v>
      </c>
      <c r="AB97" t="str">
        <f t="shared" si="20"/>
        <v>Alta</v>
      </c>
    </row>
    <row r="98" spans="1:28" x14ac:dyDescent="0.3">
      <c r="A98" s="1" t="s">
        <v>64</v>
      </c>
      <c r="B98" s="1" t="s">
        <v>81</v>
      </c>
      <c r="C98" s="1">
        <v>3</v>
      </c>
      <c r="D98" s="1" t="s">
        <v>47</v>
      </c>
      <c r="E98" s="1">
        <v>1</v>
      </c>
      <c r="F98" s="5">
        <v>126</v>
      </c>
      <c r="G98" s="5">
        <v>29</v>
      </c>
      <c r="H98" s="5">
        <v>155</v>
      </c>
      <c r="I98" s="6">
        <v>490600</v>
      </c>
      <c r="J98" s="1">
        <v>2024</v>
      </c>
      <c r="K98" s="6">
        <v>3893.6507936507942</v>
      </c>
      <c r="L98" s="6">
        <v>3165.16129032258</v>
      </c>
      <c r="M98" t="str">
        <f t="shared" ref="M98:M129" si="21">IF(A98="The View","Projeto",IF(J98&gt;=2026,"Ativo",IF(J98=2025,"Rever","Histórico")))</f>
        <v>Histórico</v>
      </c>
      <c r="P98" s="8"/>
      <c r="Q98" t="str">
        <f t="shared" ref="Q98:Q129" si="22">IF(A98="The View","Projeto",IF(A98="Le Parc","Benchmark local",IF(OR(A98="Del Mar Waterfront",A98="Aura Living"),"Premium waterfront/marina","A classificar")))</f>
        <v>Benchmark local</v>
      </c>
      <c r="R98" t="s">
        <v>206</v>
      </c>
      <c r="W98" s="7">
        <f t="shared" ref="W98:W129" si="23">IF(A98="The View",1,MAX(0.25,MIN(1,IF(J98&gt;=2026,1,IF(J98=2025,0.8,IF(J98=2024,0.45,0.3)))*IF(Q98="Premium waterfront/marina",1,IF(Q98="Benchmark local",0.7,0.6))*IF(M98="Vendido",0.65,IF(M98="Reservado",0.8,IF(M98="Histórico",0.55,1))))))</f>
        <v>0.25</v>
      </c>
      <c r="X98" t="str">
        <f t="shared" ref="X98:X129" si="24">IF(A98="The View","Projeto",IF(W98&gt;=0.85,"A · Premium ativo",IF(W98&gt;=0.55,"B · Benchmark local","C · Histórico/secundário")))</f>
        <v>C · Histórico/secundário</v>
      </c>
      <c r="Y98" t="str">
        <f t="shared" ref="Y98:Y129" si="25">IF(A98="The View","N/A",IF(AND(N98&lt;&gt;"",O98&lt;&gt;"",P98&lt;&gt;""),"Alta",IF(OR(N98&lt;&gt;"",O98&lt;&gt;"",P98&lt;&gt;""),"Média","Baixa")))</f>
        <v>Baixa</v>
      </c>
      <c r="AA98" t="str">
        <f t="shared" ref="AA98:AA129" si="26">IF(A98="The View","Manter",IF(J98&lt;2026,"Atualizar preço/status",IF(Y98="Baixa","Adicionar fonte/URL/data",IF(W98&lt;0.55,"Rever comparabilidade","OK"))))</f>
        <v>Atualizar preço/status</v>
      </c>
      <c r="AB98" t="str">
        <f t="shared" ref="AB98:AB129" si="27">IF(A98="The View","",IF(OR(J98&lt;2026,Y98="Baixa"),"Alta",IF(W98&lt;0.55,"Média","Baixa")))</f>
        <v>Alta</v>
      </c>
    </row>
    <row r="99" spans="1:28" x14ac:dyDescent="0.3">
      <c r="A99" s="1" t="s">
        <v>64</v>
      </c>
      <c r="B99" s="1" t="s">
        <v>71</v>
      </c>
      <c r="C99" s="1">
        <v>4</v>
      </c>
      <c r="D99" s="1" t="s">
        <v>47</v>
      </c>
      <c r="E99" s="1">
        <v>3</v>
      </c>
      <c r="F99" s="5">
        <v>130</v>
      </c>
      <c r="G99" s="5">
        <v>28</v>
      </c>
      <c r="H99" s="5">
        <v>158</v>
      </c>
      <c r="I99" s="6">
        <v>508200</v>
      </c>
      <c r="J99" s="1">
        <v>2024</v>
      </c>
      <c r="K99" s="6">
        <v>3909.2307692307691</v>
      </c>
      <c r="L99" s="6">
        <v>3216.4556962025322</v>
      </c>
      <c r="M99" t="str">
        <f t="shared" si="21"/>
        <v>Histórico</v>
      </c>
      <c r="P99" s="8"/>
      <c r="Q99" t="str">
        <f t="shared" si="22"/>
        <v>Benchmark local</v>
      </c>
      <c r="R99" t="s">
        <v>206</v>
      </c>
      <c r="W99" s="7">
        <f t="shared" si="23"/>
        <v>0.25</v>
      </c>
      <c r="X99" t="str">
        <f t="shared" si="24"/>
        <v>C · Histórico/secundário</v>
      </c>
      <c r="Y99" t="str">
        <f t="shared" si="25"/>
        <v>Baixa</v>
      </c>
      <c r="AA99" t="str">
        <f t="shared" si="26"/>
        <v>Atualizar preço/status</v>
      </c>
      <c r="AB99" t="str">
        <f t="shared" si="27"/>
        <v>Alta</v>
      </c>
    </row>
    <row r="100" spans="1:28" x14ac:dyDescent="0.3">
      <c r="A100" s="1" t="s">
        <v>64</v>
      </c>
      <c r="B100" s="1" t="s">
        <v>72</v>
      </c>
      <c r="C100" s="1">
        <v>4</v>
      </c>
      <c r="D100" s="1" t="s">
        <v>25</v>
      </c>
      <c r="E100" s="1">
        <v>4</v>
      </c>
      <c r="F100" s="5">
        <v>65</v>
      </c>
      <c r="G100" s="5">
        <v>15</v>
      </c>
      <c r="H100" s="5">
        <v>80</v>
      </c>
      <c r="I100" s="6">
        <v>275550</v>
      </c>
      <c r="J100" s="1">
        <v>2024</v>
      </c>
      <c r="K100" s="6">
        <v>4239.2307692307704</v>
      </c>
      <c r="L100" s="6">
        <v>3444.375</v>
      </c>
      <c r="M100" t="str">
        <f t="shared" si="21"/>
        <v>Histórico</v>
      </c>
      <c r="P100" s="8"/>
      <c r="Q100" t="str">
        <f t="shared" si="22"/>
        <v>Benchmark local</v>
      </c>
      <c r="R100" t="s">
        <v>206</v>
      </c>
      <c r="W100" s="7">
        <f t="shared" si="23"/>
        <v>0.25</v>
      </c>
      <c r="X100" t="str">
        <f t="shared" si="24"/>
        <v>C · Histórico/secundário</v>
      </c>
      <c r="Y100" t="str">
        <f t="shared" si="25"/>
        <v>Baixa</v>
      </c>
      <c r="AA100" t="str">
        <f t="shared" si="26"/>
        <v>Atualizar preço/status</v>
      </c>
      <c r="AB100" t="str">
        <f t="shared" si="27"/>
        <v>Alta</v>
      </c>
    </row>
    <row r="101" spans="1:28" x14ac:dyDescent="0.3">
      <c r="A101" s="1" t="s">
        <v>64</v>
      </c>
      <c r="B101" s="1" t="s">
        <v>85</v>
      </c>
      <c r="C101" s="1">
        <v>4</v>
      </c>
      <c r="D101" s="1" t="s">
        <v>47</v>
      </c>
      <c r="E101" s="1">
        <v>1</v>
      </c>
      <c r="F101" s="5">
        <v>126</v>
      </c>
      <c r="G101" s="5">
        <v>29</v>
      </c>
      <c r="H101" s="5">
        <v>155</v>
      </c>
      <c r="I101" s="6">
        <v>495000</v>
      </c>
      <c r="J101" s="1">
        <v>2024</v>
      </c>
      <c r="K101" s="6">
        <v>3928.571428571428</v>
      </c>
      <c r="L101" s="6">
        <v>3193.5483870967741</v>
      </c>
      <c r="M101" t="str">
        <f t="shared" si="21"/>
        <v>Histórico</v>
      </c>
      <c r="P101" s="8"/>
      <c r="Q101" t="str">
        <f t="shared" si="22"/>
        <v>Benchmark local</v>
      </c>
      <c r="R101" t="s">
        <v>206</v>
      </c>
      <c r="W101" s="7">
        <f t="shared" si="23"/>
        <v>0.25</v>
      </c>
      <c r="X101" t="str">
        <f t="shared" si="24"/>
        <v>C · Histórico/secundário</v>
      </c>
      <c r="Y101" t="str">
        <f t="shared" si="25"/>
        <v>Baixa</v>
      </c>
      <c r="AA101" t="str">
        <f t="shared" si="26"/>
        <v>Atualizar preço/status</v>
      </c>
      <c r="AB101" t="str">
        <f t="shared" si="27"/>
        <v>Alta</v>
      </c>
    </row>
    <row r="102" spans="1:28" x14ac:dyDescent="0.3">
      <c r="A102" s="1" t="s">
        <v>64</v>
      </c>
      <c r="B102" s="1" t="s">
        <v>89</v>
      </c>
      <c r="C102" s="1">
        <v>5</v>
      </c>
      <c r="D102" s="1" t="s">
        <v>47</v>
      </c>
      <c r="E102" s="1">
        <v>3</v>
      </c>
      <c r="F102" s="5">
        <v>130</v>
      </c>
      <c r="G102" s="5">
        <v>28</v>
      </c>
      <c r="H102" s="5">
        <v>158</v>
      </c>
      <c r="I102" s="6">
        <v>509850</v>
      </c>
      <c r="J102" s="1">
        <v>2024</v>
      </c>
      <c r="K102" s="6">
        <v>3921.9230769230771</v>
      </c>
      <c r="L102" s="6">
        <v>3226.8987341772149</v>
      </c>
      <c r="M102" t="str">
        <f t="shared" si="21"/>
        <v>Histórico</v>
      </c>
      <c r="P102" s="8"/>
      <c r="Q102" t="str">
        <f t="shared" si="22"/>
        <v>Benchmark local</v>
      </c>
      <c r="R102" t="s">
        <v>206</v>
      </c>
      <c r="W102" s="7">
        <f t="shared" si="23"/>
        <v>0.25</v>
      </c>
      <c r="X102" t="str">
        <f t="shared" si="24"/>
        <v>C · Histórico/secundário</v>
      </c>
      <c r="Y102" t="str">
        <f t="shared" si="25"/>
        <v>Baixa</v>
      </c>
      <c r="AA102" t="str">
        <f t="shared" si="26"/>
        <v>Atualizar preço/status</v>
      </c>
      <c r="AB102" t="str">
        <f t="shared" si="27"/>
        <v>Alta</v>
      </c>
    </row>
    <row r="103" spans="1:28" x14ac:dyDescent="0.3">
      <c r="A103" s="1" t="s">
        <v>64</v>
      </c>
      <c r="B103" s="1" t="s">
        <v>90</v>
      </c>
      <c r="C103" s="1">
        <v>5</v>
      </c>
      <c r="D103" s="1" t="s">
        <v>25</v>
      </c>
      <c r="E103" s="1">
        <v>4</v>
      </c>
      <c r="F103" s="5">
        <v>65</v>
      </c>
      <c r="G103" s="5">
        <v>15</v>
      </c>
      <c r="H103" s="5">
        <v>80</v>
      </c>
      <c r="I103" s="6">
        <v>277200</v>
      </c>
      <c r="J103" s="1">
        <v>2024</v>
      </c>
      <c r="K103" s="6">
        <v>4264.6153846153848</v>
      </c>
      <c r="L103" s="6">
        <v>3465</v>
      </c>
      <c r="M103" t="str">
        <f t="shared" si="21"/>
        <v>Histórico</v>
      </c>
      <c r="P103" s="8"/>
      <c r="Q103" t="str">
        <f t="shared" si="22"/>
        <v>Benchmark local</v>
      </c>
      <c r="R103" t="s">
        <v>206</v>
      </c>
      <c r="W103" s="7">
        <f t="shared" si="23"/>
        <v>0.25</v>
      </c>
      <c r="X103" t="str">
        <f t="shared" si="24"/>
        <v>C · Histórico/secundário</v>
      </c>
      <c r="Y103" t="str">
        <f t="shared" si="25"/>
        <v>Baixa</v>
      </c>
      <c r="AA103" t="str">
        <f t="shared" si="26"/>
        <v>Atualizar preço/status</v>
      </c>
      <c r="AB103" t="str">
        <f t="shared" si="27"/>
        <v>Alta</v>
      </c>
    </row>
    <row r="104" spans="1:28" x14ac:dyDescent="0.3">
      <c r="A104" s="1" t="s">
        <v>64</v>
      </c>
      <c r="B104" s="1" t="s">
        <v>91</v>
      </c>
      <c r="C104" s="1">
        <v>5</v>
      </c>
      <c r="D104" s="1" t="s">
        <v>47</v>
      </c>
      <c r="E104" s="1">
        <v>1</v>
      </c>
      <c r="F104" s="5">
        <v>126</v>
      </c>
      <c r="G104" s="5">
        <v>29</v>
      </c>
      <c r="H104" s="5">
        <v>155</v>
      </c>
      <c r="I104" s="6">
        <v>496650</v>
      </c>
      <c r="J104" s="1">
        <v>2024</v>
      </c>
      <c r="K104" s="6">
        <v>3941.666666666667</v>
      </c>
      <c r="L104" s="6">
        <v>3204.1935483870971</v>
      </c>
      <c r="M104" t="str">
        <f t="shared" si="21"/>
        <v>Histórico</v>
      </c>
      <c r="P104" s="8"/>
      <c r="Q104" t="str">
        <f t="shared" si="22"/>
        <v>Benchmark local</v>
      </c>
      <c r="R104" t="s">
        <v>206</v>
      </c>
      <c r="W104" s="7">
        <f t="shared" si="23"/>
        <v>0.25</v>
      </c>
      <c r="X104" t="str">
        <f t="shared" si="24"/>
        <v>C · Histórico/secundário</v>
      </c>
      <c r="Y104" t="str">
        <f t="shared" si="25"/>
        <v>Baixa</v>
      </c>
      <c r="AA104" t="str">
        <f t="shared" si="26"/>
        <v>Atualizar preço/status</v>
      </c>
      <c r="AB104" t="str">
        <f t="shared" si="27"/>
        <v>Alta</v>
      </c>
    </row>
    <row r="105" spans="1:28" x14ac:dyDescent="0.3">
      <c r="A105" s="1" t="s">
        <v>64</v>
      </c>
      <c r="B105" s="1" t="s">
        <v>94</v>
      </c>
      <c r="C105" s="1">
        <v>6</v>
      </c>
      <c r="D105" s="1" t="s">
        <v>47</v>
      </c>
      <c r="E105" s="1">
        <v>3</v>
      </c>
      <c r="F105" s="5">
        <v>130</v>
      </c>
      <c r="G105" s="5">
        <v>28</v>
      </c>
      <c r="H105" s="5">
        <v>158</v>
      </c>
      <c r="I105" s="6">
        <v>520850</v>
      </c>
      <c r="J105" s="1">
        <v>2024</v>
      </c>
      <c r="K105" s="6">
        <v>4006.538461538461</v>
      </c>
      <c r="L105" s="6">
        <v>3296.5189873417721</v>
      </c>
      <c r="M105" t="str">
        <f t="shared" si="21"/>
        <v>Histórico</v>
      </c>
      <c r="P105" s="8"/>
      <c r="Q105" t="str">
        <f t="shared" si="22"/>
        <v>Benchmark local</v>
      </c>
      <c r="R105" t="s">
        <v>206</v>
      </c>
      <c r="W105" s="7">
        <f t="shared" si="23"/>
        <v>0.25</v>
      </c>
      <c r="X105" t="str">
        <f t="shared" si="24"/>
        <v>C · Histórico/secundário</v>
      </c>
      <c r="Y105" t="str">
        <f t="shared" si="25"/>
        <v>Baixa</v>
      </c>
      <c r="AA105" t="str">
        <f t="shared" si="26"/>
        <v>Atualizar preço/status</v>
      </c>
      <c r="AB105" t="str">
        <f t="shared" si="27"/>
        <v>Alta</v>
      </c>
    </row>
    <row r="106" spans="1:28" x14ac:dyDescent="0.3">
      <c r="A106" s="1" t="s">
        <v>64</v>
      </c>
      <c r="B106" s="1" t="s">
        <v>95</v>
      </c>
      <c r="C106" s="1">
        <v>6</v>
      </c>
      <c r="D106" s="1" t="s">
        <v>25</v>
      </c>
      <c r="E106" s="1">
        <v>4</v>
      </c>
      <c r="F106" s="5">
        <v>65</v>
      </c>
      <c r="G106" s="5">
        <v>15</v>
      </c>
      <c r="H106" s="5">
        <v>80</v>
      </c>
      <c r="I106" s="6">
        <v>288200</v>
      </c>
      <c r="J106" s="1">
        <v>2024</v>
      </c>
      <c r="K106" s="6">
        <v>4433.8461538461543</v>
      </c>
      <c r="L106" s="6">
        <v>3602.5</v>
      </c>
      <c r="M106" t="str">
        <f t="shared" si="21"/>
        <v>Histórico</v>
      </c>
      <c r="P106" s="8"/>
      <c r="Q106" t="str">
        <f t="shared" si="22"/>
        <v>Benchmark local</v>
      </c>
      <c r="R106" t="s">
        <v>206</v>
      </c>
      <c r="W106" s="7">
        <f t="shared" si="23"/>
        <v>0.25</v>
      </c>
      <c r="X106" t="str">
        <f t="shared" si="24"/>
        <v>C · Histórico/secundário</v>
      </c>
      <c r="Y106" t="str">
        <f t="shared" si="25"/>
        <v>Baixa</v>
      </c>
      <c r="AA106" t="str">
        <f t="shared" si="26"/>
        <v>Atualizar preço/status</v>
      </c>
      <c r="AB106" t="str">
        <f t="shared" si="27"/>
        <v>Alta</v>
      </c>
    </row>
    <row r="107" spans="1:28" x14ac:dyDescent="0.3">
      <c r="A107" s="1" t="s">
        <v>64</v>
      </c>
      <c r="B107" s="1" t="s">
        <v>96</v>
      </c>
      <c r="C107" s="1">
        <v>6</v>
      </c>
      <c r="D107" s="1" t="s">
        <v>47</v>
      </c>
      <c r="E107" s="1">
        <v>1</v>
      </c>
      <c r="F107" s="5">
        <v>126</v>
      </c>
      <c r="G107" s="5">
        <v>29</v>
      </c>
      <c r="H107" s="5">
        <v>155</v>
      </c>
      <c r="I107" s="6">
        <v>507650</v>
      </c>
      <c r="J107" s="1">
        <v>2024</v>
      </c>
      <c r="K107" s="6">
        <v>4028.968253968254</v>
      </c>
      <c r="L107" s="6">
        <v>3275.16129032258</v>
      </c>
      <c r="M107" t="str">
        <f t="shared" si="21"/>
        <v>Histórico</v>
      </c>
      <c r="P107" s="8"/>
      <c r="Q107" t="str">
        <f t="shared" si="22"/>
        <v>Benchmark local</v>
      </c>
      <c r="R107" t="s">
        <v>206</v>
      </c>
      <c r="W107" s="7">
        <f t="shared" si="23"/>
        <v>0.25</v>
      </c>
      <c r="X107" t="str">
        <f t="shared" si="24"/>
        <v>C · Histórico/secundário</v>
      </c>
      <c r="Y107" t="str">
        <f t="shared" si="25"/>
        <v>Baixa</v>
      </c>
      <c r="AA107" t="str">
        <f t="shared" si="26"/>
        <v>Atualizar preço/status</v>
      </c>
      <c r="AB107" t="str">
        <f t="shared" si="27"/>
        <v>Alta</v>
      </c>
    </row>
    <row r="108" spans="1:28" x14ac:dyDescent="0.3">
      <c r="A108" s="1" t="s">
        <v>99</v>
      </c>
      <c r="B108" s="1" t="s">
        <v>100</v>
      </c>
      <c r="C108" s="1">
        <v>1</v>
      </c>
      <c r="D108" s="1" t="s">
        <v>25</v>
      </c>
      <c r="E108" s="1">
        <v>1</v>
      </c>
      <c r="F108" s="5">
        <v>99.74</v>
      </c>
      <c r="G108" s="5">
        <v>43.37</v>
      </c>
      <c r="H108" s="5">
        <v>143.11000000000001</v>
      </c>
      <c r="I108" s="6">
        <v>545000</v>
      </c>
      <c r="J108" s="1">
        <v>2026</v>
      </c>
      <c r="K108" s="6">
        <v>5464.2069380389012</v>
      </c>
      <c r="L108" s="6">
        <v>3808.259380895815</v>
      </c>
      <c r="M108" t="str">
        <f t="shared" si="21"/>
        <v>Projeto</v>
      </c>
      <c r="P108" s="8"/>
      <c r="Q108" t="str">
        <f t="shared" si="22"/>
        <v>Projeto</v>
      </c>
      <c r="R108" t="s">
        <v>206</v>
      </c>
      <c r="W108" s="7">
        <f t="shared" si="23"/>
        <v>1</v>
      </c>
      <c r="X108" t="str">
        <f t="shared" si="24"/>
        <v>Projeto</v>
      </c>
      <c r="Y108" t="str">
        <f t="shared" si="25"/>
        <v>N/A</v>
      </c>
      <c r="AA108" t="str">
        <f t="shared" si="26"/>
        <v>Manter</v>
      </c>
      <c r="AB108" t="str">
        <f t="shared" si="27"/>
        <v/>
      </c>
    </row>
    <row r="109" spans="1:28" x14ac:dyDescent="0.3">
      <c r="A109" s="1" t="s">
        <v>99</v>
      </c>
      <c r="B109" s="1" t="s">
        <v>101</v>
      </c>
      <c r="C109" s="1">
        <v>1</v>
      </c>
      <c r="D109" s="1" t="s">
        <v>15</v>
      </c>
      <c r="E109" s="1">
        <v>2</v>
      </c>
      <c r="F109" s="5">
        <v>123.72</v>
      </c>
      <c r="G109" s="5">
        <v>41.1</v>
      </c>
      <c r="H109" s="5">
        <v>164.82</v>
      </c>
      <c r="I109" s="6">
        <v>593000</v>
      </c>
      <c r="J109" s="1">
        <v>2026</v>
      </c>
      <c r="K109" s="6">
        <v>4793.0811509860978</v>
      </c>
      <c r="L109" s="6">
        <v>3597.864336852324</v>
      </c>
      <c r="M109" t="str">
        <f t="shared" si="21"/>
        <v>Projeto</v>
      </c>
      <c r="P109" s="8"/>
      <c r="Q109" t="str">
        <f t="shared" si="22"/>
        <v>Projeto</v>
      </c>
      <c r="R109" t="s">
        <v>206</v>
      </c>
      <c r="W109" s="7">
        <f t="shared" si="23"/>
        <v>1</v>
      </c>
      <c r="X109" t="str">
        <f t="shared" si="24"/>
        <v>Projeto</v>
      </c>
      <c r="Y109" t="str">
        <f t="shared" si="25"/>
        <v>N/A</v>
      </c>
      <c r="AA109" t="str">
        <f t="shared" si="26"/>
        <v>Manter</v>
      </c>
      <c r="AB109" t="str">
        <f t="shared" si="27"/>
        <v/>
      </c>
    </row>
    <row r="110" spans="1:28" x14ac:dyDescent="0.3">
      <c r="A110" s="1" t="s">
        <v>99</v>
      </c>
      <c r="B110" s="1" t="s">
        <v>102</v>
      </c>
      <c r="C110" s="1">
        <v>1</v>
      </c>
      <c r="D110" s="1" t="s">
        <v>25</v>
      </c>
      <c r="E110" s="1">
        <v>4</v>
      </c>
      <c r="F110" s="5">
        <v>77.56</v>
      </c>
      <c r="G110" s="5">
        <v>16</v>
      </c>
      <c r="H110" s="5">
        <v>93.56</v>
      </c>
      <c r="I110" s="6">
        <v>380000</v>
      </c>
      <c r="J110" s="1">
        <v>2026</v>
      </c>
      <c r="K110" s="6">
        <v>4899.4326972666322</v>
      </c>
      <c r="L110" s="6">
        <v>4061.5647712697728</v>
      </c>
      <c r="M110" t="str">
        <f t="shared" si="21"/>
        <v>Projeto</v>
      </c>
      <c r="P110" s="8"/>
      <c r="Q110" t="str">
        <f t="shared" si="22"/>
        <v>Projeto</v>
      </c>
      <c r="R110" t="s">
        <v>206</v>
      </c>
      <c r="W110" s="7">
        <f t="shared" si="23"/>
        <v>1</v>
      </c>
      <c r="X110" t="str">
        <f t="shared" si="24"/>
        <v>Projeto</v>
      </c>
      <c r="Y110" t="str">
        <f t="shared" si="25"/>
        <v>N/A</v>
      </c>
      <c r="AA110" t="str">
        <f t="shared" si="26"/>
        <v>Manter</v>
      </c>
      <c r="AB110" t="str">
        <f t="shared" si="27"/>
        <v/>
      </c>
    </row>
    <row r="111" spans="1:28" x14ac:dyDescent="0.3">
      <c r="A111" s="1" t="s">
        <v>99</v>
      </c>
      <c r="B111" s="1" t="s">
        <v>103</v>
      </c>
      <c r="C111" s="1">
        <v>1</v>
      </c>
      <c r="D111" s="1" t="s">
        <v>104</v>
      </c>
      <c r="E111" s="1">
        <v>4</v>
      </c>
      <c r="F111" s="5">
        <v>102.52</v>
      </c>
      <c r="G111" s="5">
        <v>15.48</v>
      </c>
      <c r="H111" s="5">
        <v>118</v>
      </c>
      <c r="I111" s="6">
        <v>475000</v>
      </c>
      <c r="J111" s="1">
        <v>2026</v>
      </c>
      <c r="K111" s="6">
        <v>4633.2422941865007</v>
      </c>
      <c r="L111" s="6">
        <v>4025.4237288135591</v>
      </c>
      <c r="M111" t="str">
        <f t="shared" si="21"/>
        <v>Projeto</v>
      </c>
      <c r="P111" s="8"/>
      <c r="Q111" t="str">
        <f t="shared" si="22"/>
        <v>Projeto</v>
      </c>
      <c r="R111" t="s">
        <v>206</v>
      </c>
      <c r="W111" s="7">
        <f t="shared" si="23"/>
        <v>1</v>
      </c>
      <c r="X111" t="str">
        <f t="shared" si="24"/>
        <v>Projeto</v>
      </c>
      <c r="Y111" t="str">
        <f t="shared" si="25"/>
        <v>N/A</v>
      </c>
      <c r="AA111" t="str">
        <f t="shared" si="26"/>
        <v>Manter</v>
      </c>
      <c r="AB111" t="str">
        <f t="shared" si="27"/>
        <v/>
      </c>
    </row>
    <row r="112" spans="1:28" x14ac:dyDescent="0.3">
      <c r="A112" s="1" t="s">
        <v>99</v>
      </c>
      <c r="B112" s="1" t="s">
        <v>105</v>
      </c>
      <c r="C112" s="1">
        <v>1</v>
      </c>
      <c r="D112" s="1" t="s">
        <v>104</v>
      </c>
      <c r="E112" s="1">
        <v>4</v>
      </c>
      <c r="F112" s="5">
        <v>97.5</v>
      </c>
      <c r="G112" s="5">
        <v>15.7</v>
      </c>
      <c r="H112" s="5">
        <v>113.2</v>
      </c>
      <c r="I112" s="6">
        <v>450000</v>
      </c>
      <c r="J112" s="1">
        <v>2026</v>
      </c>
      <c r="K112" s="6">
        <v>4615.3846153846152</v>
      </c>
      <c r="L112" s="6">
        <v>3975.2650176678439</v>
      </c>
      <c r="M112" t="str">
        <f t="shared" si="21"/>
        <v>Projeto</v>
      </c>
      <c r="P112" s="8"/>
      <c r="Q112" t="str">
        <f t="shared" si="22"/>
        <v>Projeto</v>
      </c>
      <c r="R112" t="s">
        <v>206</v>
      </c>
      <c r="W112" s="7">
        <f t="shared" si="23"/>
        <v>1</v>
      </c>
      <c r="X112" t="str">
        <f t="shared" si="24"/>
        <v>Projeto</v>
      </c>
      <c r="Y112" t="str">
        <f t="shared" si="25"/>
        <v>N/A</v>
      </c>
      <c r="AA112" t="str">
        <f t="shared" si="26"/>
        <v>Manter</v>
      </c>
      <c r="AB112" t="str">
        <f t="shared" si="27"/>
        <v/>
      </c>
    </row>
    <row r="113" spans="1:28" x14ac:dyDescent="0.3">
      <c r="A113" s="1" t="s">
        <v>99</v>
      </c>
      <c r="B113" s="1" t="s">
        <v>106</v>
      </c>
      <c r="C113" s="1">
        <v>1</v>
      </c>
      <c r="D113" s="1" t="s">
        <v>107</v>
      </c>
      <c r="E113" s="1">
        <v>3</v>
      </c>
      <c r="F113" s="5">
        <v>131.19999999999999</v>
      </c>
      <c r="G113" s="5">
        <v>31.68</v>
      </c>
      <c r="H113" s="5">
        <v>162.88</v>
      </c>
      <c r="I113" s="6">
        <v>600000</v>
      </c>
      <c r="J113" s="1">
        <v>2026</v>
      </c>
      <c r="K113" s="6">
        <v>4573.1707317073178</v>
      </c>
      <c r="L113" s="6">
        <v>3683.6935166994108</v>
      </c>
      <c r="M113" t="str">
        <f t="shared" si="21"/>
        <v>Projeto</v>
      </c>
      <c r="P113" s="8"/>
      <c r="Q113" t="str">
        <f t="shared" si="22"/>
        <v>Projeto</v>
      </c>
      <c r="R113" t="s">
        <v>206</v>
      </c>
      <c r="W113" s="7">
        <f t="shared" si="23"/>
        <v>1</v>
      </c>
      <c r="X113" t="str">
        <f t="shared" si="24"/>
        <v>Projeto</v>
      </c>
      <c r="Y113" t="str">
        <f t="shared" si="25"/>
        <v>N/A</v>
      </c>
      <c r="AA113" t="str">
        <f t="shared" si="26"/>
        <v>Manter</v>
      </c>
      <c r="AB113" t="str">
        <f t="shared" si="27"/>
        <v/>
      </c>
    </row>
    <row r="114" spans="1:28" x14ac:dyDescent="0.3">
      <c r="A114" s="1" t="s">
        <v>99</v>
      </c>
      <c r="B114" s="1" t="s">
        <v>108</v>
      </c>
      <c r="C114" s="1">
        <v>1</v>
      </c>
      <c r="D114" s="1" t="s">
        <v>15</v>
      </c>
      <c r="E114" s="1">
        <v>3</v>
      </c>
      <c r="F114" s="5">
        <v>105.04</v>
      </c>
      <c r="G114" s="5">
        <v>39.29</v>
      </c>
      <c r="H114" s="5">
        <v>144.33000000000001</v>
      </c>
      <c r="I114" s="6">
        <v>507000</v>
      </c>
      <c r="J114" s="1">
        <v>2026</v>
      </c>
      <c r="K114" s="6">
        <v>4826.7326732673264</v>
      </c>
      <c r="L114" s="6">
        <v>3512.783205154853</v>
      </c>
      <c r="M114" t="str">
        <f t="shared" si="21"/>
        <v>Projeto</v>
      </c>
      <c r="P114" s="8"/>
      <c r="Q114" t="str">
        <f t="shared" si="22"/>
        <v>Projeto</v>
      </c>
      <c r="R114" t="s">
        <v>206</v>
      </c>
      <c r="W114" s="7">
        <f t="shared" si="23"/>
        <v>1</v>
      </c>
      <c r="X114" t="str">
        <f t="shared" si="24"/>
        <v>Projeto</v>
      </c>
      <c r="Y114" t="str">
        <f t="shared" si="25"/>
        <v>N/A</v>
      </c>
      <c r="AA114" t="str">
        <f t="shared" si="26"/>
        <v>Manter</v>
      </c>
      <c r="AB114" t="str">
        <f t="shared" si="27"/>
        <v/>
      </c>
    </row>
    <row r="115" spans="1:28" x14ac:dyDescent="0.3">
      <c r="A115" s="1" t="s">
        <v>99</v>
      </c>
      <c r="B115" s="1" t="s">
        <v>109</v>
      </c>
      <c r="C115" s="1">
        <v>1</v>
      </c>
      <c r="D115" s="1" t="s">
        <v>25</v>
      </c>
      <c r="E115" s="1">
        <v>3</v>
      </c>
      <c r="F115" s="5">
        <v>53.33</v>
      </c>
      <c r="G115" s="5">
        <v>20.67</v>
      </c>
      <c r="H115" s="5">
        <v>74</v>
      </c>
      <c r="I115" s="6">
        <v>380000</v>
      </c>
      <c r="J115" s="1">
        <v>2026</v>
      </c>
      <c r="K115" s="6">
        <v>7125.4453403337711</v>
      </c>
      <c r="L115" s="6">
        <v>5135.135135135135</v>
      </c>
      <c r="M115" t="str">
        <f t="shared" si="21"/>
        <v>Projeto</v>
      </c>
      <c r="P115" s="8"/>
      <c r="Q115" t="str">
        <f t="shared" si="22"/>
        <v>Projeto</v>
      </c>
      <c r="R115" t="s">
        <v>206</v>
      </c>
      <c r="W115" s="7">
        <f t="shared" si="23"/>
        <v>1</v>
      </c>
      <c r="X115" t="str">
        <f t="shared" si="24"/>
        <v>Projeto</v>
      </c>
      <c r="Y115" t="str">
        <f t="shared" si="25"/>
        <v>N/A</v>
      </c>
      <c r="AA115" t="str">
        <f t="shared" si="26"/>
        <v>Manter</v>
      </c>
      <c r="AB115" t="str">
        <f t="shared" si="27"/>
        <v/>
      </c>
    </row>
    <row r="116" spans="1:28" x14ac:dyDescent="0.3">
      <c r="A116" s="1" t="s">
        <v>99</v>
      </c>
      <c r="B116" s="1" t="s">
        <v>110</v>
      </c>
      <c r="C116" s="1">
        <v>2</v>
      </c>
      <c r="D116" s="1" t="s">
        <v>47</v>
      </c>
      <c r="E116" s="1">
        <v>1</v>
      </c>
      <c r="F116" s="5">
        <v>157.13999999999999</v>
      </c>
      <c r="G116" s="5">
        <v>64.62</v>
      </c>
      <c r="H116" s="5">
        <v>221.76</v>
      </c>
      <c r="I116" s="6">
        <v>880000</v>
      </c>
      <c r="J116" s="1">
        <v>2026</v>
      </c>
      <c r="K116" s="6">
        <v>5600.1018200330918</v>
      </c>
      <c r="L116" s="6">
        <v>3968.2539682539682</v>
      </c>
      <c r="M116" t="str">
        <f t="shared" si="21"/>
        <v>Projeto</v>
      </c>
      <c r="P116" s="8"/>
      <c r="Q116" t="str">
        <f t="shared" si="22"/>
        <v>Projeto</v>
      </c>
      <c r="R116" t="s">
        <v>206</v>
      </c>
      <c r="W116" s="7">
        <f t="shared" si="23"/>
        <v>1</v>
      </c>
      <c r="X116" t="str">
        <f t="shared" si="24"/>
        <v>Projeto</v>
      </c>
      <c r="Y116" t="str">
        <f t="shared" si="25"/>
        <v>N/A</v>
      </c>
      <c r="AA116" t="str">
        <f t="shared" si="26"/>
        <v>Manter</v>
      </c>
      <c r="AB116" t="str">
        <f t="shared" si="27"/>
        <v/>
      </c>
    </row>
    <row r="117" spans="1:28" x14ac:dyDescent="0.3">
      <c r="A117" s="1" t="s">
        <v>99</v>
      </c>
      <c r="B117" s="1" t="s">
        <v>111</v>
      </c>
      <c r="C117" s="1">
        <v>2</v>
      </c>
      <c r="D117" s="1" t="s">
        <v>15</v>
      </c>
      <c r="E117" s="1">
        <v>2</v>
      </c>
      <c r="F117" s="5">
        <v>124.52</v>
      </c>
      <c r="G117" s="5">
        <v>40.97</v>
      </c>
      <c r="H117" s="5">
        <v>165.49</v>
      </c>
      <c r="I117" s="6">
        <v>610000</v>
      </c>
      <c r="J117" s="1">
        <v>2026</v>
      </c>
      <c r="K117" s="6">
        <v>4898.8114359139099</v>
      </c>
      <c r="L117" s="6">
        <v>3686.023324672185</v>
      </c>
      <c r="M117" t="str">
        <f t="shared" si="21"/>
        <v>Projeto</v>
      </c>
      <c r="P117" s="8"/>
      <c r="Q117" t="str">
        <f t="shared" si="22"/>
        <v>Projeto</v>
      </c>
      <c r="R117" t="s">
        <v>206</v>
      </c>
      <c r="W117" s="7">
        <f t="shared" si="23"/>
        <v>1</v>
      </c>
      <c r="X117" t="str">
        <f t="shared" si="24"/>
        <v>Projeto</v>
      </c>
      <c r="Y117" t="str">
        <f t="shared" si="25"/>
        <v>N/A</v>
      </c>
      <c r="AA117" t="str">
        <f t="shared" si="26"/>
        <v>Manter</v>
      </c>
      <c r="AB117" t="str">
        <f t="shared" si="27"/>
        <v/>
      </c>
    </row>
    <row r="118" spans="1:28" x14ac:dyDescent="0.3">
      <c r="A118" s="1" t="s">
        <v>99</v>
      </c>
      <c r="B118" s="1" t="s">
        <v>112</v>
      </c>
      <c r="C118" s="1">
        <v>2</v>
      </c>
      <c r="D118" s="1" t="s">
        <v>25</v>
      </c>
      <c r="E118" s="1">
        <v>4</v>
      </c>
      <c r="F118" s="5">
        <v>76.7</v>
      </c>
      <c r="G118" s="5">
        <v>16.96</v>
      </c>
      <c r="H118" s="5">
        <v>93.66</v>
      </c>
      <c r="I118" s="6">
        <v>387000</v>
      </c>
      <c r="J118" s="1">
        <v>2026</v>
      </c>
      <c r="K118" s="6">
        <v>5045.6323337679269</v>
      </c>
      <c r="L118" s="6">
        <v>4131.9666880205004</v>
      </c>
      <c r="M118" t="str">
        <f t="shared" si="21"/>
        <v>Projeto</v>
      </c>
      <c r="P118" s="8"/>
      <c r="Q118" t="str">
        <f t="shared" si="22"/>
        <v>Projeto</v>
      </c>
      <c r="R118" t="s">
        <v>206</v>
      </c>
      <c r="W118" s="7">
        <f t="shared" si="23"/>
        <v>1</v>
      </c>
      <c r="X118" t="str">
        <f t="shared" si="24"/>
        <v>Projeto</v>
      </c>
      <c r="Y118" t="str">
        <f t="shared" si="25"/>
        <v>N/A</v>
      </c>
      <c r="AA118" t="str">
        <f t="shared" si="26"/>
        <v>Manter</v>
      </c>
      <c r="AB118" t="str">
        <f t="shared" si="27"/>
        <v/>
      </c>
    </row>
    <row r="119" spans="1:28" x14ac:dyDescent="0.3">
      <c r="A119" s="1" t="s">
        <v>99</v>
      </c>
      <c r="B119" s="1" t="s">
        <v>113</v>
      </c>
      <c r="C119" s="1">
        <v>2</v>
      </c>
      <c r="D119" s="1" t="s">
        <v>104</v>
      </c>
      <c r="E119" s="1">
        <v>4</v>
      </c>
      <c r="F119" s="5">
        <v>90.43</v>
      </c>
      <c r="G119" s="5">
        <v>27.07</v>
      </c>
      <c r="H119" s="5">
        <v>117.5</v>
      </c>
      <c r="I119" s="6">
        <v>428000</v>
      </c>
      <c r="J119" s="1">
        <v>2026</v>
      </c>
      <c r="K119" s="6">
        <v>4732.942607541745</v>
      </c>
      <c r="L119" s="6">
        <v>3642.5531914893618</v>
      </c>
      <c r="M119" t="str">
        <f t="shared" si="21"/>
        <v>Projeto</v>
      </c>
      <c r="P119" s="8"/>
      <c r="Q119" t="str">
        <f t="shared" si="22"/>
        <v>Projeto</v>
      </c>
      <c r="R119" t="s">
        <v>206</v>
      </c>
      <c r="W119" s="7">
        <f t="shared" si="23"/>
        <v>1</v>
      </c>
      <c r="X119" t="str">
        <f t="shared" si="24"/>
        <v>Projeto</v>
      </c>
      <c r="Y119" t="str">
        <f t="shared" si="25"/>
        <v>N/A</v>
      </c>
      <c r="AA119" t="str">
        <f t="shared" si="26"/>
        <v>Manter</v>
      </c>
      <c r="AB119" t="str">
        <f t="shared" si="27"/>
        <v/>
      </c>
    </row>
    <row r="120" spans="1:28" x14ac:dyDescent="0.3">
      <c r="A120" s="1" t="s">
        <v>99</v>
      </c>
      <c r="B120" s="1" t="s">
        <v>114</v>
      </c>
      <c r="C120" s="1">
        <v>2</v>
      </c>
      <c r="D120" s="1" t="s">
        <v>104</v>
      </c>
      <c r="E120" s="1">
        <v>4</v>
      </c>
      <c r="F120" s="5">
        <v>87</v>
      </c>
      <c r="G120" s="5">
        <v>22.5</v>
      </c>
      <c r="H120" s="5">
        <v>109.5</v>
      </c>
      <c r="I120" s="6">
        <v>413000</v>
      </c>
      <c r="J120" s="1">
        <v>2026</v>
      </c>
      <c r="K120" s="6">
        <v>4747.1264367816093</v>
      </c>
      <c r="L120" s="6">
        <v>3771.6894977168949</v>
      </c>
      <c r="M120" t="str">
        <f t="shared" si="21"/>
        <v>Projeto</v>
      </c>
      <c r="P120" s="8"/>
      <c r="Q120" t="str">
        <f t="shared" si="22"/>
        <v>Projeto</v>
      </c>
      <c r="R120" t="s">
        <v>206</v>
      </c>
      <c r="W120" s="7">
        <f t="shared" si="23"/>
        <v>1</v>
      </c>
      <c r="X120" t="str">
        <f t="shared" si="24"/>
        <v>Projeto</v>
      </c>
      <c r="Y120" t="str">
        <f t="shared" si="25"/>
        <v>N/A</v>
      </c>
      <c r="AA120" t="str">
        <f t="shared" si="26"/>
        <v>Manter</v>
      </c>
      <c r="AB120" t="str">
        <f t="shared" si="27"/>
        <v/>
      </c>
    </row>
    <row r="121" spans="1:28" x14ac:dyDescent="0.3">
      <c r="A121" s="1" t="s">
        <v>99</v>
      </c>
      <c r="B121" s="1" t="s">
        <v>115</v>
      </c>
      <c r="C121" s="1">
        <v>2</v>
      </c>
      <c r="D121" s="1" t="s">
        <v>15</v>
      </c>
      <c r="E121" s="1">
        <v>3</v>
      </c>
      <c r="F121" s="5">
        <v>119.59</v>
      </c>
      <c r="G121" s="5">
        <v>43.18</v>
      </c>
      <c r="H121" s="5">
        <v>162.77000000000001</v>
      </c>
      <c r="I121" s="6">
        <v>582000</v>
      </c>
      <c r="J121" s="1">
        <v>2026</v>
      </c>
      <c r="K121" s="6">
        <v>4866.6276444518771</v>
      </c>
      <c r="L121" s="6">
        <v>3575.5974688210358</v>
      </c>
      <c r="M121" t="str">
        <f t="shared" si="21"/>
        <v>Projeto</v>
      </c>
      <c r="P121" s="8"/>
      <c r="Q121" t="str">
        <f t="shared" si="22"/>
        <v>Projeto</v>
      </c>
      <c r="R121" t="s">
        <v>206</v>
      </c>
      <c r="W121" s="7">
        <f t="shared" si="23"/>
        <v>1</v>
      </c>
      <c r="X121" t="str">
        <f t="shared" si="24"/>
        <v>Projeto</v>
      </c>
      <c r="Y121" t="str">
        <f t="shared" si="25"/>
        <v>N/A</v>
      </c>
      <c r="AA121" t="str">
        <f t="shared" si="26"/>
        <v>Manter</v>
      </c>
      <c r="AB121" t="str">
        <f t="shared" si="27"/>
        <v/>
      </c>
    </row>
    <row r="122" spans="1:28" x14ac:dyDescent="0.3">
      <c r="A122" s="1" t="s">
        <v>99</v>
      </c>
      <c r="B122" s="1" t="s">
        <v>116</v>
      </c>
      <c r="C122" s="1">
        <v>2</v>
      </c>
      <c r="D122" s="1" t="s">
        <v>15</v>
      </c>
      <c r="E122" s="1">
        <v>3</v>
      </c>
      <c r="F122" s="5">
        <v>104.88</v>
      </c>
      <c r="G122" s="5">
        <v>39.35</v>
      </c>
      <c r="H122" s="5">
        <v>144.22999999999999</v>
      </c>
      <c r="I122" s="6">
        <v>561000</v>
      </c>
      <c r="J122" s="1">
        <v>2026</v>
      </c>
      <c r="K122" s="6">
        <v>5348.9702517162477</v>
      </c>
      <c r="L122" s="6">
        <v>3889.6207446439721</v>
      </c>
      <c r="M122" t="str">
        <f t="shared" si="21"/>
        <v>Projeto</v>
      </c>
      <c r="P122" s="8"/>
      <c r="Q122" t="str">
        <f t="shared" si="22"/>
        <v>Projeto</v>
      </c>
      <c r="R122" t="s">
        <v>206</v>
      </c>
      <c r="W122" s="7">
        <f t="shared" si="23"/>
        <v>1</v>
      </c>
      <c r="X122" t="str">
        <f t="shared" si="24"/>
        <v>Projeto</v>
      </c>
      <c r="Y122" t="str">
        <f t="shared" si="25"/>
        <v>N/A</v>
      </c>
      <c r="AA122" t="str">
        <f t="shared" si="26"/>
        <v>Manter</v>
      </c>
      <c r="AB122" t="str">
        <f t="shared" si="27"/>
        <v/>
      </c>
    </row>
    <row r="123" spans="1:28" x14ac:dyDescent="0.3">
      <c r="A123" s="1" t="s">
        <v>99</v>
      </c>
      <c r="B123" s="1" t="s">
        <v>117</v>
      </c>
      <c r="C123" s="1">
        <v>3</v>
      </c>
      <c r="D123" s="1" t="s">
        <v>47</v>
      </c>
      <c r="E123" s="1">
        <v>1</v>
      </c>
      <c r="F123" s="5">
        <v>158</v>
      </c>
      <c r="G123" s="5">
        <v>65.349999999999994</v>
      </c>
      <c r="H123" s="5">
        <v>223.35</v>
      </c>
      <c r="I123" s="6">
        <v>950000</v>
      </c>
      <c r="J123" s="1">
        <v>2026</v>
      </c>
      <c r="K123" s="6">
        <v>6012.658227848101</v>
      </c>
      <c r="L123" s="6">
        <v>4253.4139243340051</v>
      </c>
      <c r="M123" t="str">
        <f t="shared" si="21"/>
        <v>Projeto</v>
      </c>
      <c r="P123" s="8"/>
      <c r="Q123" t="str">
        <f t="shared" si="22"/>
        <v>Projeto</v>
      </c>
      <c r="R123" t="s">
        <v>206</v>
      </c>
      <c r="W123" s="7">
        <f t="shared" si="23"/>
        <v>1</v>
      </c>
      <c r="X123" t="str">
        <f t="shared" si="24"/>
        <v>Projeto</v>
      </c>
      <c r="Y123" t="str">
        <f t="shared" si="25"/>
        <v>N/A</v>
      </c>
      <c r="AA123" t="str">
        <f t="shared" si="26"/>
        <v>Manter</v>
      </c>
      <c r="AB123" t="str">
        <f t="shared" si="27"/>
        <v/>
      </c>
    </row>
    <row r="124" spans="1:28" x14ac:dyDescent="0.3">
      <c r="A124" s="1" t="s">
        <v>99</v>
      </c>
      <c r="B124" s="1" t="s">
        <v>118</v>
      </c>
      <c r="C124" s="1">
        <v>3</v>
      </c>
      <c r="D124" s="1" t="s">
        <v>15</v>
      </c>
      <c r="E124" s="1">
        <v>2</v>
      </c>
      <c r="F124" s="5">
        <v>126.7</v>
      </c>
      <c r="G124" s="5">
        <v>41.5</v>
      </c>
      <c r="H124" s="5">
        <v>168.2</v>
      </c>
      <c r="I124" s="6">
        <v>622000</v>
      </c>
      <c r="J124" s="1">
        <v>2026</v>
      </c>
      <c r="K124" s="6">
        <v>4909.2344119968429</v>
      </c>
      <c r="L124" s="6">
        <v>3697.9785969084428</v>
      </c>
      <c r="M124" t="str">
        <f t="shared" si="21"/>
        <v>Projeto</v>
      </c>
      <c r="P124" s="8"/>
      <c r="Q124" t="str">
        <f t="shared" si="22"/>
        <v>Projeto</v>
      </c>
      <c r="R124" t="s">
        <v>206</v>
      </c>
      <c r="W124" s="7">
        <f t="shared" si="23"/>
        <v>1</v>
      </c>
      <c r="X124" t="str">
        <f t="shared" si="24"/>
        <v>Projeto</v>
      </c>
      <c r="Y124" t="str">
        <f t="shared" si="25"/>
        <v>N/A</v>
      </c>
      <c r="AA124" t="str">
        <f t="shared" si="26"/>
        <v>Manter</v>
      </c>
      <c r="AB124" t="str">
        <f t="shared" si="27"/>
        <v/>
      </c>
    </row>
    <row r="125" spans="1:28" x14ac:dyDescent="0.3">
      <c r="A125" s="1" t="s">
        <v>99</v>
      </c>
      <c r="B125" s="1" t="s">
        <v>119</v>
      </c>
      <c r="C125" s="1">
        <v>3</v>
      </c>
      <c r="D125" s="1" t="s">
        <v>25</v>
      </c>
      <c r="E125" s="1">
        <v>4</v>
      </c>
      <c r="F125" s="5">
        <v>77.81</v>
      </c>
      <c r="G125" s="5">
        <v>16.41</v>
      </c>
      <c r="H125" s="5">
        <v>94.22</v>
      </c>
      <c r="I125" s="6">
        <v>393000</v>
      </c>
      <c r="J125" s="1">
        <v>2026</v>
      </c>
      <c r="K125" s="6">
        <v>5050.764683202673</v>
      </c>
      <c r="L125" s="6">
        <v>4171.0889407769046</v>
      </c>
      <c r="M125" t="str">
        <f t="shared" si="21"/>
        <v>Projeto</v>
      </c>
      <c r="P125" s="8"/>
      <c r="Q125" t="str">
        <f t="shared" si="22"/>
        <v>Projeto</v>
      </c>
      <c r="R125" t="s">
        <v>206</v>
      </c>
      <c r="W125" s="7">
        <f t="shared" si="23"/>
        <v>1</v>
      </c>
      <c r="X125" t="str">
        <f t="shared" si="24"/>
        <v>Projeto</v>
      </c>
      <c r="Y125" t="str">
        <f t="shared" si="25"/>
        <v>N/A</v>
      </c>
      <c r="AA125" t="str">
        <f t="shared" si="26"/>
        <v>Manter</v>
      </c>
      <c r="AB125" t="str">
        <f t="shared" si="27"/>
        <v/>
      </c>
    </row>
    <row r="126" spans="1:28" x14ac:dyDescent="0.3">
      <c r="A126" s="1" t="s">
        <v>99</v>
      </c>
      <c r="B126" s="1" t="s">
        <v>120</v>
      </c>
      <c r="C126" s="1">
        <v>3</v>
      </c>
      <c r="D126" s="1" t="s">
        <v>25</v>
      </c>
      <c r="E126" s="1">
        <v>4</v>
      </c>
      <c r="F126" s="5">
        <v>70.180000000000007</v>
      </c>
      <c r="G126" s="5">
        <v>24.21</v>
      </c>
      <c r="H126" s="5">
        <v>94.390000000000015</v>
      </c>
      <c r="I126" s="6">
        <v>434000</v>
      </c>
      <c r="J126" s="1">
        <v>2026</v>
      </c>
      <c r="K126" s="6">
        <v>6184.0980336278126</v>
      </c>
      <c r="L126" s="6">
        <v>4597.9446975315177</v>
      </c>
      <c r="M126" t="str">
        <f t="shared" si="21"/>
        <v>Projeto</v>
      </c>
      <c r="P126" s="8"/>
      <c r="Q126" t="str">
        <f t="shared" si="22"/>
        <v>Projeto</v>
      </c>
      <c r="R126" t="s">
        <v>206</v>
      </c>
      <c r="W126" s="7">
        <f t="shared" si="23"/>
        <v>1</v>
      </c>
      <c r="X126" t="str">
        <f t="shared" si="24"/>
        <v>Projeto</v>
      </c>
      <c r="Y126" t="str">
        <f t="shared" si="25"/>
        <v>N/A</v>
      </c>
      <c r="AA126" t="str">
        <f t="shared" si="26"/>
        <v>Manter</v>
      </c>
      <c r="AB126" t="str">
        <f t="shared" si="27"/>
        <v/>
      </c>
    </row>
    <row r="127" spans="1:28" x14ac:dyDescent="0.3">
      <c r="A127" s="1" t="s">
        <v>99</v>
      </c>
      <c r="B127" s="1" t="s">
        <v>121</v>
      </c>
      <c r="C127" s="1">
        <v>3</v>
      </c>
      <c r="D127" s="1" t="s">
        <v>25</v>
      </c>
      <c r="E127" s="1">
        <v>4</v>
      </c>
      <c r="F127" s="5">
        <v>66.5</v>
      </c>
      <c r="G127" s="5">
        <v>24.04</v>
      </c>
      <c r="H127" s="5">
        <v>90.539999999999992</v>
      </c>
      <c r="I127" s="6">
        <v>422000</v>
      </c>
      <c r="J127" s="1">
        <v>2026</v>
      </c>
      <c r="K127" s="6">
        <v>6345.8646616541346</v>
      </c>
      <c r="L127" s="6">
        <v>4660.9233487961128</v>
      </c>
      <c r="M127" t="str">
        <f t="shared" si="21"/>
        <v>Projeto</v>
      </c>
      <c r="P127" s="8"/>
      <c r="Q127" t="str">
        <f t="shared" si="22"/>
        <v>Projeto</v>
      </c>
      <c r="R127" t="s">
        <v>206</v>
      </c>
      <c r="W127" s="7">
        <f t="shared" si="23"/>
        <v>1</v>
      </c>
      <c r="X127" t="str">
        <f t="shared" si="24"/>
        <v>Projeto</v>
      </c>
      <c r="Y127" t="str">
        <f t="shared" si="25"/>
        <v>N/A</v>
      </c>
      <c r="AA127" t="str">
        <f t="shared" si="26"/>
        <v>Manter</v>
      </c>
      <c r="AB127" t="str">
        <f t="shared" si="27"/>
        <v/>
      </c>
    </row>
    <row r="128" spans="1:28" x14ac:dyDescent="0.3">
      <c r="A128" s="1" t="s">
        <v>99</v>
      </c>
      <c r="B128" s="1" t="s">
        <v>122</v>
      </c>
      <c r="C128" s="1">
        <v>3</v>
      </c>
      <c r="D128" s="1" t="s">
        <v>15</v>
      </c>
      <c r="E128" s="1">
        <v>3</v>
      </c>
      <c r="F128" s="5">
        <v>99.63</v>
      </c>
      <c r="G128" s="5">
        <v>39.96</v>
      </c>
      <c r="H128" s="5">
        <v>139.59</v>
      </c>
      <c r="I128" s="6">
        <v>593000</v>
      </c>
      <c r="J128" s="1">
        <v>2026</v>
      </c>
      <c r="K128" s="6">
        <v>5952.0224831877949</v>
      </c>
      <c r="L128" s="6">
        <v>4248.1553119850987</v>
      </c>
      <c r="M128" t="str">
        <f t="shared" si="21"/>
        <v>Projeto</v>
      </c>
      <c r="P128" s="8"/>
      <c r="Q128" t="str">
        <f t="shared" si="22"/>
        <v>Projeto</v>
      </c>
      <c r="R128" t="s">
        <v>206</v>
      </c>
      <c r="W128" s="7">
        <f t="shared" si="23"/>
        <v>1</v>
      </c>
      <c r="X128" t="str">
        <f t="shared" si="24"/>
        <v>Projeto</v>
      </c>
      <c r="Y128" t="str">
        <f t="shared" si="25"/>
        <v>N/A</v>
      </c>
      <c r="AA128" t="str">
        <f t="shared" si="26"/>
        <v>Manter</v>
      </c>
      <c r="AB128" t="str">
        <f t="shared" si="27"/>
        <v/>
      </c>
    </row>
    <row r="129" spans="1:28" x14ac:dyDescent="0.3">
      <c r="A129" s="1" t="s">
        <v>99</v>
      </c>
      <c r="B129" s="1" t="s">
        <v>123</v>
      </c>
      <c r="C129" s="1">
        <v>3</v>
      </c>
      <c r="D129" s="1" t="s">
        <v>15</v>
      </c>
      <c r="E129" s="1">
        <v>3</v>
      </c>
      <c r="F129" s="5">
        <v>106.74</v>
      </c>
      <c r="G129" s="5">
        <v>40</v>
      </c>
      <c r="H129" s="5">
        <v>146.74</v>
      </c>
      <c r="I129" s="6">
        <v>568000</v>
      </c>
      <c r="J129" s="1">
        <v>2026</v>
      </c>
      <c r="K129" s="6">
        <v>5321.3415776653565</v>
      </c>
      <c r="L129" s="6">
        <v>3870.7918767888782</v>
      </c>
      <c r="M129" t="str">
        <f t="shared" si="21"/>
        <v>Projeto</v>
      </c>
      <c r="P129" s="8"/>
      <c r="Q129" t="str">
        <f t="shared" si="22"/>
        <v>Projeto</v>
      </c>
      <c r="R129" t="s">
        <v>206</v>
      </c>
      <c r="W129" s="7">
        <f t="shared" si="23"/>
        <v>1</v>
      </c>
      <c r="X129" t="str">
        <f t="shared" si="24"/>
        <v>Projeto</v>
      </c>
      <c r="Y129" t="str">
        <f t="shared" si="25"/>
        <v>N/A</v>
      </c>
      <c r="AA129" t="str">
        <f t="shared" si="26"/>
        <v>Manter</v>
      </c>
      <c r="AB129" t="str">
        <f t="shared" si="27"/>
        <v/>
      </c>
    </row>
    <row r="130" spans="1:28" x14ac:dyDescent="0.3">
      <c r="A130" s="1" t="s">
        <v>99</v>
      </c>
      <c r="B130" s="1" t="s">
        <v>124</v>
      </c>
      <c r="C130" s="1">
        <v>4</v>
      </c>
      <c r="D130" s="1" t="s">
        <v>15</v>
      </c>
      <c r="E130" s="1">
        <v>1</v>
      </c>
      <c r="F130" s="5">
        <v>108.2</v>
      </c>
      <c r="G130" s="5">
        <v>46.71</v>
      </c>
      <c r="H130" s="5">
        <v>154.91</v>
      </c>
      <c r="I130" s="6">
        <v>900000</v>
      </c>
      <c r="J130" s="1">
        <v>2026</v>
      </c>
      <c r="K130" s="6">
        <v>8317.9297597042514</v>
      </c>
      <c r="L130" s="6">
        <v>5809.8250597120914</v>
      </c>
      <c r="M130" t="str">
        <f t="shared" ref="M130:M161" si="28">IF(A130="The View","Projeto",IF(J130&gt;=2026,"Ativo",IF(J130=2025,"Rever","Histórico")))</f>
        <v>Projeto</v>
      </c>
      <c r="P130" s="8"/>
      <c r="Q130" t="str">
        <f t="shared" ref="Q130:Q161" si="29">IF(A130="The View","Projeto",IF(A130="Le Parc","Benchmark local",IF(OR(A130="Del Mar Waterfront",A130="Aura Living"),"Premium waterfront/marina","A classificar")))</f>
        <v>Projeto</v>
      </c>
      <c r="R130" t="s">
        <v>206</v>
      </c>
      <c r="W130" s="7">
        <f t="shared" ref="W130:W161" si="30">IF(A130="The View",1,MAX(0.25,MIN(1,IF(J130&gt;=2026,1,IF(J130=2025,0.8,IF(J130=2024,0.45,0.3)))*IF(Q130="Premium waterfront/marina",1,IF(Q130="Benchmark local",0.7,0.6))*IF(M130="Vendido",0.65,IF(M130="Reservado",0.8,IF(M130="Histórico",0.55,1))))))</f>
        <v>1</v>
      </c>
      <c r="X130" t="str">
        <f t="shared" ref="X130:X161" si="31">IF(A130="The View","Projeto",IF(W130&gt;=0.85,"A · Premium ativo",IF(W130&gt;=0.55,"B · Benchmark local","C · Histórico/secundário")))</f>
        <v>Projeto</v>
      </c>
      <c r="Y130" t="str">
        <f t="shared" ref="Y130:Y161" si="32">IF(A130="The View","N/A",IF(AND(N130&lt;&gt;"",O130&lt;&gt;"",P130&lt;&gt;""),"Alta",IF(OR(N130&lt;&gt;"",O130&lt;&gt;"",P130&lt;&gt;""),"Média","Baixa")))</f>
        <v>N/A</v>
      </c>
      <c r="AA130" t="str">
        <f t="shared" ref="AA130:AA161" si="33">IF(A130="The View","Manter",IF(J130&lt;2026,"Atualizar preço/status",IF(Y130="Baixa","Adicionar fonte/URL/data",IF(W130&lt;0.55,"Rever comparabilidade","OK"))))</f>
        <v>Manter</v>
      </c>
      <c r="AB130" t="str">
        <f t="shared" ref="AB130:AB161" si="34">IF(A130="The View","",IF(OR(J130&lt;2026,Y130="Baixa"),"Alta",IF(W130&lt;0.55,"Média","Baixa")))</f>
        <v/>
      </c>
    </row>
    <row r="131" spans="1:28" x14ac:dyDescent="0.3">
      <c r="A131" s="1" t="s">
        <v>99</v>
      </c>
      <c r="B131" s="1" t="s">
        <v>125</v>
      </c>
      <c r="C131" s="1">
        <v>4</v>
      </c>
      <c r="D131" s="1" t="s">
        <v>15</v>
      </c>
      <c r="E131" s="1">
        <v>2</v>
      </c>
      <c r="F131" s="5">
        <v>122.1</v>
      </c>
      <c r="G131" s="5">
        <v>40.82</v>
      </c>
      <c r="H131" s="5">
        <v>162.91999999999999</v>
      </c>
      <c r="I131" s="6">
        <v>629000</v>
      </c>
      <c r="J131" s="1">
        <v>2026</v>
      </c>
      <c r="K131" s="6">
        <v>5151.515151515152</v>
      </c>
      <c r="L131" s="6">
        <v>3860.7905720599069</v>
      </c>
      <c r="M131" t="str">
        <f t="shared" si="28"/>
        <v>Projeto</v>
      </c>
      <c r="P131" s="8"/>
      <c r="Q131" t="str">
        <f t="shared" si="29"/>
        <v>Projeto</v>
      </c>
      <c r="R131" t="s">
        <v>206</v>
      </c>
      <c r="W131" s="7">
        <f t="shared" si="30"/>
        <v>1</v>
      </c>
      <c r="X131" t="str">
        <f t="shared" si="31"/>
        <v>Projeto</v>
      </c>
      <c r="Y131" t="str">
        <f t="shared" si="32"/>
        <v>N/A</v>
      </c>
      <c r="AA131" t="str">
        <f t="shared" si="33"/>
        <v>Manter</v>
      </c>
      <c r="AB131" t="str">
        <f t="shared" si="34"/>
        <v/>
      </c>
    </row>
    <row r="132" spans="1:28" x14ac:dyDescent="0.3">
      <c r="A132" s="1" t="s">
        <v>99</v>
      </c>
      <c r="B132" s="1" t="s">
        <v>126</v>
      </c>
      <c r="C132" s="1">
        <v>4</v>
      </c>
      <c r="D132" s="1" t="s">
        <v>25</v>
      </c>
      <c r="E132" s="1">
        <v>4</v>
      </c>
      <c r="F132" s="5">
        <v>76.48</v>
      </c>
      <c r="G132" s="5">
        <v>16.22</v>
      </c>
      <c r="H132" s="5">
        <v>92.7</v>
      </c>
      <c r="I132" s="6">
        <v>401000</v>
      </c>
      <c r="J132" s="1">
        <v>2026</v>
      </c>
      <c r="K132" s="6">
        <v>5243.2008368200832</v>
      </c>
      <c r="L132" s="6">
        <v>4325.7820927723842</v>
      </c>
      <c r="M132" t="str">
        <f t="shared" si="28"/>
        <v>Projeto</v>
      </c>
      <c r="P132" s="8"/>
      <c r="Q132" t="str">
        <f t="shared" si="29"/>
        <v>Projeto</v>
      </c>
      <c r="R132" t="s">
        <v>206</v>
      </c>
      <c r="W132" s="7">
        <f t="shared" si="30"/>
        <v>1</v>
      </c>
      <c r="X132" t="str">
        <f t="shared" si="31"/>
        <v>Projeto</v>
      </c>
      <c r="Y132" t="str">
        <f t="shared" si="32"/>
        <v>N/A</v>
      </c>
      <c r="AA132" t="str">
        <f t="shared" si="33"/>
        <v>Manter</v>
      </c>
      <c r="AB132" t="str">
        <f t="shared" si="34"/>
        <v/>
      </c>
    </row>
    <row r="133" spans="1:28" x14ac:dyDescent="0.3">
      <c r="A133" s="1" t="s">
        <v>99</v>
      </c>
      <c r="B133" s="1" t="s">
        <v>127</v>
      </c>
      <c r="C133" s="1">
        <v>4</v>
      </c>
      <c r="D133" s="1" t="s">
        <v>15</v>
      </c>
      <c r="E133" s="1">
        <v>3</v>
      </c>
      <c r="F133" s="5">
        <v>96.66</v>
      </c>
      <c r="G133" s="5">
        <v>40.67</v>
      </c>
      <c r="H133" s="5">
        <v>137.33000000000001</v>
      </c>
      <c r="I133" s="6">
        <v>576000</v>
      </c>
      <c r="J133" s="1">
        <v>2026</v>
      </c>
      <c r="K133" s="6">
        <v>5959.0316573556802</v>
      </c>
      <c r="L133" s="6">
        <v>4194.276560110683</v>
      </c>
      <c r="M133" t="str">
        <f t="shared" si="28"/>
        <v>Projeto</v>
      </c>
      <c r="P133" s="8"/>
      <c r="Q133" t="str">
        <f t="shared" si="29"/>
        <v>Projeto</v>
      </c>
      <c r="R133" t="s">
        <v>206</v>
      </c>
      <c r="W133" s="7">
        <f t="shared" si="30"/>
        <v>1</v>
      </c>
      <c r="X133" t="str">
        <f t="shared" si="31"/>
        <v>Projeto</v>
      </c>
      <c r="Y133" t="str">
        <f t="shared" si="32"/>
        <v>N/A</v>
      </c>
      <c r="AA133" t="str">
        <f t="shared" si="33"/>
        <v>Manter</v>
      </c>
      <c r="AB133" t="str">
        <f t="shared" si="34"/>
        <v/>
      </c>
    </row>
    <row r="134" spans="1:28" x14ac:dyDescent="0.3">
      <c r="A134" s="1" t="s">
        <v>99</v>
      </c>
      <c r="B134" s="1" t="s">
        <v>128</v>
      </c>
      <c r="C134" s="1">
        <v>4</v>
      </c>
      <c r="D134" s="1" t="s">
        <v>25</v>
      </c>
      <c r="E134" s="1">
        <v>4</v>
      </c>
      <c r="F134" s="5">
        <v>69.790000000000006</v>
      </c>
      <c r="G134" s="5">
        <v>39.35</v>
      </c>
      <c r="H134" s="5">
        <v>109.14</v>
      </c>
      <c r="I134" s="6">
        <v>369000</v>
      </c>
      <c r="J134" s="1">
        <v>2026</v>
      </c>
      <c r="K134" s="6">
        <v>5287.2904427568419</v>
      </c>
      <c r="L134" s="6">
        <v>3380.9785596481579</v>
      </c>
      <c r="M134" t="str">
        <f t="shared" si="28"/>
        <v>Projeto</v>
      </c>
      <c r="P134" s="8"/>
      <c r="Q134" t="str">
        <f t="shared" si="29"/>
        <v>Projeto</v>
      </c>
      <c r="R134" t="s">
        <v>206</v>
      </c>
      <c r="W134" s="7">
        <f t="shared" si="30"/>
        <v>1</v>
      </c>
      <c r="X134" t="str">
        <f t="shared" si="31"/>
        <v>Projeto</v>
      </c>
      <c r="Y134" t="str">
        <f t="shared" si="32"/>
        <v>N/A</v>
      </c>
      <c r="AA134" t="str">
        <f t="shared" si="33"/>
        <v>Manter</v>
      </c>
      <c r="AB134" t="str">
        <f t="shared" si="34"/>
        <v/>
      </c>
    </row>
    <row r="135" spans="1:28" x14ac:dyDescent="0.3">
      <c r="A135" s="1" t="s">
        <v>99</v>
      </c>
      <c r="B135" s="1" t="s">
        <v>129</v>
      </c>
      <c r="C135" s="1">
        <v>4</v>
      </c>
      <c r="D135" s="1" t="s">
        <v>25</v>
      </c>
      <c r="E135" s="1">
        <v>3</v>
      </c>
      <c r="F135" s="5">
        <v>70.86</v>
      </c>
      <c r="G135" s="5">
        <v>41.86</v>
      </c>
      <c r="H135" s="5">
        <v>112.72</v>
      </c>
      <c r="I135" s="6">
        <v>435000</v>
      </c>
      <c r="J135" s="1">
        <v>2026</v>
      </c>
      <c r="K135" s="6">
        <v>6138.8653683319226</v>
      </c>
      <c r="L135" s="6">
        <v>3859.1199432221429</v>
      </c>
      <c r="M135" t="str">
        <f t="shared" si="28"/>
        <v>Projeto</v>
      </c>
      <c r="P135" s="8"/>
      <c r="Q135" t="str">
        <f t="shared" si="29"/>
        <v>Projeto</v>
      </c>
      <c r="R135" t="s">
        <v>206</v>
      </c>
      <c r="W135" s="7">
        <f t="shared" si="30"/>
        <v>1</v>
      </c>
      <c r="X135" t="str">
        <f t="shared" si="31"/>
        <v>Projeto</v>
      </c>
      <c r="Y135" t="str">
        <f t="shared" si="32"/>
        <v>N/A</v>
      </c>
      <c r="AA135" t="str">
        <f t="shared" si="33"/>
        <v>Manter</v>
      </c>
      <c r="AB135" t="str">
        <f t="shared" si="34"/>
        <v/>
      </c>
    </row>
    <row r="136" spans="1:28" x14ac:dyDescent="0.3">
      <c r="A136" s="1" t="s">
        <v>99</v>
      </c>
      <c r="B136" s="1" t="s">
        <v>130</v>
      </c>
      <c r="C136" s="1">
        <v>4</v>
      </c>
      <c r="D136" s="1" t="s">
        <v>25</v>
      </c>
      <c r="E136" s="1">
        <v>3</v>
      </c>
      <c r="F136" s="5">
        <v>72.45</v>
      </c>
      <c r="G136" s="5">
        <v>29.56</v>
      </c>
      <c r="H136" s="5">
        <v>102.01</v>
      </c>
      <c r="I136" s="6">
        <v>454000</v>
      </c>
      <c r="J136" s="1">
        <v>2026</v>
      </c>
      <c r="K136" s="6">
        <v>6266.3906142167007</v>
      </c>
      <c r="L136" s="6">
        <v>4450.5440643074207</v>
      </c>
      <c r="M136" t="str">
        <f t="shared" si="28"/>
        <v>Projeto</v>
      </c>
      <c r="P136" s="8"/>
      <c r="Q136" t="str">
        <f t="shared" si="29"/>
        <v>Projeto</v>
      </c>
      <c r="R136" t="s">
        <v>206</v>
      </c>
      <c r="W136" s="7">
        <f t="shared" si="30"/>
        <v>1</v>
      </c>
      <c r="X136" t="str">
        <f t="shared" si="31"/>
        <v>Projeto</v>
      </c>
      <c r="Y136" t="str">
        <f t="shared" si="32"/>
        <v>N/A</v>
      </c>
      <c r="AA136" t="str">
        <f t="shared" si="33"/>
        <v>Manter</v>
      </c>
      <c r="AB136" t="str">
        <f t="shared" si="34"/>
        <v/>
      </c>
    </row>
    <row r="137" spans="1:28" x14ac:dyDescent="0.3">
      <c r="A137" s="1" t="s">
        <v>99</v>
      </c>
      <c r="B137" s="1" t="s">
        <v>131</v>
      </c>
      <c r="C137" s="1">
        <v>5</v>
      </c>
      <c r="D137" s="1" t="s">
        <v>15</v>
      </c>
      <c r="E137" s="1">
        <v>1</v>
      </c>
      <c r="F137" s="5">
        <v>108.04</v>
      </c>
      <c r="G137" s="5">
        <v>46.81</v>
      </c>
      <c r="H137" s="5">
        <v>154.85</v>
      </c>
      <c r="I137" s="6">
        <v>1050000</v>
      </c>
      <c r="J137" s="1">
        <v>2026</v>
      </c>
      <c r="K137" s="6">
        <v>9718.6227323213625</v>
      </c>
      <c r="L137" s="6">
        <v>6780.7555699063596</v>
      </c>
      <c r="M137" t="str">
        <f t="shared" si="28"/>
        <v>Projeto</v>
      </c>
      <c r="P137" s="8"/>
      <c r="Q137" t="str">
        <f t="shared" si="29"/>
        <v>Projeto</v>
      </c>
      <c r="R137" t="s">
        <v>206</v>
      </c>
      <c r="W137" s="7">
        <f t="shared" si="30"/>
        <v>1</v>
      </c>
      <c r="X137" t="str">
        <f t="shared" si="31"/>
        <v>Projeto</v>
      </c>
      <c r="Y137" t="str">
        <f t="shared" si="32"/>
        <v>N/A</v>
      </c>
      <c r="AA137" t="str">
        <f t="shared" si="33"/>
        <v>Manter</v>
      </c>
      <c r="AB137" t="str">
        <f t="shared" si="34"/>
        <v/>
      </c>
    </row>
    <row r="138" spans="1:28" x14ac:dyDescent="0.3">
      <c r="A138" s="1" t="s">
        <v>99</v>
      </c>
      <c r="B138" s="1" t="s">
        <v>132</v>
      </c>
      <c r="C138" s="1">
        <v>5</v>
      </c>
      <c r="D138" s="1" t="s">
        <v>15</v>
      </c>
      <c r="E138" s="1">
        <v>2</v>
      </c>
      <c r="F138" s="5">
        <v>121.8</v>
      </c>
      <c r="G138" s="5">
        <v>40.799999999999997</v>
      </c>
      <c r="H138" s="5">
        <v>162.6</v>
      </c>
      <c r="I138" s="6">
        <v>641000</v>
      </c>
      <c r="J138" s="1">
        <v>2026</v>
      </c>
      <c r="K138" s="6">
        <v>5262.7257799671597</v>
      </c>
      <c r="L138" s="6">
        <v>3942.1894218942189</v>
      </c>
      <c r="M138" t="str">
        <f t="shared" si="28"/>
        <v>Projeto</v>
      </c>
      <c r="P138" s="8"/>
      <c r="Q138" t="str">
        <f t="shared" si="29"/>
        <v>Projeto</v>
      </c>
      <c r="R138" t="s">
        <v>206</v>
      </c>
      <c r="W138" s="7">
        <f t="shared" si="30"/>
        <v>1</v>
      </c>
      <c r="X138" t="str">
        <f t="shared" si="31"/>
        <v>Projeto</v>
      </c>
      <c r="Y138" t="str">
        <f t="shared" si="32"/>
        <v>N/A</v>
      </c>
      <c r="AA138" t="str">
        <f t="shared" si="33"/>
        <v>Manter</v>
      </c>
      <c r="AB138" t="str">
        <f t="shared" si="34"/>
        <v/>
      </c>
    </row>
    <row r="139" spans="1:28" x14ac:dyDescent="0.3">
      <c r="A139" s="1" t="s">
        <v>99</v>
      </c>
      <c r="B139" s="1" t="s">
        <v>133</v>
      </c>
      <c r="C139" s="1">
        <v>5</v>
      </c>
      <c r="D139" s="1" t="s">
        <v>25</v>
      </c>
      <c r="E139" s="1">
        <v>4</v>
      </c>
      <c r="F139" s="5">
        <v>76.2</v>
      </c>
      <c r="G139" s="5">
        <v>16.260000000000002</v>
      </c>
      <c r="H139" s="5">
        <v>92.460000000000008</v>
      </c>
      <c r="I139" s="6">
        <v>408000</v>
      </c>
      <c r="J139" s="1">
        <v>2026</v>
      </c>
      <c r="K139" s="6">
        <v>5354.3307086614168</v>
      </c>
      <c r="L139" s="6">
        <v>4412.719013627514</v>
      </c>
      <c r="M139" t="str">
        <f t="shared" si="28"/>
        <v>Projeto</v>
      </c>
      <c r="P139" s="8"/>
      <c r="Q139" t="str">
        <f t="shared" si="29"/>
        <v>Projeto</v>
      </c>
      <c r="R139" t="s">
        <v>206</v>
      </c>
      <c r="W139" s="7">
        <f t="shared" si="30"/>
        <v>1</v>
      </c>
      <c r="X139" t="str">
        <f t="shared" si="31"/>
        <v>Projeto</v>
      </c>
      <c r="Y139" t="str">
        <f t="shared" si="32"/>
        <v>N/A</v>
      </c>
      <c r="AA139" t="str">
        <f t="shared" si="33"/>
        <v>Manter</v>
      </c>
      <c r="AB139" t="str">
        <f t="shared" si="34"/>
        <v/>
      </c>
    </row>
    <row r="140" spans="1:28" x14ac:dyDescent="0.3">
      <c r="A140" s="1" t="s">
        <v>99</v>
      </c>
      <c r="B140" s="1" t="s">
        <v>134</v>
      </c>
      <c r="C140" s="1">
        <v>5</v>
      </c>
      <c r="D140" s="1" t="s">
        <v>15</v>
      </c>
      <c r="E140" s="1">
        <v>3</v>
      </c>
      <c r="F140" s="5">
        <v>84.63</v>
      </c>
      <c r="G140" s="5">
        <v>41.85</v>
      </c>
      <c r="H140" s="5">
        <v>126.48</v>
      </c>
      <c r="I140" s="6">
        <v>585000</v>
      </c>
      <c r="J140" s="1">
        <v>2026</v>
      </c>
      <c r="K140" s="6">
        <v>6912.442396313364</v>
      </c>
      <c r="L140" s="6">
        <v>4625.2371916508546</v>
      </c>
      <c r="M140" t="str">
        <f t="shared" si="28"/>
        <v>Projeto</v>
      </c>
      <c r="P140" s="8"/>
      <c r="Q140" t="str">
        <f t="shared" si="29"/>
        <v>Projeto</v>
      </c>
      <c r="R140" t="s">
        <v>206</v>
      </c>
      <c r="W140" s="7">
        <f t="shared" si="30"/>
        <v>1</v>
      </c>
      <c r="X140" t="str">
        <f t="shared" si="31"/>
        <v>Projeto</v>
      </c>
      <c r="Y140" t="str">
        <f t="shared" si="32"/>
        <v>N/A</v>
      </c>
      <c r="AA140" t="str">
        <f t="shared" si="33"/>
        <v>Manter</v>
      </c>
      <c r="AB140" t="str">
        <f t="shared" si="34"/>
        <v/>
      </c>
    </row>
    <row r="141" spans="1:28" x14ac:dyDescent="0.3">
      <c r="A141" s="1" t="s">
        <v>99</v>
      </c>
      <c r="B141" s="1" t="s">
        <v>135</v>
      </c>
      <c r="C141" s="1">
        <v>5</v>
      </c>
      <c r="D141" s="1" t="s">
        <v>15</v>
      </c>
      <c r="E141" s="1">
        <v>3</v>
      </c>
      <c r="F141" s="5">
        <v>102.95</v>
      </c>
      <c r="G141" s="5">
        <v>70.23</v>
      </c>
      <c r="H141" s="5">
        <v>173.18</v>
      </c>
      <c r="I141" s="6">
        <v>633000</v>
      </c>
      <c r="J141" s="1">
        <v>2026</v>
      </c>
      <c r="K141" s="6">
        <v>6148.6158329286063</v>
      </c>
      <c r="L141" s="6">
        <v>3655.1564845825151</v>
      </c>
      <c r="M141" t="str">
        <f t="shared" si="28"/>
        <v>Projeto</v>
      </c>
      <c r="P141" s="8"/>
      <c r="Q141" t="str">
        <f t="shared" si="29"/>
        <v>Projeto</v>
      </c>
      <c r="R141" t="s">
        <v>206</v>
      </c>
      <c r="W141" s="7">
        <f t="shared" si="30"/>
        <v>1</v>
      </c>
      <c r="X141" t="str">
        <f t="shared" si="31"/>
        <v>Projeto</v>
      </c>
      <c r="Y141" t="str">
        <f t="shared" si="32"/>
        <v>N/A</v>
      </c>
      <c r="AA141" t="str">
        <f t="shared" si="33"/>
        <v>Manter</v>
      </c>
      <c r="AB141" t="str">
        <f t="shared" si="34"/>
        <v/>
      </c>
    </row>
    <row r="142" spans="1:28" x14ac:dyDescent="0.3">
      <c r="A142" s="1" t="s">
        <v>99</v>
      </c>
      <c r="B142" s="1" t="s">
        <v>136</v>
      </c>
      <c r="C142" s="1">
        <v>5</v>
      </c>
      <c r="D142" s="1" t="s">
        <v>137</v>
      </c>
      <c r="E142" s="1">
        <v>3</v>
      </c>
      <c r="F142" s="5">
        <v>82.42</v>
      </c>
      <c r="G142" s="5">
        <v>71.8</v>
      </c>
      <c r="H142" s="5">
        <v>154.22</v>
      </c>
      <c r="I142" s="6">
        <v>551000</v>
      </c>
      <c r="J142" s="1">
        <v>2026</v>
      </c>
      <c r="K142" s="6">
        <v>6685.2705653967478</v>
      </c>
      <c r="L142" s="6">
        <v>3572.8180521333161</v>
      </c>
      <c r="M142" t="str">
        <f t="shared" si="28"/>
        <v>Projeto</v>
      </c>
      <c r="P142" s="8"/>
      <c r="Q142" t="str">
        <f t="shared" si="29"/>
        <v>Projeto</v>
      </c>
      <c r="R142" t="s">
        <v>206</v>
      </c>
      <c r="W142" s="7">
        <f t="shared" si="30"/>
        <v>1</v>
      </c>
      <c r="X142" t="str">
        <f t="shared" si="31"/>
        <v>Projeto</v>
      </c>
      <c r="Y142" t="str">
        <f t="shared" si="32"/>
        <v>N/A</v>
      </c>
      <c r="AA142" t="str">
        <f t="shared" si="33"/>
        <v>Manter</v>
      </c>
      <c r="AB142" t="str">
        <f t="shared" si="34"/>
        <v/>
      </c>
    </row>
    <row r="143" spans="1:28" x14ac:dyDescent="0.3">
      <c r="A143" s="1" t="s">
        <v>99</v>
      </c>
      <c r="B143" s="1" t="s">
        <v>138</v>
      </c>
      <c r="C143" s="1">
        <v>6</v>
      </c>
      <c r="D143" s="1" t="s">
        <v>47</v>
      </c>
      <c r="E143" s="1">
        <v>1</v>
      </c>
      <c r="F143" s="5">
        <v>152.80000000000001</v>
      </c>
      <c r="G143" s="5">
        <v>64.459999999999994</v>
      </c>
      <c r="H143" s="5">
        <v>217.26</v>
      </c>
      <c r="I143" s="6">
        <v>1450000</v>
      </c>
      <c r="J143" s="1">
        <v>2026</v>
      </c>
      <c r="K143" s="6">
        <v>9489.5287958115168</v>
      </c>
      <c r="L143" s="6">
        <v>6674.0311147933353</v>
      </c>
      <c r="M143" t="str">
        <f t="shared" si="28"/>
        <v>Projeto</v>
      </c>
      <c r="P143" s="8"/>
      <c r="Q143" t="str">
        <f t="shared" si="29"/>
        <v>Projeto</v>
      </c>
      <c r="R143" t="s">
        <v>206</v>
      </c>
      <c r="W143" s="7">
        <f t="shared" si="30"/>
        <v>1</v>
      </c>
      <c r="X143" t="str">
        <f t="shared" si="31"/>
        <v>Projeto</v>
      </c>
      <c r="Y143" t="str">
        <f t="shared" si="32"/>
        <v>N/A</v>
      </c>
      <c r="AA143" t="str">
        <f t="shared" si="33"/>
        <v>Manter</v>
      </c>
      <c r="AB143" t="str">
        <f t="shared" si="34"/>
        <v/>
      </c>
    </row>
    <row r="144" spans="1:28" x14ac:dyDescent="0.3">
      <c r="A144" s="1" t="s">
        <v>99</v>
      </c>
      <c r="B144" s="1" t="s">
        <v>139</v>
      </c>
      <c r="C144" s="1">
        <v>6</v>
      </c>
      <c r="D144" s="1" t="s">
        <v>15</v>
      </c>
      <c r="E144" s="1">
        <v>2</v>
      </c>
      <c r="F144" s="5">
        <v>123.81</v>
      </c>
      <c r="G144" s="5">
        <v>40.74</v>
      </c>
      <c r="H144" s="5">
        <v>164.55</v>
      </c>
      <c r="I144" s="6">
        <v>1100000</v>
      </c>
      <c r="J144" s="1">
        <v>2026</v>
      </c>
      <c r="K144" s="6">
        <v>8884.5812131491803</v>
      </c>
      <c r="L144" s="6">
        <v>6684.898207231844</v>
      </c>
      <c r="M144" t="str">
        <f t="shared" si="28"/>
        <v>Projeto</v>
      </c>
      <c r="P144" s="8"/>
      <c r="Q144" t="str">
        <f t="shared" si="29"/>
        <v>Projeto</v>
      </c>
      <c r="R144" t="s">
        <v>206</v>
      </c>
      <c r="W144" s="7">
        <f t="shared" si="30"/>
        <v>1</v>
      </c>
      <c r="X144" t="str">
        <f t="shared" si="31"/>
        <v>Projeto</v>
      </c>
      <c r="Y144" t="str">
        <f t="shared" si="32"/>
        <v>N/A</v>
      </c>
      <c r="AA144" t="str">
        <f t="shared" si="33"/>
        <v>Manter</v>
      </c>
      <c r="AB144" t="str">
        <f t="shared" si="34"/>
        <v/>
      </c>
    </row>
    <row r="145" spans="1:28" x14ac:dyDescent="0.3">
      <c r="A145" s="1" t="s">
        <v>99</v>
      </c>
      <c r="B145" s="1" t="s">
        <v>140</v>
      </c>
      <c r="C145" s="1">
        <v>6</v>
      </c>
      <c r="D145" s="1" t="s">
        <v>25</v>
      </c>
      <c r="E145" s="1">
        <v>4</v>
      </c>
      <c r="F145" s="5">
        <v>75.66</v>
      </c>
      <c r="G145" s="5">
        <v>16.190000000000001</v>
      </c>
      <c r="H145" s="5">
        <v>91.85</v>
      </c>
      <c r="I145" s="6">
        <v>520000</v>
      </c>
      <c r="J145" s="1">
        <v>2026</v>
      </c>
      <c r="K145" s="6">
        <v>6872.8522336769774</v>
      </c>
      <c r="L145" s="6">
        <v>5661.404463799674</v>
      </c>
      <c r="M145" t="str">
        <f t="shared" si="28"/>
        <v>Projeto</v>
      </c>
      <c r="P145" s="8"/>
      <c r="Q145" t="str">
        <f t="shared" si="29"/>
        <v>Projeto</v>
      </c>
      <c r="R145" t="s">
        <v>206</v>
      </c>
      <c r="W145" s="7">
        <f t="shared" si="30"/>
        <v>1</v>
      </c>
      <c r="X145" t="str">
        <f t="shared" si="31"/>
        <v>Projeto</v>
      </c>
      <c r="Y145" t="str">
        <f t="shared" si="32"/>
        <v>N/A</v>
      </c>
      <c r="AA145" t="str">
        <f t="shared" si="33"/>
        <v>Manter</v>
      </c>
      <c r="AB145" t="str">
        <f t="shared" si="34"/>
        <v/>
      </c>
    </row>
    <row r="146" spans="1:28" x14ac:dyDescent="0.3">
      <c r="A146" s="1" t="s">
        <v>99</v>
      </c>
      <c r="B146" s="1" t="s">
        <v>141</v>
      </c>
      <c r="C146" s="1">
        <v>6</v>
      </c>
      <c r="D146" s="1" t="s">
        <v>47</v>
      </c>
      <c r="E146" s="1">
        <v>3</v>
      </c>
      <c r="F146" s="5">
        <v>111.99</v>
      </c>
      <c r="G146" s="5">
        <v>92.22</v>
      </c>
      <c r="H146" s="5">
        <v>204.21</v>
      </c>
      <c r="I146" s="6">
        <v>1100000</v>
      </c>
      <c r="J146" s="1">
        <v>2026</v>
      </c>
      <c r="K146" s="6">
        <v>9822.3055629966966</v>
      </c>
      <c r="L146" s="6">
        <v>5386.611821164488</v>
      </c>
      <c r="M146" t="str">
        <f t="shared" si="28"/>
        <v>Projeto</v>
      </c>
      <c r="P146" s="8"/>
      <c r="Q146" t="str">
        <f t="shared" si="29"/>
        <v>Projeto</v>
      </c>
      <c r="R146" t="s">
        <v>206</v>
      </c>
      <c r="W146" s="7">
        <f t="shared" si="30"/>
        <v>1</v>
      </c>
      <c r="X146" t="str">
        <f t="shared" si="31"/>
        <v>Projeto</v>
      </c>
      <c r="Y146" t="str">
        <f t="shared" si="32"/>
        <v>N/A</v>
      </c>
      <c r="AA146" t="str">
        <f t="shared" si="33"/>
        <v>Manter</v>
      </c>
      <c r="AB146" t="str">
        <f t="shared" si="34"/>
        <v/>
      </c>
    </row>
    <row r="147" spans="1:28" x14ac:dyDescent="0.3">
      <c r="A147" s="1" t="s">
        <v>142</v>
      </c>
      <c r="B147" s="1" t="s">
        <v>143</v>
      </c>
      <c r="C147" s="1">
        <v>3</v>
      </c>
      <c r="D147" s="1" t="s">
        <v>15</v>
      </c>
      <c r="E147" s="1">
        <v>2</v>
      </c>
      <c r="F147" s="5">
        <v>48.4</v>
      </c>
      <c r="G147" s="5">
        <v>11.300000000000004</v>
      </c>
      <c r="H147" s="5">
        <v>59.7</v>
      </c>
      <c r="I147" s="6">
        <v>560000</v>
      </c>
      <c r="J147" s="1">
        <v>2026</v>
      </c>
      <c r="K147" s="6">
        <v>11570.247933884299</v>
      </c>
      <c r="L147" s="6">
        <v>9380.234505862647</v>
      </c>
      <c r="M147" t="str">
        <f t="shared" si="28"/>
        <v>Ativo</v>
      </c>
      <c r="P147" s="8"/>
      <c r="Q147" t="str">
        <f t="shared" si="29"/>
        <v>Premium waterfront/marina</v>
      </c>
      <c r="R147" t="s">
        <v>206</v>
      </c>
      <c r="W147" s="7">
        <f t="shared" si="30"/>
        <v>1</v>
      </c>
      <c r="X147" t="str">
        <f t="shared" si="31"/>
        <v>A · Premium ativo</v>
      </c>
      <c r="Y147" t="str">
        <f t="shared" si="32"/>
        <v>Baixa</v>
      </c>
      <c r="AA147" t="str">
        <f t="shared" si="33"/>
        <v>Adicionar fonte/URL/data</v>
      </c>
      <c r="AB147" t="str">
        <f t="shared" si="34"/>
        <v>Alta</v>
      </c>
    </row>
    <row r="148" spans="1:28" x14ac:dyDescent="0.3">
      <c r="A148" s="1" t="s">
        <v>142</v>
      </c>
      <c r="B148" s="1" t="s">
        <v>144</v>
      </c>
      <c r="C148" s="1">
        <v>2</v>
      </c>
      <c r="D148" s="1" t="s">
        <v>47</v>
      </c>
      <c r="E148" s="1">
        <v>4</v>
      </c>
      <c r="F148" s="5">
        <v>62.6</v>
      </c>
      <c r="G148" s="5">
        <v>18.499999999999993</v>
      </c>
      <c r="H148" s="5">
        <v>81.099999999999994</v>
      </c>
      <c r="I148" s="6">
        <v>415000</v>
      </c>
      <c r="J148" s="1">
        <v>2026</v>
      </c>
      <c r="K148" s="6">
        <v>6629.3929712460058</v>
      </c>
      <c r="L148" s="6">
        <v>5117.1393341553639</v>
      </c>
      <c r="M148" t="str">
        <f t="shared" si="28"/>
        <v>Ativo</v>
      </c>
      <c r="P148" s="8"/>
      <c r="Q148" t="str">
        <f t="shared" si="29"/>
        <v>Premium waterfront/marina</v>
      </c>
      <c r="R148" t="s">
        <v>206</v>
      </c>
      <c r="W148" s="7">
        <f t="shared" si="30"/>
        <v>1</v>
      </c>
      <c r="X148" t="str">
        <f t="shared" si="31"/>
        <v>A · Premium ativo</v>
      </c>
      <c r="Y148" t="str">
        <f t="shared" si="32"/>
        <v>Baixa</v>
      </c>
      <c r="AA148" t="str">
        <f t="shared" si="33"/>
        <v>Adicionar fonte/URL/data</v>
      </c>
      <c r="AB148" t="str">
        <f t="shared" si="34"/>
        <v>Alta</v>
      </c>
    </row>
    <row r="149" spans="1:28" x14ac:dyDescent="0.3">
      <c r="A149" s="1" t="s">
        <v>142</v>
      </c>
      <c r="B149" s="1" t="s">
        <v>145</v>
      </c>
      <c r="C149" s="1">
        <v>2</v>
      </c>
      <c r="D149" s="1" t="s">
        <v>15</v>
      </c>
      <c r="E149" s="1">
        <v>4</v>
      </c>
      <c r="F149" s="5">
        <v>50.15</v>
      </c>
      <c r="G149" s="5">
        <v>17.949999999999996</v>
      </c>
      <c r="H149" s="5">
        <v>68.099999999999994</v>
      </c>
      <c r="I149" s="6">
        <v>380000</v>
      </c>
      <c r="J149" s="1">
        <v>2026</v>
      </c>
      <c r="K149" s="6">
        <v>7577.2681954137588</v>
      </c>
      <c r="L149" s="6">
        <v>5580.0293685756242</v>
      </c>
      <c r="M149" t="str">
        <f t="shared" si="28"/>
        <v>Ativo</v>
      </c>
      <c r="P149" s="8"/>
      <c r="Q149" t="str">
        <f t="shared" si="29"/>
        <v>Premium waterfront/marina</v>
      </c>
      <c r="R149" t="s">
        <v>206</v>
      </c>
      <c r="W149" s="7">
        <f t="shared" si="30"/>
        <v>1</v>
      </c>
      <c r="X149" t="str">
        <f t="shared" si="31"/>
        <v>A · Premium ativo</v>
      </c>
      <c r="Y149" t="str">
        <f t="shared" si="32"/>
        <v>Baixa</v>
      </c>
      <c r="AA149" t="str">
        <f t="shared" si="33"/>
        <v>Adicionar fonte/URL/data</v>
      </c>
      <c r="AB149" t="str">
        <f t="shared" si="34"/>
        <v>Alta</v>
      </c>
    </row>
    <row r="150" spans="1:28" x14ac:dyDescent="0.3">
      <c r="A150" s="1" t="s">
        <v>142</v>
      </c>
      <c r="B150" s="1" t="s">
        <v>13</v>
      </c>
      <c r="C150" s="1" t="s">
        <v>14</v>
      </c>
      <c r="D150" s="1" t="s">
        <v>15</v>
      </c>
      <c r="E150" s="1">
        <v>3</v>
      </c>
      <c r="F150" s="5">
        <v>59.5</v>
      </c>
      <c r="G150" s="5">
        <v>12.5</v>
      </c>
      <c r="H150" s="5">
        <v>72</v>
      </c>
      <c r="I150" s="6">
        <v>495000</v>
      </c>
      <c r="J150" s="1">
        <v>2026</v>
      </c>
      <c r="K150" s="6">
        <v>8319.3277310924368</v>
      </c>
      <c r="L150" s="6">
        <v>6875</v>
      </c>
      <c r="M150" t="str">
        <f t="shared" si="28"/>
        <v>Ativo</v>
      </c>
      <c r="P150" s="8"/>
      <c r="Q150" t="str">
        <f t="shared" si="29"/>
        <v>Premium waterfront/marina</v>
      </c>
      <c r="R150" t="s">
        <v>206</v>
      </c>
      <c r="W150" s="7">
        <f t="shared" si="30"/>
        <v>1</v>
      </c>
      <c r="X150" t="str">
        <f t="shared" si="31"/>
        <v>A · Premium ativo</v>
      </c>
      <c r="Y150" t="str">
        <f t="shared" si="32"/>
        <v>Baixa</v>
      </c>
      <c r="AA150" t="str">
        <f t="shared" si="33"/>
        <v>Adicionar fonte/URL/data</v>
      </c>
      <c r="AB150" t="str">
        <f t="shared" si="34"/>
        <v>Alta</v>
      </c>
    </row>
    <row r="151" spans="1:28" x14ac:dyDescent="0.3">
      <c r="A151" s="1" t="s">
        <v>142</v>
      </c>
      <c r="B151" s="1" t="s">
        <v>21</v>
      </c>
      <c r="C151" s="1">
        <v>2</v>
      </c>
      <c r="D151" s="1" t="s">
        <v>15</v>
      </c>
      <c r="E151" s="1">
        <v>4</v>
      </c>
      <c r="F151" s="5">
        <v>50.15</v>
      </c>
      <c r="G151" s="5">
        <v>12.050000000000004</v>
      </c>
      <c r="H151" s="5">
        <v>62.2</v>
      </c>
      <c r="I151" s="6">
        <v>380000</v>
      </c>
      <c r="J151" s="1">
        <v>2026</v>
      </c>
      <c r="K151" s="6">
        <v>7577.2681954137588</v>
      </c>
      <c r="L151" s="6">
        <v>6109.3247588424438</v>
      </c>
      <c r="M151" t="str">
        <f t="shared" si="28"/>
        <v>Ativo</v>
      </c>
      <c r="P151" s="8"/>
      <c r="Q151" t="str">
        <f t="shared" si="29"/>
        <v>Premium waterfront/marina</v>
      </c>
      <c r="R151" t="s">
        <v>206</v>
      </c>
      <c r="W151" s="7">
        <f t="shared" si="30"/>
        <v>1</v>
      </c>
      <c r="X151" t="str">
        <f t="shared" si="31"/>
        <v>A · Premium ativo</v>
      </c>
      <c r="Y151" t="str">
        <f t="shared" si="32"/>
        <v>Baixa</v>
      </c>
      <c r="AA151" t="str">
        <f t="shared" si="33"/>
        <v>Adicionar fonte/URL/data</v>
      </c>
      <c r="AB151" t="str">
        <f t="shared" si="34"/>
        <v>Alta</v>
      </c>
    </row>
    <row r="152" spans="1:28" x14ac:dyDescent="0.3">
      <c r="A152" s="1" t="s">
        <v>142</v>
      </c>
      <c r="B152" s="1" t="s">
        <v>22</v>
      </c>
      <c r="C152" s="1">
        <v>3</v>
      </c>
      <c r="D152" s="1" t="s">
        <v>25</v>
      </c>
      <c r="E152" s="1">
        <v>3</v>
      </c>
      <c r="F152" s="5">
        <v>40.4</v>
      </c>
      <c r="G152" s="5">
        <v>8.5</v>
      </c>
      <c r="H152" s="5">
        <v>48.9</v>
      </c>
      <c r="I152" s="6">
        <v>385000</v>
      </c>
      <c r="J152" s="1">
        <v>2026</v>
      </c>
      <c r="K152" s="6">
        <v>9529.7029702970303</v>
      </c>
      <c r="L152" s="6">
        <v>7873.2106339468301</v>
      </c>
      <c r="M152" t="str">
        <f t="shared" si="28"/>
        <v>Ativo</v>
      </c>
      <c r="P152" s="8"/>
      <c r="Q152" t="str">
        <f t="shared" si="29"/>
        <v>Premium waterfront/marina</v>
      </c>
      <c r="R152" t="s">
        <v>206</v>
      </c>
      <c r="W152" s="7">
        <f t="shared" si="30"/>
        <v>1</v>
      </c>
      <c r="X152" t="str">
        <f t="shared" si="31"/>
        <v>A · Premium ativo</v>
      </c>
      <c r="Y152" t="str">
        <f t="shared" si="32"/>
        <v>Baixa</v>
      </c>
      <c r="AA152" t="str">
        <f t="shared" si="33"/>
        <v>Adicionar fonte/URL/data</v>
      </c>
      <c r="AB152" t="str">
        <f t="shared" si="34"/>
        <v>Alta</v>
      </c>
    </row>
    <row r="153" spans="1:28" x14ac:dyDescent="0.3">
      <c r="A153" s="1" t="s">
        <v>142</v>
      </c>
      <c r="B153" s="1" t="s">
        <v>146</v>
      </c>
      <c r="C153" s="1">
        <v>3</v>
      </c>
      <c r="D153" s="1" t="s">
        <v>25</v>
      </c>
      <c r="E153" s="1">
        <v>4</v>
      </c>
      <c r="F153" s="5">
        <v>40.4</v>
      </c>
      <c r="G153" s="5">
        <v>8.5</v>
      </c>
      <c r="H153" s="5">
        <v>48.9</v>
      </c>
      <c r="I153" s="6">
        <v>385000</v>
      </c>
      <c r="J153" s="1">
        <v>2026</v>
      </c>
      <c r="K153" s="6">
        <v>9529.7029702970303</v>
      </c>
      <c r="L153" s="6">
        <v>7873.2106339468301</v>
      </c>
      <c r="M153" t="str">
        <f t="shared" si="28"/>
        <v>Ativo</v>
      </c>
      <c r="P153" s="8"/>
      <c r="Q153" t="str">
        <f t="shared" si="29"/>
        <v>Premium waterfront/marina</v>
      </c>
      <c r="R153" t="s">
        <v>206</v>
      </c>
      <c r="W153" s="7">
        <f t="shared" si="30"/>
        <v>1</v>
      </c>
      <c r="X153" t="str">
        <f t="shared" si="31"/>
        <v>A · Premium ativo</v>
      </c>
      <c r="Y153" t="str">
        <f t="shared" si="32"/>
        <v>Baixa</v>
      </c>
      <c r="AA153" t="str">
        <f t="shared" si="33"/>
        <v>Adicionar fonte/URL/data</v>
      </c>
      <c r="AB153" t="str">
        <f t="shared" si="34"/>
        <v>Alta</v>
      </c>
    </row>
    <row r="154" spans="1:28" x14ac:dyDescent="0.3">
      <c r="A154" s="1" t="s">
        <v>142</v>
      </c>
      <c r="B154" s="1" t="s">
        <v>28</v>
      </c>
      <c r="C154" s="1">
        <v>1</v>
      </c>
      <c r="D154" s="1" t="s">
        <v>15</v>
      </c>
      <c r="E154" s="1">
        <v>4</v>
      </c>
      <c r="F154" s="5">
        <v>81.25</v>
      </c>
      <c r="G154" s="5">
        <v>30.25</v>
      </c>
      <c r="H154" s="5">
        <v>111.5</v>
      </c>
      <c r="I154" s="6">
        <v>600000</v>
      </c>
      <c r="J154" s="1">
        <v>2026</v>
      </c>
      <c r="K154" s="6">
        <v>7384.6153846153848</v>
      </c>
      <c r="L154" s="6">
        <v>5381.1659192825109</v>
      </c>
      <c r="M154" t="str">
        <f t="shared" si="28"/>
        <v>Ativo</v>
      </c>
      <c r="P154" s="8"/>
      <c r="Q154" t="str">
        <f t="shared" si="29"/>
        <v>Premium waterfront/marina</v>
      </c>
      <c r="R154" t="s">
        <v>206</v>
      </c>
      <c r="W154" s="7">
        <f t="shared" si="30"/>
        <v>1</v>
      </c>
      <c r="X154" t="str">
        <f t="shared" si="31"/>
        <v>A · Premium ativo</v>
      </c>
      <c r="Y154" t="str">
        <f t="shared" si="32"/>
        <v>Baixa</v>
      </c>
      <c r="AA154" t="str">
        <f t="shared" si="33"/>
        <v>Adicionar fonte/URL/data</v>
      </c>
      <c r="AB154" t="str">
        <f t="shared" si="34"/>
        <v>Alta</v>
      </c>
    </row>
    <row r="155" spans="1:28" x14ac:dyDescent="0.3">
      <c r="A155" s="1" t="s">
        <v>142</v>
      </c>
      <c r="B155" s="1" t="s">
        <v>147</v>
      </c>
      <c r="C155" s="1">
        <v>1</v>
      </c>
      <c r="D155" s="1" t="s">
        <v>15</v>
      </c>
      <c r="E155" s="1">
        <v>1</v>
      </c>
      <c r="F155" s="5">
        <v>81.3</v>
      </c>
      <c r="G155" s="5">
        <v>12.100000000000009</v>
      </c>
      <c r="H155" s="5">
        <v>93.4</v>
      </c>
      <c r="I155" s="6">
        <v>495000</v>
      </c>
      <c r="J155" s="1">
        <v>2026</v>
      </c>
      <c r="K155" s="6">
        <v>6088.5608856088566</v>
      </c>
      <c r="L155" s="6">
        <v>5299.7858672376869</v>
      </c>
      <c r="M155" t="str">
        <f t="shared" si="28"/>
        <v>Ativo</v>
      </c>
      <c r="P155" s="8"/>
      <c r="Q155" t="str">
        <f t="shared" si="29"/>
        <v>Premium waterfront/marina</v>
      </c>
      <c r="R155" t="s">
        <v>206</v>
      </c>
      <c r="W155" s="7">
        <f t="shared" si="30"/>
        <v>1</v>
      </c>
      <c r="X155" t="str">
        <f t="shared" si="31"/>
        <v>A · Premium ativo</v>
      </c>
      <c r="Y155" t="str">
        <f t="shared" si="32"/>
        <v>Baixa</v>
      </c>
      <c r="AA155" t="str">
        <f t="shared" si="33"/>
        <v>Adicionar fonte/URL/data</v>
      </c>
      <c r="AB155" t="str">
        <f t="shared" si="34"/>
        <v>Alta</v>
      </c>
    </row>
    <row r="156" spans="1:28" x14ac:dyDescent="0.3">
      <c r="A156" s="1" t="s">
        <v>142</v>
      </c>
      <c r="B156" s="1" t="s">
        <v>148</v>
      </c>
      <c r="C156" s="1">
        <v>1</v>
      </c>
      <c r="D156" s="1" t="s">
        <v>15</v>
      </c>
      <c r="E156" s="1">
        <v>1</v>
      </c>
      <c r="F156" s="5">
        <v>76.7</v>
      </c>
      <c r="G156" s="5">
        <v>30.200000000000003</v>
      </c>
      <c r="H156" s="5">
        <v>106.9</v>
      </c>
      <c r="I156" s="6">
        <v>599000</v>
      </c>
      <c r="J156" s="1">
        <v>2026</v>
      </c>
      <c r="K156" s="6">
        <v>7809.6479791395041</v>
      </c>
      <c r="L156" s="6">
        <v>5603.3676333021513</v>
      </c>
      <c r="M156" t="str">
        <f t="shared" si="28"/>
        <v>Ativo</v>
      </c>
      <c r="P156" s="8"/>
      <c r="Q156" t="str">
        <f t="shared" si="29"/>
        <v>Premium waterfront/marina</v>
      </c>
      <c r="R156" t="s">
        <v>206</v>
      </c>
      <c r="W156" s="7">
        <f t="shared" si="30"/>
        <v>1</v>
      </c>
      <c r="X156" t="str">
        <f t="shared" si="31"/>
        <v>A · Premium ativo</v>
      </c>
      <c r="Y156" t="str">
        <f t="shared" si="32"/>
        <v>Baixa</v>
      </c>
      <c r="AA156" t="str">
        <f t="shared" si="33"/>
        <v>Adicionar fonte/URL/data</v>
      </c>
      <c r="AB156" t="str">
        <f t="shared" si="34"/>
        <v>Alta</v>
      </c>
    </row>
    <row r="157" spans="1:28" x14ac:dyDescent="0.3">
      <c r="A157" s="1" t="s">
        <v>142</v>
      </c>
      <c r="B157" s="1" t="s">
        <v>149</v>
      </c>
      <c r="C157" s="1">
        <v>2</v>
      </c>
      <c r="D157" s="1" t="s">
        <v>15</v>
      </c>
      <c r="E157" s="1">
        <v>2</v>
      </c>
      <c r="F157" s="5">
        <v>81.25</v>
      </c>
      <c r="G157" s="5">
        <v>30.25</v>
      </c>
      <c r="H157" s="5">
        <v>111.5</v>
      </c>
      <c r="I157" s="6">
        <v>620000</v>
      </c>
      <c r="J157" s="1">
        <v>2026</v>
      </c>
      <c r="K157" s="6">
        <v>7630.7692307692305</v>
      </c>
      <c r="L157" s="6">
        <v>5560.538116591928</v>
      </c>
      <c r="M157" t="str">
        <f t="shared" si="28"/>
        <v>Ativo</v>
      </c>
      <c r="P157" s="8"/>
      <c r="Q157" t="str">
        <f t="shared" si="29"/>
        <v>Premium waterfront/marina</v>
      </c>
      <c r="R157" t="s">
        <v>206</v>
      </c>
      <c r="W157" s="7">
        <f t="shared" si="30"/>
        <v>1</v>
      </c>
      <c r="X157" t="str">
        <f t="shared" si="31"/>
        <v>A · Premium ativo</v>
      </c>
      <c r="Y157" t="str">
        <f t="shared" si="32"/>
        <v>Baixa</v>
      </c>
      <c r="AA157" t="str">
        <f t="shared" si="33"/>
        <v>Adicionar fonte/URL/data</v>
      </c>
      <c r="AB157" t="str">
        <f t="shared" si="34"/>
        <v>Alta</v>
      </c>
    </row>
    <row r="158" spans="1:28" x14ac:dyDescent="0.3">
      <c r="A158" s="1" t="s">
        <v>142</v>
      </c>
      <c r="B158" s="1" t="s">
        <v>59</v>
      </c>
      <c r="C158" s="1">
        <v>2</v>
      </c>
      <c r="D158" s="1" t="s">
        <v>15</v>
      </c>
      <c r="E158" s="1">
        <v>2</v>
      </c>
      <c r="F158" s="5">
        <v>81.3</v>
      </c>
      <c r="G158" s="5">
        <v>12.100000000000009</v>
      </c>
      <c r="H158" s="5">
        <v>93.4</v>
      </c>
      <c r="I158" s="6">
        <v>515000</v>
      </c>
      <c r="J158" s="1">
        <v>2026</v>
      </c>
      <c r="K158" s="6">
        <v>6334.5633456334563</v>
      </c>
      <c r="L158" s="6">
        <v>5513.9186295503205</v>
      </c>
      <c r="M158" t="str">
        <f t="shared" si="28"/>
        <v>Ativo</v>
      </c>
      <c r="P158" s="8"/>
      <c r="Q158" t="str">
        <f t="shared" si="29"/>
        <v>Premium waterfront/marina</v>
      </c>
      <c r="R158" t="s">
        <v>206</v>
      </c>
      <c r="W158" s="7">
        <f t="shared" si="30"/>
        <v>1</v>
      </c>
      <c r="X158" t="str">
        <f t="shared" si="31"/>
        <v>A · Premium ativo</v>
      </c>
      <c r="Y158" t="str">
        <f t="shared" si="32"/>
        <v>Baixa</v>
      </c>
      <c r="AA158" t="str">
        <f t="shared" si="33"/>
        <v>Adicionar fonte/URL/data</v>
      </c>
      <c r="AB158" t="str">
        <f t="shared" si="34"/>
        <v>Alta</v>
      </c>
    </row>
    <row r="159" spans="1:28" x14ac:dyDescent="0.3">
      <c r="A159" s="1" t="s">
        <v>142</v>
      </c>
      <c r="B159" s="1" t="s">
        <v>150</v>
      </c>
      <c r="C159" s="1">
        <v>2</v>
      </c>
      <c r="D159" s="1" t="s">
        <v>15</v>
      </c>
      <c r="E159" s="1">
        <v>1</v>
      </c>
      <c r="F159" s="5">
        <v>76.7</v>
      </c>
      <c r="G159" s="5">
        <v>30.200000000000003</v>
      </c>
      <c r="H159" s="5">
        <v>106.9</v>
      </c>
      <c r="I159" s="6">
        <v>619000</v>
      </c>
      <c r="J159" s="1">
        <v>2026</v>
      </c>
      <c r="K159" s="6">
        <v>8070.4041720990872</v>
      </c>
      <c r="L159" s="6">
        <v>5790.4583723105707</v>
      </c>
      <c r="M159" t="str">
        <f t="shared" si="28"/>
        <v>Ativo</v>
      </c>
      <c r="P159" s="8"/>
      <c r="Q159" t="str">
        <f t="shared" si="29"/>
        <v>Premium waterfront/marina</v>
      </c>
      <c r="R159" t="s">
        <v>206</v>
      </c>
      <c r="W159" s="7">
        <f t="shared" si="30"/>
        <v>1</v>
      </c>
      <c r="X159" t="str">
        <f t="shared" si="31"/>
        <v>A · Premium ativo</v>
      </c>
      <c r="Y159" t="str">
        <f t="shared" si="32"/>
        <v>Baixa</v>
      </c>
      <c r="AA159" t="str">
        <f t="shared" si="33"/>
        <v>Adicionar fonte/URL/data</v>
      </c>
      <c r="AB159" t="str">
        <f t="shared" si="34"/>
        <v>Alta</v>
      </c>
    </row>
    <row r="160" spans="1:28" x14ac:dyDescent="0.3">
      <c r="A160" s="1" t="s">
        <v>142</v>
      </c>
      <c r="B160" s="1" t="s">
        <v>151</v>
      </c>
      <c r="C160" s="1">
        <v>3</v>
      </c>
      <c r="D160" s="1" t="s">
        <v>15</v>
      </c>
      <c r="E160" s="1">
        <v>1</v>
      </c>
      <c r="F160" s="5">
        <v>81.25</v>
      </c>
      <c r="G160" s="5">
        <v>30.25</v>
      </c>
      <c r="H160" s="5">
        <v>111.5</v>
      </c>
      <c r="I160" s="6">
        <v>645000</v>
      </c>
      <c r="J160" s="1">
        <v>2026</v>
      </c>
      <c r="K160" s="6">
        <v>7938.4615384615381</v>
      </c>
      <c r="L160" s="6">
        <v>5784.7533632286995</v>
      </c>
      <c r="M160" t="str">
        <f t="shared" si="28"/>
        <v>Ativo</v>
      </c>
      <c r="P160" s="8"/>
      <c r="Q160" t="str">
        <f t="shared" si="29"/>
        <v>Premium waterfront/marina</v>
      </c>
      <c r="R160" t="s">
        <v>206</v>
      </c>
      <c r="W160" s="7">
        <f t="shared" si="30"/>
        <v>1</v>
      </c>
      <c r="X160" t="str">
        <f t="shared" si="31"/>
        <v>A · Premium ativo</v>
      </c>
      <c r="Y160" t="str">
        <f t="shared" si="32"/>
        <v>Baixa</v>
      </c>
      <c r="AA160" t="str">
        <f t="shared" si="33"/>
        <v>Adicionar fonte/URL/data</v>
      </c>
      <c r="AB160" t="str">
        <f t="shared" si="34"/>
        <v>Alta</v>
      </c>
    </row>
    <row r="161" spans="1:28" x14ac:dyDescent="0.3">
      <c r="A161" s="1" t="s">
        <v>142</v>
      </c>
      <c r="B161" s="1" t="s">
        <v>152</v>
      </c>
      <c r="C161" s="1">
        <v>3</v>
      </c>
      <c r="D161" s="1" t="s">
        <v>15</v>
      </c>
      <c r="E161" s="1">
        <v>2</v>
      </c>
      <c r="F161" s="5">
        <v>81.3</v>
      </c>
      <c r="G161" s="5">
        <v>12.100000000000009</v>
      </c>
      <c r="H161" s="5">
        <v>93.4</v>
      </c>
      <c r="I161" s="6">
        <v>540000</v>
      </c>
      <c r="J161" s="1">
        <v>2026</v>
      </c>
      <c r="K161" s="6">
        <v>6642.0664206642068</v>
      </c>
      <c r="L161" s="6">
        <v>5781.5845824411135</v>
      </c>
      <c r="M161" t="str">
        <f t="shared" si="28"/>
        <v>Ativo</v>
      </c>
      <c r="P161" s="8"/>
      <c r="Q161" t="str">
        <f t="shared" si="29"/>
        <v>Premium waterfront/marina</v>
      </c>
      <c r="R161" t="s">
        <v>206</v>
      </c>
      <c r="W161" s="7">
        <f t="shared" si="30"/>
        <v>1</v>
      </c>
      <c r="X161" t="str">
        <f t="shared" si="31"/>
        <v>A · Premium ativo</v>
      </c>
      <c r="Y161" t="str">
        <f t="shared" si="32"/>
        <v>Baixa</v>
      </c>
      <c r="AA161" t="str">
        <f t="shared" si="33"/>
        <v>Adicionar fonte/URL/data</v>
      </c>
      <c r="AB161" t="str">
        <f t="shared" si="34"/>
        <v>Alta</v>
      </c>
    </row>
    <row r="162" spans="1:28" x14ac:dyDescent="0.3">
      <c r="A162" s="1" t="s">
        <v>142</v>
      </c>
      <c r="B162" s="1" t="s">
        <v>153</v>
      </c>
      <c r="C162" s="1">
        <v>3</v>
      </c>
      <c r="D162" s="1" t="s">
        <v>15</v>
      </c>
      <c r="E162" s="1">
        <v>2</v>
      </c>
      <c r="F162" s="5">
        <v>106.85</v>
      </c>
      <c r="G162" s="5">
        <v>5.0000000000011369E-2</v>
      </c>
      <c r="H162" s="5">
        <v>106.9</v>
      </c>
      <c r="I162" s="6">
        <v>644000</v>
      </c>
      <c r="J162" s="1">
        <v>2026</v>
      </c>
      <c r="K162" s="6">
        <v>6027.1408516612073</v>
      </c>
      <c r="L162" s="6">
        <v>6024.3217960710945</v>
      </c>
      <c r="M162" t="str">
        <f t="shared" ref="M162:M173" si="35">IF(A162="The View","Projeto",IF(J162&gt;=2026,"Ativo",IF(J162=2025,"Rever","Histórico")))</f>
        <v>Ativo</v>
      </c>
      <c r="P162" s="8"/>
      <c r="Q162" t="str">
        <f t="shared" ref="Q162:Q173" si="36">IF(A162="The View","Projeto",IF(A162="Le Parc","Benchmark local",IF(OR(A162="Del Mar Waterfront",A162="Aura Living"),"Premium waterfront/marina","A classificar")))</f>
        <v>Premium waterfront/marina</v>
      </c>
      <c r="R162" t="s">
        <v>206</v>
      </c>
      <c r="W162" s="7">
        <f t="shared" ref="W162:W173" si="37">IF(A162="The View",1,MAX(0.25,MIN(1,IF(J162&gt;=2026,1,IF(J162=2025,0.8,IF(J162=2024,0.45,0.3)))*IF(Q162="Premium waterfront/marina",1,IF(Q162="Benchmark local",0.7,0.6))*IF(M162="Vendido",0.65,IF(M162="Reservado",0.8,IF(M162="Histórico",0.55,1))))))</f>
        <v>1</v>
      </c>
      <c r="X162" t="str">
        <f t="shared" ref="X162:X193" si="38">IF(A162="The View","Projeto",IF(W162&gt;=0.85,"A · Premium ativo",IF(W162&gt;=0.55,"B · Benchmark local","C · Histórico/secundário")))</f>
        <v>A · Premium ativo</v>
      </c>
      <c r="Y162" t="str">
        <f t="shared" ref="Y162:Y173" si="39">IF(A162="The View","N/A",IF(AND(N162&lt;&gt;"",O162&lt;&gt;"",P162&lt;&gt;""),"Alta",IF(OR(N162&lt;&gt;"",O162&lt;&gt;"",P162&lt;&gt;""),"Média","Baixa")))</f>
        <v>Baixa</v>
      </c>
      <c r="AA162" t="str">
        <f t="shared" ref="AA162:AA173" si="40">IF(A162="The View","Manter",IF(J162&lt;2026,"Atualizar preço/status",IF(Y162="Baixa","Adicionar fonte/URL/data",IF(W162&lt;0.55,"Rever comparabilidade","OK"))))</f>
        <v>Adicionar fonte/URL/data</v>
      </c>
      <c r="AB162" t="str">
        <f t="shared" ref="AB162:AB173" si="41">IF(A162="The View","",IF(OR(J162&lt;2026,Y162="Baixa"),"Alta",IF(W162&lt;0.55,"Média","Baixa")))</f>
        <v>Alta</v>
      </c>
    </row>
    <row r="163" spans="1:28" x14ac:dyDescent="0.3">
      <c r="A163" s="1" t="s">
        <v>142</v>
      </c>
      <c r="B163" s="1" t="s">
        <v>17</v>
      </c>
      <c r="C163" s="1" t="s">
        <v>14</v>
      </c>
      <c r="D163" s="1" t="s">
        <v>15</v>
      </c>
      <c r="E163" s="1">
        <v>3</v>
      </c>
      <c r="F163" s="5">
        <v>44.4</v>
      </c>
      <c r="G163" s="5">
        <v>10.600000000000001</v>
      </c>
      <c r="H163" s="5">
        <v>55</v>
      </c>
      <c r="I163" s="6">
        <v>445000</v>
      </c>
      <c r="J163" s="1">
        <v>2026</v>
      </c>
      <c r="K163" s="6">
        <v>10022.522522522522</v>
      </c>
      <c r="L163" s="6">
        <v>8090.909090909091</v>
      </c>
      <c r="M163" t="str">
        <f t="shared" si="35"/>
        <v>Ativo</v>
      </c>
      <c r="P163" s="8"/>
      <c r="Q163" t="str">
        <f t="shared" si="36"/>
        <v>Premium waterfront/marina</v>
      </c>
      <c r="R163" t="s">
        <v>206</v>
      </c>
      <c r="W163" s="7">
        <f t="shared" si="37"/>
        <v>1</v>
      </c>
      <c r="X163" t="str">
        <f t="shared" si="38"/>
        <v>A · Premium ativo</v>
      </c>
      <c r="Y163" t="str">
        <f t="shared" si="39"/>
        <v>Baixa</v>
      </c>
      <c r="AA163" t="str">
        <f t="shared" si="40"/>
        <v>Adicionar fonte/URL/data</v>
      </c>
      <c r="AB163" t="str">
        <f t="shared" si="41"/>
        <v>Alta</v>
      </c>
    </row>
    <row r="164" spans="1:28" x14ac:dyDescent="0.3">
      <c r="A164" s="1" t="s">
        <v>142</v>
      </c>
      <c r="B164" s="1" t="s">
        <v>18</v>
      </c>
      <c r="C164" s="1">
        <v>1</v>
      </c>
      <c r="D164" s="1" t="s">
        <v>47</v>
      </c>
      <c r="E164" s="1">
        <v>3</v>
      </c>
      <c r="F164" s="5">
        <v>62.6</v>
      </c>
      <c r="G164" s="5">
        <v>18.499999999999993</v>
      </c>
      <c r="H164" s="5">
        <v>81.099999999999994</v>
      </c>
      <c r="I164" s="6">
        <v>390000</v>
      </c>
      <c r="J164" s="1">
        <v>2026</v>
      </c>
      <c r="K164" s="6">
        <v>6230.0319488817886</v>
      </c>
      <c r="L164" s="6">
        <v>4808.8779284833545</v>
      </c>
      <c r="M164" t="str">
        <f t="shared" si="35"/>
        <v>Ativo</v>
      </c>
      <c r="P164" s="8"/>
      <c r="Q164" t="str">
        <f t="shared" si="36"/>
        <v>Premium waterfront/marina</v>
      </c>
      <c r="R164" t="s">
        <v>206</v>
      </c>
      <c r="W164" s="7">
        <f t="shared" si="37"/>
        <v>1</v>
      </c>
      <c r="X164" t="str">
        <f t="shared" si="38"/>
        <v>A · Premium ativo</v>
      </c>
      <c r="Y164" t="str">
        <f t="shared" si="39"/>
        <v>Baixa</v>
      </c>
      <c r="AA164" t="str">
        <f t="shared" si="40"/>
        <v>Adicionar fonte/URL/data</v>
      </c>
      <c r="AB164" t="str">
        <f t="shared" si="41"/>
        <v>Alta</v>
      </c>
    </row>
    <row r="165" spans="1:28" x14ac:dyDescent="0.3">
      <c r="A165" s="1" t="s">
        <v>142</v>
      </c>
      <c r="B165" s="1" t="s">
        <v>154</v>
      </c>
      <c r="C165" s="1">
        <v>1</v>
      </c>
      <c r="D165" s="1" t="s">
        <v>15</v>
      </c>
      <c r="E165" s="1">
        <v>3</v>
      </c>
      <c r="F165" s="5">
        <v>50.15</v>
      </c>
      <c r="G165" s="5">
        <v>18.050000000000004</v>
      </c>
      <c r="H165" s="5">
        <v>68.2</v>
      </c>
      <c r="I165" s="6">
        <v>350000</v>
      </c>
      <c r="J165" s="1">
        <v>2026</v>
      </c>
      <c r="K165" s="6">
        <v>6979.0628115653044</v>
      </c>
      <c r="L165" s="6">
        <v>5131.9648093841643</v>
      </c>
      <c r="M165" t="str">
        <f t="shared" si="35"/>
        <v>Ativo</v>
      </c>
      <c r="P165" s="8"/>
      <c r="Q165" t="str">
        <f t="shared" si="36"/>
        <v>Premium waterfront/marina</v>
      </c>
      <c r="R165" t="s">
        <v>206</v>
      </c>
      <c r="W165" s="7">
        <f t="shared" si="37"/>
        <v>1</v>
      </c>
      <c r="X165" t="str">
        <f t="shared" si="38"/>
        <v>A · Premium ativo</v>
      </c>
      <c r="Y165" t="str">
        <f t="shared" si="39"/>
        <v>Baixa</v>
      </c>
      <c r="AA165" t="str">
        <f t="shared" si="40"/>
        <v>Adicionar fonte/URL/data</v>
      </c>
      <c r="AB165" t="str">
        <f t="shared" si="41"/>
        <v>Alta</v>
      </c>
    </row>
    <row r="166" spans="1:28" x14ac:dyDescent="0.3">
      <c r="A166" s="1" t="s">
        <v>142</v>
      </c>
      <c r="B166" s="1" t="s">
        <v>155</v>
      </c>
      <c r="C166" s="1">
        <v>1</v>
      </c>
      <c r="D166" s="1" t="s">
        <v>15</v>
      </c>
      <c r="E166" s="1">
        <v>4</v>
      </c>
      <c r="F166" s="5">
        <v>50.15</v>
      </c>
      <c r="G166" s="5">
        <v>18.050000000000004</v>
      </c>
      <c r="H166" s="5">
        <v>68.2</v>
      </c>
      <c r="I166" s="6">
        <v>350000</v>
      </c>
      <c r="J166" s="1">
        <v>2026</v>
      </c>
      <c r="K166" s="6">
        <v>6979.0628115653044</v>
      </c>
      <c r="L166" s="6">
        <v>5131.9648093841643</v>
      </c>
      <c r="M166" t="str">
        <f t="shared" si="35"/>
        <v>Ativo</v>
      </c>
      <c r="P166" s="8"/>
      <c r="Q166" t="str">
        <f t="shared" si="36"/>
        <v>Premium waterfront/marina</v>
      </c>
      <c r="R166" t="s">
        <v>206</v>
      </c>
      <c r="W166" s="7">
        <f t="shared" si="37"/>
        <v>1</v>
      </c>
      <c r="X166" t="str">
        <f t="shared" si="38"/>
        <v>A · Premium ativo</v>
      </c>
      <c r="Y166" t="str">
        <f t="shared" si="39"/>
        <v>Baixa</v>
      </c>
      <c r="AA166" t="str">
        <f t="shared" si="40"/>
        <v>Adicionar fonte/URL/data</v>
      </c>
      <c r="AB166" t="str">
        <f t="shared" si="41"/>
        <v>Alta</v>
      </c>
    </row>
    <row r="167" spans="1:28" x14ac:dyDescent="0.3">
      <c r="A167" s="1" t="s">
        <v>142</v>
      </c>
      <c r="B167" s="1" t="s">
        <v>19</v>
      </c>
      <c r="C167" s="1">
        <v>1</v>
      </c>
      <c r="D167" s="1" t="s">
        <v>47</v>
      </c>
      <c r="E167" s="1">
        <v>4</v>
      </c>
      <c r="F167" s="5">
        <v>62.6</v>
      </c>
      <c r="G167" s="5">
        <v>18.499999999999993</v>
      </c>
      <c r="H167" s="5">
        <v>81.099999999999994</v>
      </c>
      <c r="I167" s="6">
        <v>395000</v>
      </c>
      <c r="J167" s="1">
        <v>2026</v>
      </c>
      <c r="K167" s="6">
        <v>6309.9041533546324</v>
      </c>
      <c r="L167" s="6">
        <v>4870.5302096177566</v>
      </c>
      <c r="M167" t="str">
        <f t="shared" si="35"/>
        <v>Ativo</v>
      </c>
      <c r="P167" s="8"/>
      <c r="Q167" t="str">
        <f t="shared" si="36"/>
        <v>Premium waterfront/marina</v>
      </c>
      <c r="R167" t="s">
        <v>206</v>
      </c>
      <c r="W167" s="7">
        <f t="shared" si="37"/>
        <v>1</v>
      </c>
      <c r="X167" t="str">
        <f t="shared" si="38"/>
        <v>A · Premium ativo</v>
      </c>
      <c r="Y167" t="str">
        <f t="shared" si="39"/>
        <v>Baixa</v>
      </c>
      <c r="AA167" t="str">
        <f t="shared" si="40"/>
        <v>Adicionar fonte/URL/data</v>
      </c>
      <c r="AB167" t="str">
        <f t="shared" si="41"/>
        <v>Alta</v>
      </c>
    </row>
    <row r="168" spans="1:28" x14ac:dyDescent="0.3">
      <c r="A168" s="1" t="s">
        <v>142</v>
      </c>
      <c r="B168" s="1" t="s">
        <v>20</v>
      </c>
      <c r="C168" s="1">
        <v>2</v>
      </c>
      <c r="D168" s="1" t="s">
        <v>47</v>
      </c>
      <c r="E168" s="1">
        <v>4</v>
      </c>
      <c r="F168" s="5">
        <v>62.6</v>
      </c>
      <c r="G168" s="5">
        <v>18.499999999999993</v>
      </c>
      <c r="H168" s="5">
        <v>81.099999999999994</v>
      </c>
      <c r="I168" s="6">
        <v>420000</v>
      </c>
      <c r="J168" s="1">
        <v>2026</v>
      </c>
      <c r="K168" s="6">
        <v>6709.2651757188496</v>
      </c>
      <c r="L168" s="6">
        <v>5178.791615289766</v>
      </c>
      <c r="M168" t="str">
        <f t="shared" si="35"/>
        <v>Ativo</v>
      </c>
      <c r="P168" s="8"/>
      <c r="Q168" t="str">
        <f t="shared" si="36"/>
        <v>Premium waterfront/marina</v>
      </c>
      <c r="R168" t="s">
        <v>206</v>
      </c>
      <c r="W168" s="7">
        <f t="shared" si="37"/>
        <v>1</v>
      </c>
      <c r="X168" t="str">
        <f t="shared" si="38"/>
        <v>A · Premium ativo</v>
      </c>
      <c r="Y168" t="str">
        <f t="shared" si="39"/>
        <v>Baixa</v>
      </c>
      <c r="AA168" t="str">
        <f t="shared" si="40"/>
        <v>Adicionar fonte/URL/data</v>
      </c>
      <c r="AB168" t="str">
        <f t="shared" si="41"/>
        <v>Alta</v>
      </c>
    </row>
    <row r="169" spans="1:28" x14ac:dyDescent="0.3">
      <c r="A169" s="1" t="s">
        <v>142</v>
      </c>
      <c r="B169" s="1" t="s">
        <v>26</v>
      </c>
      <c r="C169" s="1" t="s">
        <v>14</v>
      </c>
      <c r="D169" s="1" t="s">
        <v>47</v>
      </c>
      <c r="E169" s="1">
        <v>2</v>
      </c>
      <c r="F169" s="5">
        <v>92.7</v>
      </c>
      <c r="G169" s="5">
        <v>30.25</v>
      </c>
      <c r="H169" s="5">
        <v>122.95</v>
      </c>
      <c r="I169" s="6">
        <v>559000</v>
      </c>
      <c r="J169" s="1">
        <v>2026</v>
      </c>
      <c r="K169" s="6">
        <v>6030.2049622437971</v>
      </c>
      <c r="L169" s="6">
        <v>4546.563643757625</v>
      </c>
      <c r="M169" t="str">
        <f t="shared" si="35"/>
        <v>Ativo</v>
      </c>
      <c r="P169" s="8"/>
      <c r="Q169" t="str">
        <f t="shared" si="36"/>
        <v>Premium waterfront/marina</v>
      </c>
      <c r="R169" t="s">
        <v>206</v>
      </c>
      <c r="W169" s="7">
        <f t="shared" si="37"/>
        <v>1</v>
      </c>
      <c r="X169" t="str">
        <f t="shared" si="38"/>
        <v>A · Premium ativo</v>
      </c>
      <c r="Y169" t="str">
        <f t="shared" si="39"/>
        <v>Baixa</v>
      </c>
      <c r="AA169" t="str">
        <f t="shared" si="40"/>
        <v>Adicionar fonte/URL/data</v>
      </c>
      <c r="AB169" t="str">
        <f t="shared" si="41"/>
        <v>Alta</v>
      </c>
    </row>
    <row r="170" spans="1:28" x14ac:dyDescent="0.3">
      <c r="A170" s="1" t="s">
        <v>142</v>
      </c>
      <c r="B170" s="1" t="s">
        <v>27</v>
      </c>
      <c r="C170" s="1" t="s">
        <v>14</v>
      </c>
      <c r="D170" s="1" t="s">
        <v>47</v>
      </c>
      <c r="E170" s="1">
        <v>3</v>
      </c>
      <c r="F170" s="5">
        <v>99.9</v>
      </c>
      <c r="G170" s="5">
        <v>30.150000000000006</v>
      </c>
      <c r="H170" s="5">
        <v>130.05000000000001</v>
      </c>
      <c r="I170" s="6">
        <v>599000</v>
      </c>
      <c r="J170" s="1">
        <v>2026</v>
      </c>
      <c r="K170" s="6">
        <v>5995.9959959959961</v>
      </c>
      <c r="L170" s="6">
        <v>4605.9207996924251</v>
      </c>
      <c r="M170" t="str">
        <f t="shared" si="35"/>
        <v>Ativo</v>
      </c>
      <c r="P170" s="8"/>
      <c r="Q170" t="str">
        <f t="shared" si="36"/>
        <v>Premium waterfront/marina</v>
      </c>
      <c r="R170" t="s">
        <v>206</v>
      </c>
      <c r="W170" s="7">
        <f t="shared" si="37"/>
        <v>1</v>
      </c>
      <c r="X170" t="str">
        <f t="shared" si="38"/>
        <v>A · Premium ativo</v>
      </c>
      <c r="Y170" t="str">
        <f t="shared" si="39"/>
        <v>Baixa</v>
      </c>
      <c r="AA170" t="str">
        <f t="shared" si="40"/>
        <v>Adicionar fonte/URL/data</v>
      </c>
      <c r="AB170" t="str">
        <f t="shared" si="41"/>
        <v>Alta</v>
      </c>
    </row>
    <row r="171" spans="1:28" x14ac:dyDescent="0.3">
      <c r="A171" s="1" t="s">
        <v>142</v>
      </c>
      <c r="B171" s="1" t="s">
        <v>156</v>
      </c>
      <c r="C171" s="1">
        <v>4</v>
      </c>
      <c r="D171" s="1" t="s">
        <v>15</v>
      </c>
      <c r="E171" s="1">
        <v>1</v>
      </c>
      <c r="F171" s="5">
        <v>81.25</v>
      </c>
      <c r="G171" s="5">
        <v>30.25</v>
      </c>
      <c r="H171" s="5">
        <v>111.5</v>
      </c>
      <c r="I171" s="6">
        <v>675000</v>
      </c>
      <c r="J171" s="1">
        <v>2026</v>
      </c>
      <c r="K171" s="6">
        <v>8307.6923076923085</v>
      </c>
      <c r="L171" s="6">
        <v>6053.8116591928247</v>
      </c>
      <c r="M171" t="str">
        <f t="shared" si="35"/>
        <v>Ativo</v>
      </c>
      <c r="P171" s="8"/>
      <c r="Q171" t="str">
        <f t="shared" si="36"/>
        <v>Premium waterfront/marina</v>
      </c>
      <c r="R171" t="s">
        <v>206</v>
      </c>
      <c r="W171" s="7">
        <f t="shared" si="37"/>
        <v>1</v>
      </c>
      <c r="X171" t="str">
        <f t="shared" si="38"/>
        <v>A · Premium ativo</v>
      </c>
      <c r="Y171" t="str">
        <f t="shared" si="39"/>
        <v>Baixa</v>
      </c>
      <c r="AA171" t="str">
        <f t="shared" si="40"/>
        <v>Adicionar fonte/URL/data</v>
      </c>
      <c r="AB171" t="str">
        <f t="shared" si="41"/>
        <v>Alta</v>
      </c>
    </row>
    <row r="172" spans="1:28" x14ac:dyDescent="0.3">
      <c r="A172" s="1" t="s">
        <v>142</v>
      </c>
      <c r="B172" s="1" t="s">
        <v>157</v>
      </c>
      <c r="C172" s="1">
        <v>4</v>
      </c>
      <c r="D172" s="1" t="s">
        <v>15</v>
      </c>
      <c r="E172" s="1">
        <v>1</v>
      </c>
      <c r="F172" s="5">
        <v>81.3</v>
      </c>
      <c r="G172" s="5">
        <v>40.200000000000003</v>
      </c>
      <c r="H172" s="5">
        <v>121.5</v>
      </c>
      <c r="I172" s="6">
        <v>570000</v>
      </c>
      <c r="J172" s="1">
        <v>2026</v>
      </c>
      <c r="K172" s="6">
        <v>7011.0701107011073</v>
      </c>
      <c r="L172" s="6">
        <v>4691.358024691358</v>
      </c>
      <c r="M172" t="str">
        <f t="shared" si="35"/>
        <v>Ativo</v>
      </c>
      <c r="P172" s="8"/>
      <c r="Q172" t="str">
        <f t="shared" si="36"/>
        <v>Premium waterfront/marina</v>
      </c>
      <c r="R172" t="s">
        <v>206</v>
      </c>
      <c r="W172" s="7">
        <f t="shared" si="37"/>
        <v>1</v>
      </c>
      <c r="X172" t="str">
        <f t="shared" si="38"/>
        <v>A · Premium ativo</v>
      </c>
      <c r="Y172" t="str">
        <f t="shared" si="39"/>
        <v>Baixa</v>
      </c>
      <c r="AA172" t="str">
        <f t="shared" si="40"/>
        <v>Adicionar fonte/URL/data</v>
      </c>
      <c r="AB172" t="str">
        <f t="shared" si="41"/>
        <v>Alta</v>
      </c>
    </row>
    <row r="173" spans="1:28" x14ac:dyDescent="0.3">
      <c r="A173" s="1" t="s">
        <v>142</v>
      </c>
      <c r="B173" s="1" t="s">
        <v>158</v>
      </c>
      <c r="C173" s="1">
        <v>4</v>
      </c>
      <c r="D173" s="1" t="s">
        <v>15</v>
      </c>
      <c r="E173">
        <v>2</v>
      </c>
      <c r="F173" s="5">
        <v>76.7</v>
      </c>
      <c r="G173" s="5">
        <v>84.8</v>
      </c>
      <c r="H173" s="5">
        <v>161.5</v>
      </c>
      <c r="I173" s="6">
        <v>674000</v>
      </c>
      <c r="J173" s="1">
        <v>2026</v>
      </c>
      <c r="K173" s="6">
        <v>8787.4837027379399</v>
      </c>
      <c r="L173" s="6">
        <v>4173.3746130030959</v>
      </c>
      <c r="M173" t="str">
        <f t="shared" si="35"/>
        <v>Ativo</v>
      </c>
      <c r="P173" s="8"/>
      <c r="Q173" t="str">
        <f t="shared" si="36"/>
        <v>Premium waterfront/marina</v>
      </c>
      <c r="R173" t="s">
        <v>206</v>
      </c>
      <c r="W173" s="7">
        <f t="shared" si="37"/>
        <v>1</v>
      </c>
      <c r="X173" t="str">
        <f t="shared" si="38"/>
        <v>A · Premium ativo</v>
      </c>
      <c r="Y173" t="str">
        <f t="shared" si="39"/>
        <v>Baixa</v>
      </c>
      <c r="AA173" t="str">
        <f t="shared" si="40"/>
        <v>Adicionar fonte/URL/data</v>
      </c>
      <c r="AB173" t="str">
        <f t="shared" si="41"/>
        <v>Alta</v>
      </c>
    </row>
  </sheetData>
  <conditionalFormatting sqref="X2:X173">
    <cfRule type="expression" dxfId="2" priority="2">
      <formula>LEFT($X2,1)="A"</formula>
    </cfRule>
    <cfRule type="expression" dxfId="1" priority="3">
      <formula>LEFT($X2,1)="C"</formula>
    </cfRule>
  </conditionalFormatting>
  <conditionalFormatting sqref="AB2:AB173">
    <cfRule type="expression" dxfId="0" priority="1">
      <formula>$AB2="Alta"</formula>
    </cfRule>
  </conditionalFormatting>
  <dataValidations count="4">
    <dataValidation type="list" sqref="M2:M173" xr:uid="{00000000-0002-0000-0000-000000000000}">
      <formula1>"Projeto,Ativo,Rever,Histórico,Reservado,Vendido"</formula1>
    </dataValidation>
    <dataValidation type="list" sqref="Q2:Q173" xr:uid="{00000000-0002-0000-0000-000001000000}">
      <formula1>"Projeto,Premium waterfront/marina,Benchmark local,Histórico,A classificar"</formula1>
    </dataValidation>
    <dataValidation type="list" sqref="R2:R173" xr:uid="{00000000-0002-0000-0000-000002000000}">
      <formula1>"Nova construção,Usado recente,Usado,A confirmar"</formula1>
    </dataValidation>
    <dataValidation type="list" sqref="T2:U173" xr:uid="{00000000-0002-0000-0000-000003000000}">
      <formula1>"Sim,Não,A confirmar"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6"/>
  <sheetViews>
    <sheetView workbookViewId="0"/>
  </sheetViews>
  <sheetFormatPr defaultRowHeight="14.4" x14ac:dyDescent="0.3"/>
  <cols>
    <col min="1" max="1" width="80" customWidth="1"/>
  </cols>
  <sheetData>
    <row r="1" spans="1:1" x14ac:dyDescent="0.3">
      <c r="A1" s="2" t="s">
        <v>159</v>
      </c>
    </row>
    <row r="2" spans="1:1" x14ac:dyDescent="0.3">
      <c r="A2" s="3"/>
    </row>
    <row r="3" spans="1:1" x14ac:dyDescent="0.3">
      <c r="A3" s="2" t="s">
        <v>160</v>
      </c>
    </row>
    <row r="4" spans="1:1" x14ac:dyDescent="0.3">
      <c r="A4" s="3" t="s">
        <v>161</v>
      </c>
    </row>
    <row r="5" spans="1:1" x14ac:dyDescent="0.3">
      <c r="A5" s="3" t="s">
        <v>162</v>
      </c>
    </row>
    <row r="6" spans="1:1" x14ac:dyDescent="0.3">
      <c r="A6" s="3" t="s">
        <v>163</v>
      </c>
    </row>
    <row r="7" spans="1:1" x14ac:dyDescent="0.3">
      <c r="A7" s="3"/>
    </row>
    <row r="8" spans="1:1" x14ac:dyDescent="0.3">
      <c r="A8" s="2" t="s">
        <v>164</v>
      </c>
    </row>
    <row r="9" spans="1:1" ht="28.8" x14ac:dyDescent="0.3">
      <c r="A9" s="2" t="s">
        <v>165</v>
      </c>
    </row>
    <row r="10" spans="1:1" x14ac:dyDescent="0.3">
      <c r="A10" s="2" t="s">
        <v>166</v>
      </c>
    </row>
    <row r="11" spans="1:1" x14ac:dyDescent="0.3">
      <c r="A11" s="2" t="s">
        <v>167</v>
      </c>
    </row>
    <row r="12" spans="1:1" x14ac:dyDescent="0.3">
      <c r="A12" s="2" t="s">
        <v>168</v>
      </c>
    </row>
    <row r="13" spans="1:1" x14ac:dyDescent="0.3">
      <c r="A13" s="2" t="s">
        <v>169</v>
      </c>
    </row>
    <row r="14" spans="1:1" x14ac:dyDescent="0.3">
      <c r="A14" s="2" t="s">
        <v>170</v>
      </c>
    </row>
    <row r="15" spans="1:1" x14ac:dyDescent="0.3">
      <c r="A15" s="2" t="s">
        <v>171</v>
      </c>
    </row>
    <row r="16" spans="1:1" x14ac:dyDescent="0.3">
      <c r="A16" s="2" t="s">
        <v>172</v>
      </c>
    </row>
    <row r="17" spans="1:1" x14ac:dyDescent="0.3">
      <c r="A17" s="2" t="s">
        <v>173</v>
      </c>
    </row>
    <row r="18" spans="1:1" x14ac:dyDescent="0.3">
      <c r="A18" s="3"/>
    </row>
    <row r="19" spans="1:1" x14ac:dyDescent="0.3">
      <c r="A19" s="2" t="s">
        <v>174</v>
      </c>
    </row>
    <row r="20" spans="1:1" x14ac:dyDescent="0.3">
      <c r="A20" s="3" t="s">
        <v>175</v>
      </c>
    </row>
    <row r="21" spans="1:1" x14ac:dyDescent="0.3">
      <c r="A21" s="3" t="s">
        <v>176</v>
      </c>
    </row>
    <row r="22" spans="1:1" x14ac:dyDescent="0.3">
      <c r="A22" s="3" t="s">
        <v>177</v>
      </c>
    </row>
    <row r="23" spans="1:1" x14ac:dyDescent="0.3">
      <c r="A23" s="3"/>
    </row>
    <row r="24" spans="1:1" x14ac:dyDescent="0.3">
      <c r="A24" s="2" t="s">
        <v>178</v>
      </c>
    </row>
    <row r="25" spans="1:1" x14ac:dyDescent="0.3">
      <c r="A25" s="3" t="s">
        <v>179</v>
      </c>
    </row>
    <row r="26" spans="1:1" x14ac:dyDescent="0.3">
      <c r="A26" s="3" t="s">
        <v>180</v>
      </c>
    </row>
    <row r="27" spans="1:1" x14ac:dyDescent="0.3">
      <c r="A27" s="3" t="s">
        <v>181</v>
      </c>
    </row>
    <row r="28" spans="1:1" x14ac:dyDescent="0.3">
      <c r="A28" s="3" t="s">
        <v>182</v>
      </c>
    </row>
    <row r="29" spans="1:1" x14ac:dyDescent="0.3">
      <c r="A29" s="3" t="s">
        <v>183</v>
      </c>
    </row>
    <row r="30" spans="1:1" x14ac:dyDescent="0.3">
      <c r="A30" s="3"/>
    </row>
    <row r="31" spans="1:1" x14ac:dyDescent="0.3">
      <c r="A31" s="2" t="s">
        <v>184</v>
      </c>
    </row>
    <row r="32" spans="1:1" x14ac:dyDescent="0.3">
      <c r="A32" s="2" t="s">
        <v>185</v>
      </c>
    </row>
    <row r="33" spans="1:1" x14ac:dyDescent="0.3">
      <c r="A33" s="2" t="s">
        <v>186</v>
      </c>
    </row>
    <row r="34" spans="1:1" x14ac:dyDescent="0.3">
      <c r="A34" s="2" t="s">
        <v>187</v>
      </c>
    </row>
    <row r="35" spans="1:1" x14ac:dyDescent="0.3">
      <c r="A35" s="2" t="s">
        <v>188</v>
      </c>
    </row>
    <row r="36" spans="1:1" ht="28.8" x14ac:dyDescent="0.3">
      <c r="A36" s="2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"/>
  <sheetViews>
    <sheetView workbookViewId="0"/>
  </sheetViews>
  <sheetFormatPr defaultRowHeight="14.4" x14ac:dyDescent="0.3"/>
  <cols>
    <col min="1" max="1" width="15.77734375" customWidth="1"/>
    <col min="2" max="2" width="5.109375" customWidth="1"/>
    <col min="3" max="3" width="16" customWidth="1"/>
    <col min="4" max="4" width="8.33203125" customWidth="1"/>
    <col min="5" max="5" width="8.5546875" customWidth="1"/>
    <col min="6" max="6" width="31.109375" customWidth="1"/>
  </cols>
  <sheetData>
    <row r="1" spans="1:8" ht="21" x14ac:dyDescent="0.4">
      <c r="A1" s="13" t="s">
        <v>207</v>
      </c>
      <c r="B1" s="14"/>
      <c r="C1" s="14"/>
      <c r="D1" s="14"/>
      <c r="E1" s="14"/>
      <c r="F1" s="14"/>
      <c r="G1" s="14"/>
      <c r="H1" s="14"/>
    </row>
    <row r="3" spans="1:8" x14ac:dyDescent="0.3">
      <c r="A3" s="9" t="s">
        <v>208</v>
      </c>
      <c r="B3" s="9" t="s">
        <v>209</v>
      </c>
      <c r="C3" s="9" t="s">
        <v>210</v>
      </c>
    </row>
    <row r="4" spans="1:8" x14ac:dyDescent="0.3">
      <c r="A4" t="s">
        <v>211</v>
      </c>
      <c r="B4">
        <v>172</v>
      </c>
      <c r="C4" t="s">
        <v>212</v>
      </c>
    </row>
    <row r="5" spans="1:8" x14ac:dyDescent="0.3">
      <c r="A5" t="s">
        <v>213</v>
      </c>
      <c r="B5">
        <v>39</v>
      </c>
      <c r="C5" t="s">
        <v>214</v>
      </c>
    </row>
    <row r="6" spans="1:8" x14ac:dyDescent="0.3">
      <c r="A6" t="s">
        <v>215</v>
      </c>
      <c r="B6">
        <v>133</v>
      </c>
      <c r="C6" t="s">
        <v>216</v>
      </c>
    </row>
    <row r="7" spans="1:8" x14ac:dyDescent="0.3">
      <c r="A7" t="s">
        <v>217</v>
      </c>
      <c r="B7">
        <v>86</v>
      </c>
      <c r="C7" t="s">
        <v>218</v>
      </c>
    </row>
    <row r="8" spans="1:8" x14ac:dyDescent="0.3">
      <c r="A8" t="s">
        <v>219</v>
      </c>
      <c r="B8">
        <v>86</v>
      </c>
      <c r="C8" t="s">
        <v>220</v>
      </c>
    </row>
    <row r="9" spans="1:8" x14ac:dyDescent="0.3">
      <c r="A9" t="s">
        <v>221</v>
      </c>
      <c r="B9">
        <v>3</v>
      </c>
      <c r="C9" t="s">
        <v>222</v>
      </c>
    </row>
    <row r="12" spans="1:8" x14ac:dyDescent="0.3">
      <c r="A12" s="9" t="s">
        <v>0</v>
      </c>
      <c r="B12" s="9" t="s">
        <v>223</v>
      </c>
      <c r="C12" s="9" t="s">
        <v>224</v>
      </c>
      <c r="D12" s="9" t="s">
        <v>225</v>
      </c>
      <c r="E12" s="9" t="s">
        <v>226</v>
      </c>
      <c r="F12" s="9" t="s">
        <v>227</v>
      </c>
    </row>
    <row r="13" spans="1:8" x14ac:dyDescent="0.3">
      <c r="A13" t="s">
        <v>142</v>
      </c>
      <c r="B13">
        <v>27</v>
      </c>
      <c r="C13" s="10">
        <v>5561</v>
      </c>
      <c r="D13" s="10">
        <v>4173</v>
      </c>
      <c r="E13" s="10">
        <v>9380</v>
      </c>
      <c r="F13" t="s">
        <v>228</v>
      </c>
    </row>
    <row r="14" spans="1:8" x14ac:dyDescent="0.3">
      <c r="A14" t="s">
        <v>12</v>
      </c>
      <c r="B14">
        <v>47</v>
      </c>
      <c r="C14" s="10">
        <v>5264</v>
      </c>
      <c r="D14" s="10">
        <v>3714</v>
      </c>
      <c r="E14" s="10">
        <v>8618</v>
      </c>
      <c r="F14" t="s">
        <v>228</v>
      </c>
    </row>
    <row r="15" spans="1:8" x14ac:dyDescent="0.3">
      <c r="A15" t="s">
        <v>64</v>
      </c>
      <c r="B15">
        <v>59</v>
      </c>
      <c r="C15" s="10">
        <v>3202</v>
      </c>
      <c r="D15" s="10">
        <v>2116</v>
      </c>
      <c r="E15" s="10">
        <v>4585</v>
      </c>
      <c r="F15" t="s">
        <v>229</v>
      </c>
    </row>
    <row r="16" spans="1:8" x14ac:dyDescent="0.3">
      <c r="A16" t="s">
        <v>99</v>
      </c>
      <c r="B16">
        <v>39</v>
      </c>
      <c r="C16" s="10">
        <v>4025</v>
      </c>
      <c r="D16" s="10">
        <v>3381</v>
      </c>
      <c r="E16" s="10">
        <v>6781</v>
      </c>
      <c r="F16" t="s">
        <v>214</v>
      </c>
    </row>
  </sheetData>
  <mergeCells count="1"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"/>
  <sheetViews>
    <sheetView workbookViewId="0"/>
  </sheetViews>
  <sheetFormatPr defaultRowHeight="14.4" x14ac:dyDescent="0.3"/>
  <cols>
    <col min="1" max="1" width="26" customWidth="1"/>
    <col min="2" max="3" width="42" customWidth="1"/>
    <col min="4" max="4" width="36" customWidth="1"/>
    <col min="5" max="6" width="26" customWidth="1"/>
  </cols>
  <sheetData>
    <row r="1" spans="1:6" ht="21" x14ac:dyDescent="0.4">
      <c r="A1" s="13" t="s">
        <v>230</v>
      </c>
      <c r="B1" s="14"/>
      <c r="C1" s="14"/>
      <c r="D1" s="14"/>
      <c r="E1" s="14"/>
      <c r="F1" s="14"/>
    </row>
    <row r="3" spans="1:6" x14ac:dyDescent="0.3">
      <c r="A3" s="11" t="s">
        <v>231</v>
      </c>
      <c r="B3" s="11" t="s">
        <v>232</v>
      </c>
      <c r="C3" s="11" t="s">
        <v>233</v>
      </c>
      <c r="D3" s="11" t="s">
        <v>234</v>
      </c>
      <c r="E3" s="11" t="s">
        <v>235</v>
      </c>
      <c r="F3" s="11" t="s">
        <v>236</v>
      </c>
    </row>
    <row r="4" spans="1:6" ht="28.8" x14ac:dyDescent="0.3">
      <c r="A4" s="12" t="s">
        <v>237</v>
      </c>
      <c r="B4" s="12" t="s">
        <v>238</v>
      </c>
      <c r="C4" s="12" t="s">
        <v>239</v>
      </c>
      <c r="D4" s="12" t="s">
        <v>240</v>
      </c>
      <c r="E4" s="12"/>
      <c r="F4" s="12" t="s">
        <v>241</v>
      </c>
    </row>
    <row r="5" spans="1:6" ht="28.8" x14ac:dyDescent="0.3">
      <c r="A5" s="12" t="s">
        <v>237</v>
      </c>
      <c r="B5" s="12" t="s">
        <v>242</v>
      </c>
      <c r="C5" s="12" t="s">
        <v>243</v>
      </c>
      <c r="D5" s="12" t="s">
        <v>244</v>
      </c>
      <c r="E5" s="12"/>
      <c r="F5" s="12" t="s">
        <v>241</v>
      </c>
    </row>
    <row r="6" spans="1:6" ht="28.8" x14ac:dyDescent="0.3">
      <c r="A6" s="12" t="s">
        <v>237</v>
      </c>
      <c r="B6" s="12" t="s">
        <v>245</v>
      </c>
      <c r="C6" s="12" t="s">
        <v>246</v>
      </c>
      <c r="D6" s="12" t="s">
        <v>247</v>
      </c>
      <c r="E6" s="12"/>
      <c r="F6" s="12" t="s">
        <v>241</v>
      </c>
    </row>
    <row r="7" spans="1:6" x14ac:dyDescent="0.3">
      <c r="A7" s="12" t="s">
        <v>248</v>
      </c>
      <c r="B7" s="12" t="s">
        <v>249</v>
      </c>
      <c r="C7" s="12" t="s">
        <v>250</v>
      </c>
      <c r="D7" s="12" t="s">
        <v>251</v>
      </c>
      <c r="E7" s="12"/>
      <c r="F7" s="12" t="s">
        <v>241</v>
      </c>
    </row>
    <row r="8" spans="1:6" x14ac:dyDescent="0.3">
      <c r="A8" s="12" t="s">
        <v>248</v>
      </c>
      <c r="B8" s="12" t="s">
        <v>252</v>
      </c>
      <c r="C8" s="12" t="s">
        <v>253</v>
      </c>
      <c r="D8" s="12" t="s">
        <v>254</v>
      </c>
      <c r="E8" s="12"/>
      <c r="F8" s="12" t="s">
        <v>241</v>
      </c>
    </row>
    <row r="9" spans="1:6" ht="28.8" x14ac:dyDescent="0.3">
      <c r="A9" s="12" t="s">
        <v>248</v>
      </c>
      <c r="B9" s="12" t="s">
        <v>255</v>
      </c>
      <c r="C9" s="12" t="s">
        <v>256</v>
      </c>
      <c r="D9" s="12" t="s">
        <v>257</v>
      </c>
      <c r="E9" s="12"/>
      <c r="F9" s="12" t="s">
        <v>241</v>
      </c>
    </row>
    <row r="10" spans="1:6" x14ac:dyDescent="0.3">
      <c r="A10" s="12" t="s">
        <v>258</v>
      </c>
      <c r="B10" s="12" t="s">
        <v>259</v>
      </c>
      <c r="C10" s="12" t="s">
        <v>260</v>
      </c>
      <c r="D10" s="12" t="s">
        <v>261</v>
      </c>
      <c r="E10" s="12"/>
      <c r="F10" s="12" t="s">
        <v>241</v>
      </c>
    </row>
  </sheetData>
  <mergeCells count="1">
    <mergeCell ref="A1:F1"/>
  </mergeCells>
  <dataValidations count="1">
    <dataValidation type="list" sqref="F4:F10" xr:uid="{00000000-0002-0000-0300-000000000000}">
      <formula1>"Por fazer,Em progresso,Concluído"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Dados</vt:lpstr>
      <vt:lpstr>Instruções</vt:lpstr>
      <vt:lpstr>Resumo BD</vt:lpstr>
      <vt:lpstr>Plano de melhoria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Ruan Hora – Responsável Administrativo | Hotéis, Aloja</cp:lastModifiedBy>
  <dcterms:modified xsi:type="dcterms:W3CDTF">2026-05-07T13:41:05Z</dcterms:modified>
</cp:coreProperties>
</file>